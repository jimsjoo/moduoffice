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I:\모두의 오피스\"/>
    </mc:Choice>
  </mc:AlternateContent>
  <bookViews>
    <workbookView xWindow="0" yWindow="0" windowWidth="20496" windowHeight="7488"/>
  </bookViews>
  <sheets>
    <sheet name="prices" sheetId="5" r:id="rId1"/>
    <sheet name="casting" sheetId="2" r:id="rId2"/>
    <sheet name="portfolio" sheetId="4" r:id="rId3"/>
    <sheet name="news" sheetId="3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HitLower">casting!$G$6:$EU$7</definedName>
    <definedName name="HitUpper">casting!$G$3:$EU$4</definedName>
  </definedNames>
  <calcPr calcId="171027"/>
</workbook>
</file>

<file path=xl/calcChain.xml><?xml version="1.0" encoding="utf-8"?>
<calcChain xmlns="http://schemas.openxmlformats.org/spreadsheetml/2006/main">
  <c r="C5" i="2" l="1"/>
  <c r="BN12" i="2"/>
  <c r="BM15" i="2" s="1"/>
  <c r="HK12" i="2"/>
  <c r="HJ15" i="2" s="1"/>
  <c r="HH12" i="2"/>
  <c r="HI12" i="2" s="1"/>
  <c r="HE12" i="2"/>
  <c r="HF12" i="2"/>
  <c r="HB12" i="2"/>
  <c r="HC12" i="2" s="1"/>
  <c r="GY12" i="2"/>
  <c r="GX15" i="2" s="1"/>
  <c r="GV12" i="2"/>
  <c r="GW12" i="2"/>
  <c r="GS12" i="2"/>
  <c r="GR15" i="2"/>
  <c r="GP12" i="2"/>
  <c r="GQ12" i="2" s="1"/>
  <c r="GM12" i="2"/>
  <c r="GL15" i="2" s="1"/>
  <c r="GJ12" i="2"/>
  <c r="GG12" i="2"/>
  <c r="GF15" i="2" s="1"/>
  <c r="GD12" i="2"/>
  <c r="GA12" i="2"/>
  <c r="FX12" i="2"/>
  <c r="FY12" i="2" s="1"/>
  <c r="FU12" i="2"/>
  <c r="FT15" i="2" s="1"/>
  <c r="FR12" i="2"/>
  <c r="FO12" i="2"/>
  <c r="FN15" i="2" s="1"/>
  <c r="FL12" i="2"/>
  <c r="FM12" i="2" s="1"/>
  <c r="FI12" i="2"/>
  <c r="FJ12" i="2" s="1"/>
  <c r="FF12" i="2"/>
  <c r="FE15" i="2"/>
  <c r="FC12" i="2"/>
  <c r="FB15" i="2"/>
  <c r="EZ12" i="2"/>
  <c r="FA12" i="2"/>
  <c r="EW12" i="2"/>
  <c r="EX12" i="2" s="1"/>
  <c r="ET12" i="2"/>
  <c r="EQ12" i="2"/>
  <c r="EN12" i="2"/>
  <c r="EK12" i="2"/>
  <c r="EH12" i="2"/>
  <c r="EH13" i="2" s="1"/>
  <c r="EE12" i="2"/>
  <c r="EB12" i="2"/>
  <c r="EC12" i="2"/>
  <c r="DY12" i="2"/>
  <c r="DV12" i="2"/>
  <c r="DS12" i="2"/>
  <c r="DT12" i="2" s="1"/>
  <c r="DP12" i="2"/>
  <c r="DO15" i="2" s="1"/>
  <c r="DM12" i="2"/>
  <c r="DN12" i="2" s="1"/>
  <c r="DJ12" i="2"/>
  <c r="DG12" i="2"/>
  <c r="DD12" i="2"/>
  <c r="DD11" i="2" s="1"/>
  <c r="DA12" i="2"/>
  <c r="CX12" i="2"/>
  <c r="CU12" i="2"/>
  <c r="CU13" i="2" s="1"/>
  <c r="CR12" i="2"/>
  <c r="CO12" i="2"/>
  <c r="CO11" i="2" s="1"/>
  <c r="CL12" i="2"/>
  <c r="CI12" i="2"/>
  <c r="CF12" i="2"/>
  <c r="CC12" i="2"/>
  <c r="CB15" i="2" s="1"/>
  <c r="BZ12" i="2"/>
  <c r="CA12" i="2"/>
  <c r="BW12" i="2"/>
  <c r="BV15" i="2"/>
  <c r="BT12" i="2"/>
  <c r="BS15" i="2"/>
  <c r="BQ12" i="2"/>
  <c r="BR12" i="2" s="1"/>
  <c r="BK12" i="2"/>
  <c r="BJ15" i="2"/>
  <c r="BH12" i="2"/>
  <c r="BI12" i="2"/>
  <c r="BE12" i="2"/>
  <c r="BB12" i="2"/>
  <c r="AY12" i="2"/>
  <c r="AV12" i="2"/>
  <c r="AS12" i="2"/>
  <c r="AP12" i="2"/>
  <c r="AP13" i="2" s="1"/>
  <c r="AM12" i="2"/>
  <c r="AJ12" i="2"/>
  <c r="AI15" i="2" s="1"/>
  <c r="AG12" i="2"/>
  <c r="AD12" i="2"/>
  <c r="AE12" i="2"/>
  <c r="AA12" i="2"/>
  <c r="Z15" i="2"/>
  <c r="X12" i="2"/>
  <c r="Y12" i="2" s="1"/>
  <c r="U12" i="2"/>
  <c r="T15" i="2" s="1"/>
  <c r="R12" i="2"/>
  <c r="Q15" i="2"/>
  <c r="O12" i="2"/>
  <c r="N15" i="2"/>
  <c r="L12" i="2"/>
  <c r="K15" i="2" s="1"/>
  <c r="I12" i="2"/>
  <c r="I13" i="2" s="1"/>
  <c r="F12" i="2"/>
  <c r="C12" i="2"/>
  <c r="F4" i="2"/>
  <c r="F7" i="2"/>
  <c r="F8" i="2" s="1"/>
  <c r="HD15" i="2"/>
  <c r="AD11" i="2"/>
  <c r="BG15" i="2"/>
  <c r="BA15" i="2"/>
  <c r="AC15" i="2"/>
  <c r="GU15" i="2"/>
  <c r="BQ11" i="2"/>
  <c r="AT12" i="2"/>
  <c r="EA15" i="2"/>
  <c r="EB13" i="2"/>
  <c r="EY15" i="2"/>
  <c r="BY15" i="2"/>
  <c r="CD12" i="2"/>
  <c r="DX15" i="2"/>
  <c r="DZ12" i="2"/>
  <c r="EV15" i="2"/>
  <c r="GI15" i="2"/>
  <c r="GK12" i="2"/>
  <c r="DB12" i="2"/>
  <c r="BU12" i="2"/>
  <c r="FD12" i="2"/>
  <c r="J12" i="2"/>
  <c r="BD15" i="2"/>
  <c r="BF12" i="2"/>
  <c r="FK15" i="2"/>
  <c r="CI11" i="2"/>
  <c r="P12" i="2"/>
  <c r="BL12" i="2"/>
  <c r="EF12" i="2"/>
  <c r="CC11" i="2"/>
  <c r="DF15" i="2"/>
  <c r="ET13" i="2"/>
  <c r="FV12" i="2"/>
  <c r="GT12" i="2"/>
  <c r="S12" i="2"/>
  <c r="DK12" i="2"/>
  <c r="FG12" i="2"/>
  <c r="AB12" i="2"/>
  <c r="BX12" i="2"/>
  <c r="FP12" i="2"/>
  <c r="HL12" i="2"/>
  <c r="EB11" i="2"/>
  <c r="BW11" i="2"/>
  <c r="U13" i="2"/>
  <c r="BT13" i="2"/>
  <c r="AV11" i="2"/>
  <c r="DP11" i="2"/>
  <c r="C11" i="2"/>
  <c r="BE13" i="2"/>
  <c r="X13" i="2"/>
  <c r="DA13" i="2"/>
  <c r="EN13" i="2"/>
  <c r="EN11" i="2"/>
  <c r="R11" i="2"/>
  <c r="BE11" i="2"/>
  <c r="BH13" i="2"/>
  <c r="AY11" i="2"/>
  <c r="AG13" i="2"/>
  <c r="C13" i="2"/>
  <c r="BN13" i="2"/>
  <c r="DY13" i="2"/>
  <c r="BN11" i="2"/>
  <c r="EH11" i="2"/>
  <c r="BK13" i="2"/>
  <c r="O11" i="2"/>
  <c r="DP13" i="2"/>
  <c r="BZ11" i="2"/>
  <c r="AA11" i="2"/>
  <c r="BT11" i="2"/>
  <c r="AV13" i="2"/>
  <c r="O13" i="2"/>
  <c r="BK11" i="2"/>
  <c r="BB13" i="2"/>
  <c r="DG11" i="2"/>
  <c r="BH11" i="2"/>
  <c r="BZ13" i="2"/>
  <c r="DJ13" i="2"/>
  <c r="CC13" i="2"/>
  <c r="AA13" i="2"/>
  <c r="R13" i="2"/>
  <c r="BW13" i="2"/>
  <c r="DY11" i="2"/>
  <c r="AD13" i="2"/>
  <c r="CX13" i="2"/>
  <c r="I11" i="2" l="1"/>
  <c r="GN12" i="2"/>
  <c r="H15" i="2"/>
  <c r="GZ12" i="2"/>
  <c r="M12" i="2"/>
  <c r="W15" i="2"/>
  <c r="GO15" i="2"/>
  <c r="HA15" i="2"/>
  <c r="CO13" i="2"/>
  <c r="X11" i="2"/>
  <c r="V12" i="2"/>
  <c r="L11" i="2"/>
  <c r="HG15" i="2"/>
  <c r="FW15" i="2"/>
  <c r="BQ13" i="2"/>
  <c r="FH15" i="2"/>
  <c r="AP11" i="2"/>
  <c r="U11" i="2"/>
  <c r="BP15" i="2"/>
  <c r="L13" i="2"/>
  <c r="G12" i="2"/>
  <c r="E15" i="2"/>
  <c r="AF15" i="2"/>
  <c r="AG11" i="2"/>
  <c r="AL15" i="2"/>
  <c r="AN12" i="2"/>
  <c r="AS13" i="2"/>
  <c r="AR15" i="2"/>
  <c r="AX15" i="2"/>
  <c r="AZ12" i="2"/>
  <c r="AY13" i="2"/>
  <c r="CG12" i="2"/>
  <c r="CE15" i="2"/>
  <c r="CF13" i="2"/>
  <c r="CK15" i="2"/>
  <c r="CM12" i="2"/>
  <c r="CS12" i="2"/>
  <c r="CQ15" i="2"/>
  <c r="CY12" i="2"/>
  <c r="CX11" i="2"/>
  <c r="DE12" i="2"/>
  <c r="DC15" i="2"/>
  <c r="DI15" i="2"/>
  <c r="DJ11" i="2"/>
  <c r="DV11" i="2"/>
  <c r="DU15" i="2"/>
  <c r="DV13" i="2"/>
  <c r="EE13" i="2"/>
  <c r="ED15" i="2"/>
  <c r="EK11" i="2"/>
  <c r="EJ15" i="2"/>
  <c r="EP15" i="2"/>
  <c r="ER12" i="2"/>
  <c r="FZ15" i="2"/>
  <c r="GB12" i="2"/>
  <c r="CL11" i="2"/>
  <c r="AS11" i="2"/>
  <c r="AM13" i="2"/>
  <c r="EQ11" i="2"/>
  <c r="EQ13" i="2"/>
  <c r="CL13" i="2"/>
  <c r="EK13" i="2"/>
  <c r="DD13" i="2"/>
  <c r="F11" i="2"/>
  <c r="CF11" i="2"/>
  <c r="CR13" i="2"/>
  <c r="F13" i="2"/>
  <c r="AM11" i="2"/>
  <c r="BO12" i="2"/>
  <c r="DW12" i="2"/>
  <c r="DQ12" i="2"/>
  <c r="EE11" i="2"/>
  <c r="CR11" i="2"/>
  <c r="AH12" i="2"/>
  <c r="CW15" i="2"/>
  <c r="EL12" i="2"/>
  <c r="GH12" i="2"/>
  <c r="B15" i="2"/>
  <c r="D12" i="2"/>
  <c r="AK12" i="2"/>
  <c r="AJ13" i="2"/>
  <c r="AJ11" i="2"/>
  <c r="AO15" i="2"/>
  <c r="AQ12" i="2"/>
  <c r="AU15" i="2"/>
  <c r="AW12" i="2"/>
  <c r="BC12" i="2"/>
  <c r="BB11" i="2"/>
  <c r="CJ12" i="2"/>
  <c r="CI13" i="2"/>
  <c r="CH15" i="2"/>
  <c r="CP12" i="2"/>
  <c r="CN15" i="2"/>
  <c r="CT15" i="2"/>
  <c r="CV12" i="2"/>
  <c r="CU11" i="2"/>
  <c r="DA11" i="2"/>
  <c r="CZ15" i="2"/>
  <c r="DG13" i="2"/>
  <c r="DH12" i="2"/>
  <c r="DL15" i="2"/>
  <c r="DM11" i="2"/>
  <c r="DM13" i="2"/>
  <c r="DR15" i="2"/>
  <c r="DS13" i="2"/>
  <c r="DS11" i="2"/>
  <c r="EG15" i="2"/>
  <c r="EI12" i="2"/>
  <c r="EM15" i="2"/>
  <c r="EO12" i="2"/>
  <c r="ES15" i="2"/>
  <c r="ET11" i="2"/>
  <c r="EU12" i="2"/>
  <c r="FQ15" i="2"/>
  <c r="FS12" i="2"/>
  <c r="GC15" i="2"/>
  <c r="GE12" i="2"/>
</calcChain>
</file>

<file path=xl/comments1.xml><?xml version="1.0" encoding="utf-8"?>
<comments xmlns="http://schemas.openxmlformats.org/spreadsheetml/2006/main">
  <authors>
    <author>Jim Sjoo Kwak</author>
  </authors>
  <commentList>
    <comment ref="C3" authorId="0" shapeId="0">
      <text>
        <r>
          <rPr>
            <sz val="8"/>
            <color indexed="54"/>
            <rFont val="Tahoma"/>
            <family val="2"/>
          </rPr>
          <t>Default</t>
        </r>
      </text>
    </comment>
    <comment ref="B5" authorId="0" shapeId="0">
      <text>
        <r>
          <rPr>
            <sz val="8"/>
            <color indexed="54"/>
            <rFont val="Tahoma"/>
            <family val="2"/>
          </rPr>
          <t>일간
주간
월간
분기간
년간</t>
        </r>
      </text>
    </comment>
    <comment ref="C5" authorId="0" shapeId="0">
      <text>
        <r>
          <rPr>
            <sz val="8"/>
            <color indexed="54"/>
            <rFont val="Tahoma"/>
            <family val="2"/>
          </rPr>
          <t>Local
KRW
USD</t>
        </r>
      </text>
    </comment>
    <comment ref="A6" authorId="0" shapeId="0">
      <text>
        <r>
          <rPr>
            <sz val="8"/>
            <color indexed="54"/>
            <rFont val="Tahoma"/>
            <family val="2"/>
          </rPr>
          <t>주간,월간,분기간,년간 : Exclusive 제외</t>
        </r>
      </text>
    </comment>
    <comment ref="B6" authorId="0" shapeId="0">
      <text>
        <r>
          <rPr>
            <sz val="8"/>
            <color indexed="54"/>
            <rFont val="Tahoma"/>
            <family val="2"/>
          </rPr>
          <t>Exclusive
N/A
NULL
Previous</t>
        </r>
      </text>
    </comment>
    <comment ref="C6" authorId="0" shapeId="0">
      <text>
        <r>
          <rPr>
            <sz val="8"/>
            <color indexed="54"/>
            <rFont val="Tahoma"/>
            <family val="2"/>
          </rPr>
          <t>Asc
Desc</t>
        </r>
      </text>
    </comment>
    <comment ref="A7" authorId="0" shapeId="0">
      <text>
        <r>
          <rPr>
            <sz val="8"/>
            <color indexed="54"/>
            <rFont val="Tahoma"/>
            <family val="2"/>
          </rPr>
          <t>주간,월간,분기간,년간 : SUN, SAT 제외</t>
        </r>
      </text>
    </comment>
    <comment ref="B7" authorId="0" shapeId="0">
      <text>
        <r>
          <rPr>
            <sz val="8"/>
            <color indexed="54"/>
            <rFont val="Tahoma"/>
            <family val="2"/>
          </rPr>
          <t>NONE
SUN
SAT
ALL</t>
        </r>
      </text>
    </comment>
    <comment ref="A8" authorId="0" shapeId="0">
      <text>
        <r>
          <rPr>
            <sz val="8"/>
            <color indexed="54"/>
            <rFont val="Tahoma"/>
            <family val="2"/>
          </rPr>
          <t>Ex) 
 YYYYMMDD 
 Or 
 Current(YYYYMMDD)</t>
        </r>
      </text>
    </comment>
  </commentList>
</comments>
</file>

<file path=xl/comments2.xml><?xml version="1.0" encoding="utf-8"?>
<comments xmlns="http://schemas.openxmlformats.org/spreadsheetml/2006/main">
  <authors>
    <author>Jim Sjoo Kwak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Jim Sjoo Kwak:</t>
        </r>
        <r>
          <rPr>
            <sz val="9"/>
            <color indexed="81"/>
            <rFont val="Tahoma"/>
            <family val="2"/>
          </rPr>
          <t xml:space="preserve">
단축키-[ALT+DOWN]</t>
        </r>
      </text>
    </comment>
  </commentList>
</comments>
</file>

<file path=xl/sharedStrings.xml><?xml version="1.0" encoding="utf-8"?>
<sst xmlns="http://schemas.openxmlformats.org/spreadsheetml/2006/main" count="1054" uniqueCount="278">
  <si>
    <t>Calendar Basis</t>
  </si>
  <si>
    <t>Portfolio</t>
  </si>
  <si>
    <t xml:space="preserve"> </t>
  </si>
  <si>
    <t>Item</t>
  </si>
  <si>
    <t>Frequency</t>
  </si>
  <si>
    <t>Non-Trading Day</t>
  </si>
  <si>
    <t>Include Weekend</t>
  </si>
  <si>
    <t>Term</t>
  </si>
  <si>
    <t>Symbol</t>
  </si>
  <si>
    <t>Symbol Name</t>
  </si>
  <si>
    <t>Kind</t>
  </si>
  <si>
    <t>Item Name</t>
  </si>
  <si>
    <t>A000270</t>
  </si>
  <si>
    <t>기아차</t>
  </si>
  <si>
    <t>SSC</t>
  </si>
  <si>
    <t>S410000700</t>
  </si>
  <si>
    <t>수정주가(원)</t>
  </si>
  <si>
    <t>DAILY</t>
  </si>
  <si>
    <t>A000660</t>
  </si>
  <si>
    <t>SK하이닉스</t>
  </si>
  <si>
    <t>A000830</t>
  </si>
  <si>
    <t>삼성물산</t>
  </si>
  <si>
    <t>A003490</t>
  </si>
  <si>
    <t>대한항공</t>
  </si>
  <si>
    <t>A004020</t>
  </si>
  <si>
    <t>현대제철</t>
  </si>
  <si>
    <t>A005490</t>
  </si>
  <si>
    <t>POSCO</t>
  </si>
  <si>
    <t>A005930</t>
  </si>
  <si>
    <t>삼성전자</t>
  </si>
  <si>
    <t>A006400</t>
  </si>
  <si>
    <t>삼성SDI</t>
  </si>
  <si>
    <t>A009540</t>
  </si>
  <si>
    <t>현대중공업</t>
  </si>
  <si>
    <t>A010130</t>
  </si>
  <si>
    <t>고려아연</t>
  </si>
  <si>
    <t>A010950</t>
  </si>
  <si>
    <t>S-Oil</t>
  </si>
  <si>
    <t>A011170</t>
  </si>
  <si>
    <t>롯데케미칼</t>
  </si>
  <si>
    <t>A035420</t>
  </si>
  <si>
    <t>NHN</t>
  </si>
  <si>
    <t>A036570</t>
  </si>
  <si>
    <t>엔씨소프트</t>
  </si>
  <si>
    <t>A042660</t>
  </si>
  <si>
    <t>대우조선해양</t>
  </si>
  <si>
    <t>A051900</t>
  </si>
  <si>
    <t>LG생활건강</t>
  </si>
  <si>
    <t>A051910</t>
  </si>
  <si>
    <t>LG화학</t>
  </si>
  <si>
    <t>A066570</t>
  </si>
  <si>
    <t>LG전자</t>
  </si>
  <si>
    <t>A086280</t>
  </si>
  <si>
    <t>현대글로비스</t>
  </si>
  <si>
    <t>ALL</t>
  </si>
  <si>
    <t>일간</t>
  </si>
  <si>
    <t>Exclusive</t>
  </si>
  <si>
    <t>Local</t>
  </si>
  <si>
    <t>Desc</t>
  </si>
  <si>
    <t>Default</t>
  </si>
  <si>
    <t>수정주가</t>
  </si>
  <si>
    <t>UPPER</t>
  </si>
  <si>
    <t>LOWER</t>
  </si>
  <si>
    <t>Upper</t>
  </si>
  <si>
    <t>Lower</t>
  </si>
  <si>
    <t>Mid</t>
  </si>
  <si>
    <t>TOMORROW CASTING</t>
  </si>
  <si>
    <t>Spot</t>
  </si>
  <si>
    <t>Code</t>
  </si>
  <si>
    <t>Hit Upper</t>
  </si>
  <si>
    <t>Hit Lower</t>
  </si>
  <si>
    <t>일자</t>
  </si>
  <si>
    <t>뉴스</t>
  </si>
  <si>
    <t>Fed 양적완화축소가능성-금리상승기대</t>
  </si>
  <si>
    <t>보험주 상승</t>
  </si>
  <si>
    <t>현대글로비스 상승</t>
  </si>
  <si>
    <t>현대차 수출증가,해운운임하락</t>
  </si>
  <si>
    <t>업종/종목</t>
  </si>
  <si>
    <t>Current(20130704)</t>
  </si>
  <si>
    <t>No.</t>
  </si>
  <si>
    <t>종목</t>
  </si>
  <si>
    <t>종목명</t>
  </si>
  <si>
    <t>구성비</t>
  </si>
  <si>
    <t>시장비</t>
  </si>
  <si>
    <t>편입비</t>
  </si>
  <si>
    <t>보유수량</t>
  </si>
  <si>
    <t>취득단가</t>
  </si>
  <si>
    <t>종가</t>
  </si>
  <si>
    <t>취득금액</t>
  </si>
  <si>
    <t>평가금액</t>
  </si>
  <si>
    <t>누적평가손익</t>
  </si>
  <si>
    <t>평가R(%)▼</t>
  </si>
  <si>
    <t>시장기간수익률</t>
  </si>
  <si>
    <t>035760</t>
  </si>
  <si>
    <t>CJ오쇼핑</t>
  </si>
  <si>
    <t>006400</t>
  </si>
  <si>
    <t>078520</t>
  </si>
  <si>
    <t>에이블씨엔씨</t>
  </si>
  <si>
    <t>001630</t>
  </si>
  <si>
    <t>종근당</t>
  </si>
  <si>
    <t>051910</t>
  </si>
  <si>
    <t>071840</t>
  </si>
  <si>
    <t>롯데하이마트</t>
  </si>
  <si>
    <t>105630</t>
  </si>
  <si>
    <t>한세실업</t>
  </si>
  <si>
    <t>138930</t>
  </si>
  <si>
    <t>BS금융지주</t>
  </si>
  <si>
    <t>136540</t>
  </si>
  <si>
    <t>윈스테크넷</t>
  </si>
  <si>
    <t>042670</t>
  </si>
  <si>
    <t>두산인프라코어</t>
  </si>
  <si>
    <t>041510</t>
  </si>
  <si>
    <t>에스엠</t>
  </si>
  <si>
    <t>036830</t>
  </si>
  <si>
    <t>솔브레인</t>
  </si>
  <si>
    <t>032640</t>
  </si>
  <si>
    <t>LG유플러스</t>
  </si>
  <si>
    <t>043370</t>
  </si>
  <si>
    <t>평화정공</t>
  </si>
  <si>
    <t>012630</t>
  </si>
  <si>
    <t>현대산업</t>
  </si>
  <si>
    <t>011170</t>
  </si>
  <si>
    <t>051900</t>
  </si>
  <si>
    <t>009540</t>
  </si>
  <si>
    <t>018880</t>
  </si>
  <si>
    <t>한라비스테온공조</t>
  </si>
  <si>
    <t>046890</t>
  </si>
  <si>
    <t>서울반도체</t>
  </si>
  <si>
    <t>004020</t>
  </si>
  <si>
    <t>001800</t>
  </si>
  <si>
    <t>오리온</t>
  </si>
  <si>
    <t>001045</t>
  </si>
  <si>
    <t>CJ우</t>
  </si>
  <si>
    <t>001040</t>
  </si>
  <si>
    <t>CJ</t>
  </si>
  <si>
    <t>053210</t>
  </si>
  <si>
    <t>스카이라이프</t>
  </si>
  <si>
    <t>060720</t>
  </si>
  <si>
    <t>KH바텍</t>
  </si>
  <si>
    <t>071320</t>
  </si>
  <si>
    <t>지역난방공사</t>
  </si>
  <si>
    <t>095660</t>
  </si>
  <si>
    <t>네오위즈게임즈</t>
  </si>
  <si>
    <t>008770</t>
  </si>
  <si>
    <t>호텔신라</t>
  </si>
  <si>
    <t>005490</t>
  </si>
  <si>
    <t>108670</t>
  </si>
  <si>
    <t>LG하우시스</t>
  </si>
  <si>
    <t>010950</t>
  </si>
  <si>
    <t>115390</t>
  </si>
  <si>
    <t>락앤락</t>
  </si>
  <si>
    <t>000150</t>
  </si>
  <si>
    <t>두산</t>
  </si>
  <si>
    <t>034230</t>
  </si>
  <si>
    <t>파라다이스</t>
  </si>
  <si>
    <t>058470</t>
  </si>
  <si>
    <t>리노공업</t>
  </si>
  <si>
    <t>리노공업무상(보)</t>
  </si>
  <si>
    <t>000270</t>
  </si>
  <si>
    <t>036570</t>
  </si>
  <si>
    <t>014620</t>
  </si>
  <si>
    <t>성광벤드</t>
  </si>
  <si>
    <t>042660</t>
  </si>
  <si>
    <t>122350</t>
  </si>
  <si>
    <t>삼기오토모티브</t>
  </si>
  <si>
    <t>086280</t>
  </si>
  <si>
    <t>079160</t>
  </si>
  <si>
    <t>CJ CGV</t>
  </si>
  <si>
    <t>073240</t>
  </si>
  <si>
    <t>금호타이어</t>
  </si>
  <si>
    <t>005930</t>
  </si>
  <si>
    <t>005180</t>
  </si>
  <si>
    <t>빙그레</t>
  </si>
  <si>
    <t>035420</t>
  </si>
  <si>
    <t>008730</t>
  </si>
  <si>
    <t>율촌화학</t>
  </si>
  <si>
    <t>000155</t>
  </si>
  <si>
    <t>두산우</t>
  </si>
  <si>
    <t>068400</t>
  </si>
  <si>
    <t>AJ렌터카</t>
  </si>
  <si>
    <t>010130</t>
  </si>
  <si>
    <t>000660</t>
  </si>
  <si>
    <t>010960</t>
  </si>
  <si>
    <t>삼호개발</t>
  </si>
  <si>
    <t>000830</t>
  </si>
  <si>
    <t>101730</t>
  </si>
  <si>
    <t>조이맥스</t>
  </si>
  <si>
    <t>066570</t>
  </si>
  <si>
    <t>003490</t>
  </si>
  <si>
    <t>000215</t>
  </si>
  <si>
    <t>대림산업우</t>
  </si>
  <si>
    <t>005935</t>
  </si>
  <si>
    <t>삼성전자우</t>
  </si>
  <si>
    <t>020760</t>
  </si>
  <si>
    <t>일진디스플</t>
  </si>
  <si>
    <t>161890</t>
  </si>
  <si>
    <t>한국콜마</t>
  </si>
  <si>
    <t>006730</t>
  </si>
  <si>
    <t>서부T&amp;D</t>
  </si>
  <si>
    <t>128940</t>
  </si>
  <si>
    <t>한미약품</t>
  </si>
  <si>
    <t>014470</t>
  </si>
  <si>
    <t>리홈쿠첸</t>
  </si>
  <si>
    <t>111820</t>
  </si>
  <si>
    <t>처음앤씨</t>
  </si>
  <si>
    <t>002270</t>
  </si>
  <si>
    <t>롯데푸드</t>
  </si>
  <si>
    <t>950130</t>
  </si>
  <si>
    <t>엑세스바이오(Reg.S)</t>
  </si>
  <si>
    <t>010955</t>
  </si>
  <si>
    <t>S-Oil우</t>
  </si>
  <si>
    <t>067170</t>
  </si>
  <si>
    <t>오텍</t>
  </si>
  <si>
    <t>066575</t>
  </si>
  <si>
    <t>LG전자우</t>
  </si>
  <si>
    <t>091590</t>
  </si>
  <si>
    <t>남화토건</t>
  </si>
  <si>
    <t>011785</t>
  </si>
  <si>
    <t>금호석유우</t>
  </si>
  <si>
    <t>095500</t>
  </si>
  <si>
    <t>미래나노텍</t>
  </si>
  <si>
    <t>126700</t>
  </si>
  <si>
    <t>하이비젼시스템</t>
  </si>
  <si>
    <t>A035760</t>
  </si>
  <si>
    <t>A078520</t>
  </si>
  <si>
    <t>A001630</t>
  </si>
  <si>
    <t>A071840</t>
  </si>
  <si>
    <t>A105630</t>
  </si>
  <si>
    <t>A138930</t>
  </si>
  <si>
    <t>A136540</t>
  </si>
  <si>
    <t>A042670</t>
  </si>
  <si>
    <t>A041510</t>
  </si>
  <si>
    <t>A036830</t>
  </si>
  <si>
    <t>A032640</t>
  </si>
  <si>
    <t>A043370</t>
  </si>
  <si>
    <t>A012630</t>
  </si>
  <si>
    <t>A018880</t>
  </si>
  <si>
    <t>A046890</t>
  </si>
  <si>
    <t>A001800</t>
  </si>
  <si>
    <t>A001045</t>
  </si>
  <si>
    <t>A001040</t>
  </si>
  <si>
    <t>A053210</t>
  </si>
  <si>
    <t>A060720</t>
  </si>
  <si>
    <t>A071320</t>
  </si>
  <si>
    <t>A095660</t>
  </si>
  <si>
    <t>A008770</t>
  </si>
  <si>
    <t>A108670</t>
  </si>
  <si>
    <t>A115390</t>
  </si>
  <si>
    <t>A000150</t>
  </si>
  <si>
    <t>A034230</t>
  </si>
  <si>
    <t>A058470</t>
  </si>
  <si>
    <t>A014620</t>
  </si>
  <si>
    <t>A122350</t>
  </si>
  <si>
    <t>A079160</t>
  </si>
  <si>
    <t>A073240</t>
  </si>
  <si>
    <t>A005180</t>
  </si>
  <si>
    <t>A008730</t>
  </si>
  <si>
    <t>A000155</t>
  </si>
  <si>
    <t>A068400</t>
  </si>
  <si>
    <t>A010960</t>
  </si>
  <si>
    <t>A101730</t>
  </si>
  <si>
    <t>A000215</t>
  </si>
  <si>
    <t>A005935</t>
  </si>
  <si>
    <t>A020760</t>
  </si>
  <si>
    <t>A161890</t>
  </si>
  <si>
    <t>A006730</t>
  </si>
  <si>
    <t>A128940</t>
  </si>
  <si>
    <t>A014470</t>
  </si>
  <si>
    <t>A111820</t>
  </si>
  <si>
    <t>A010955</t>
  </si>
  <si>
    <t>A067170</t>
  </si>
  <si>
    <t>A066575</t>
  </si>
  <si>
    <t>A091590</t>
  </si>
  <si>
    <t>A011785</t>
  </si>
  <si>
    <t>A095500</t>
  </si>
  <si>
    <t>A002270</t>
  </si>
  <si>
    <t>A126700</t>
  </si>
  <si>
    <t>Last Refresh: 2013-07-05 08:34:22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</si>
</sst>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-* #,##0_-;\-* #,##0_-;_-* &quot;-&quot;_-;_-@_-"/>
    <numFmt numFmtId="43" formatCode="_-* #,##0.00_-;\-* #,##0.00_-;_-* &quot;-&quot;??_-;_-@_-"/>
    <numFmt numFmtId="176" formatCode="yyyy\-mm\-dd"/>
    <numFmt numFmtId="177" formatCode="#,##0_ ;\-#,##0\ "/>
    <numFmt numFmtId="178" formatCode="##0.00"/>
  </numFmts>
  <fonts count="21" x14ac:knownFonts="1">
    <font>
      <sz val="11"/>
      <color theme="1"/>
      <name val="맑은 고딕"/>
      <family val="2"/>
      <charset val="129"/>
      <scheme val="minor"/>
    </font>
    <font>
      <sz val="8"/>
      <color indexed="54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9"/>
      <color rgb="FF000000"/>
      <name val="Arial"/>
      <family val="2"/>
    </font>
    <font>
      <sz val="9"/>
      <color rgb="FFFFFF00"/>
      <name val="Arial"/>
      <family val="2"/>
    </font>
    <font>
      <sz val="9"/>
      <color theme="0" tint="-4.9989318521683403E-2"/>
      <name val="Arial"/>
      <family val="2"/>
    </font>
    <font>
      <sz val="14"/>
      <color theme="1"/>
      <name val="맑은 고딕"/>
      <family val="2"/>
      <charset val="129"/>
      <scheme val="minor"/>
    </font>
    <font>
      <sz val="14"/>
      <color theme="1"/>
      <name val="Wingdings"/>
      <charset val="2"/>
    </font>
    <font>
      <sz val="9"/>
      <color rgb="FF0070C0"/>
      <name val="Arial"/>
      <family val="2"/>
    </font>
    <font>
      <sz val="9"/>
      <color theme="0" tint="-0.14999847407452621"/>
      <name val="Arial"/>
      <family val="2"/>
    </font>
    <font>
      <sz val="8"/>
      <color theme="1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굴림"/>
      <family val="3"/>
      <charset val="129"/>
    </font>
    <font>
      <sz val="8"/>
      <name val="맑은 고딕"/>
      <family val="2"/>
      <charset val="129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7F9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A3ABBA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0"/>
      </bottom>
      <diagonal/>
    </border>
    <border>
      <left/>
      <right/>
      <top/>
      <bottom style="thin">
        <color rgb="FFA6A6A6"/>
      </bottom>
      <diagonal/>
    </border>
    <border>
      <left style="thin">
        <color rgb="FF538DD5"/>
      </left>
      <right/>
      <top style="thin">
        <color rgb="FF538DD5"/>
      </top>
      <bottom style="thin">
        <color rgb="FF538DD5"/>
      </bottom>
      <diagonal/>
    </border>
    <border>
      <left/>
      <right style="thin">
        <color rgb="FF538DD5"/>
      </right>
      <top style="thin">
        <color rgb="FF538DD5"/>
      </top>
      <bottom style="thin">
        <color rgb="FF538DD5"/>
      </bottom>
      <diagonal/>
    </border>
    <border>
      <left/>
      <right/>
      <top style="double">
        <color theme="0" tint="-4.9989318521683403E-2"/>
      </top>
      <bottom/>
      <diagonal/>
    </border>
    <border>
      <left/>
      <right/>
      <top/>
      <bottom style="double">
        <color theme="0" tint="-4.9989318521683403E-2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 style="thin">
        <color rgb="FF538DD5"/>
      </bottom>
      <diagonal/>
    </border>
    <border>
      <left style="thin">
        <color rgb="FF538DD5"/>
      </left>
      <right/>
      <top style="thin">
        <color rgb="FF538DD5"/>
      </top>
      <bottom/>
      <diagonal/>
    </border>
    <border>
      <left style="thin">
        <color rgb="FF538DD5"/>
      </left>
      <right style="thin">
        <color rgb="FF538DD5"/>
      </right>
      <top style="thin">
        <color rgb="FF538DD5"/>
      </top>
      <bottom/>
      <diagonal/>
    </border>
    <border>
      <left style="thin">
        <color rgb="FF538DD5"/>
      </left>
      <right style="thin">
        <color rgb="FF538DD5"/>
      </right>
      <top/>
      <bottom style="thin">
        <color rgb="FF538DD5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538DD5"/>
      </left>
      <right/>
      <top style="thin">
        <color rgb="FF538DD5"/>
      </top>
      <bottom style="dashed">
        <color rgb="FF538DD5"/>
      </bottom>
      <diagonal/>
    </border>
    <border>
      <left/>
      <right style="thin">
        <color rgb="FF538DD5"/>
      </right>
      <top style="thin">
        <color rgb="FF538DD5"/>
      </top>
      <bottom style="dashed">
        <color rgb="FF538DD5"/>
      </bottom>
      <diagonal/>
    </border>
    <border>
      <left style="thin">
        <color rgb="FF538DD5"/>
      </left>
      <right/>
      <top style="dashed">
        <color rgb="FF538DD5"/>
      </top>
      <bottom style="dashed">
        <color rgb="FF538DD5"/>
      </bottom>
      <diagonal/>
    </border>
    <border>
      <left/>
      <right style="thin">
        <color rgb="FF538DD5"/>
      </right>
      <top style="dashed">
        <color rgb="FF538DD5"/>
      </top>
      <bottom style="dashed">
        <color rgb="FF538DD5"/>
      </bottom>
      <diagonal/>
    </border>
    <border>
      <left style="thin">
        <color rgb="FF538DD5"/>
      </left>
      <right/>
      <top style="dashed">
        <color rgb="FF538DD5"/>
      </top>
      <bottom style="double">
        <color theme="0" tint="-4.9989318521683403E-2"/>
      </bottom>
      <diagonal/>
    </border>
    <border>
      <left/>
      <right style="thin">
        <color rgb="FF538DD5"/>
      </right>
      <top style="dashed">
        <color rgb="FF538DD5"/>
      </top>
      <bottom style="double">
        <color theme="0" tint="-4.9989318521683403E-2"/>
      </bottom>
      <diagonal/>
    </border>
  </borders>
  <cellStyleXfs count="3">
    <xf numFmtId="0" fontId="0" fillId="0" borderId="0"/>
    <xf numFmtId="0" fontId="5" fillId="2" borderId="0" applyNumberFormat="0" applyBorder="0" applyAlignment="0" applyProtection="0"/>
    <xf numFmtId="41" fontId="4" fillId="0" borderId="0" applyFont="0" applyFill="0" applyBorder="0" applyAlignment="0" applyProtection="0"/>
  </cellStyleXfs>
  <cellXfs count="87">
    <xf numFmtId="0" fontId="0" fillId="0" borderId="0" xfId="0"/>
    <xf numFmtId="0" fontId="6" fillId="0" borderId="0" xfId="0" applyFont="1"/>
    <xf numFmtId="0" fontId="7" fillId="3" borderId="0" xfId="0" applyFont="1" applyFill="1"/>
    <xf numFmtId="0" fontId="8" fillId="4" borderId="0" xfId="0" applyNumberFormat="1" applyFont="1" applyFill="1" applyBorder="1"/>
    <xf numFmtId="0" fontId="8" fillId="4" borderId="0" xfId="0" applyFont="1" applyFill="1" applyBorder="1"/>
    <xf numFmtId="0" fontId="9" fillId="5" borderId="0" xfId="0" applyFont="1" applyFill="1" applyBorder="1" applyAlignment="1">
      <alignment horizontal="center"/>
    </xf>
    <xf numFmtId="0" fontId="9" fillId="6" borderId="0" xfId="0" applyNumberFormat="1" applyFont="1" applyFill="1" applyBorder="1" applyAlignment="1">
      <alignment horizontal="right"/>
    </xf>
    <xf numFmtId="3" fontId="9" fillId="7" borderId="0" xfId="0" applyNumberFormat="1" applyFont="1" applyFill="1" applyAlignment="1">
      <alignment horizontal="right"/>
    </xf>
    <xf numFmtId="3" fontId="6" fillId="0" borderId="0" xfId="0" applyNumberFormat="1" applyFont="1" applyAlignment="1">
      <alignment horizontal="right"/>
    </xf>
    <xf numFmtId="3" fontId="9" fillId="7" borderId="11" xfId="0" applyNumberFormat="1" applyFont="1" applyFill="1" applyBorder="1" applyAlignment="1">
      <alignment horizontal="right"/>
    </xf>
    <xf numFmtId="3" fontId="6" fillId="0" borderId="11" xfId="0" applyNumberFormat="1" applyFont="1" applyBorder="1" applyAlignment="1">
      <alignment horizontal="right"/>
    </xf>
    <xf numFmtId="176" fontId="9" fillId="8" borderId="0" xfId="0" applyNumberFormat="1" applyFont="1" applyFill="1" applyAlignment="1">
      <alignment horizontal="center"/>
    </xf>
    <xf numFmtId="176" fontId="9" fillId="8" borderId="11" xfId="0" applyNumberFormat="1" applyFont="1" applyFill="1" applyBorder="1" applyAlignment="1">
      <alignment horizontal="center"/>
    </xf>
    <xf numFmtId="0" fontId="9" fillId="5" borderId="0" xfId="0" applyFont="1" applyFill="1" applyBorder="1" applyAlignment="1">
      <alignment horizontal="right" indent="1"/>
    </xf>
    <xf numFmtId="41" fontId="4" fillId="0" borderId="0" xfId="2" applyFont="1"/>
    <xf numFmtId="0" fontId="0" fillId="9" borderId="0" xfId="0" applyFill="1"/>
    <xf numFmtId="41" fontId="10" fillId="10" borderId="0" xfId="2" applyFont="1" applyFill="1" applyBorder="1" applyAlignment="1">
      <alignment horizontal="right"/>
    </xf>
    <xf numFmtId="41" fontId="11" fillId="10" borderId="0" xfId="2" applyFont="1" applyFill="1" applyBorder="1" applyAlignment="1">
      <alignment horizontal="right"/>
    </xf>
    <xf numFmtId="0" fontId="12" fillId="9" borderId="0" xfId="0" applyFont="1" applyFill="1" applyAlignment="1">
      <alignment horizontal="left" indent="1"/>
    </xf>
    <xf numFmtId="0" fontId="13" fillId="9" borderId="0" xfId="0" applyFont="1" applyFill="1"/>
    <xf numFmtId="0" fontId="14" fillId="11" borderId="12" xfId="0" applyNumberFormat="1" applyFont="1" applyFill="1" applyBorder="1" applyAlignment="1">
      <alignment horizontal="centerContinuous"/>
    </xf>
    <xf numFmtId="0" fontId="14" fillId="11" borderId="13" xfId="0" applyNumberFormat="1" applyFont="1" applyFill="1" applyBorder="1" applyAlignment="1">
      <alignment horizontal="right" indent="1"/>
    </xf>
    <xf numFmtId="0" fontId="8" fillId="4" borderId="0" xfId="0" applyFont="1" applyFill="1" applyBorder="1" applyAlignment="1">
      <alignment horizontal="right" indent="1"/>
    </xf>
    <xf numFmtId="0" fontId="9" fillId="5" borderId="14" xfId="0" applyFont="1" applyFill="1" applyBorder="1" applyAlignment="1">
      <alignment horizontal="right" indent="1"/>
    </xf>
    <xf numFmtId="0" fontId="9" fillId="6" borderId="14" xfId="0" applyNumberFormat="1" applyFont="1" applyFill="1" applyBorder="1" applyAlignment="1">
      <alignment horizontal="right"/>
    </xf>
    <xf numFmtId="0" fontId="9" fillId="5" borderId="15" xfId="0" applyFont="1" applyFill="1" applyBorder="1" applyAlignment="1">
      <alignment horizontal="right" indent="1"/>
    </xf>
    <xf numFmtId="0" fontId="9" fillId="6" borderId="15" xfId="0" applyNumberFormat="1" applyFont="1" applyFill="1" applyBorder="1" applyAlignment="1">
      <alignment horizontal="right"/>
    </xf>
    <xf numFmtId="41" fontId="15" fillId="12" borderId="0" xfId="2" applyFont="1" applyFill="1" applyBorder="1" applyAlignment="1">
      <alignment horizontal="right" indent="1"/>
    </xf>
    <xf numFmtId="0" fontId="16" fillId="0" borderId="0" xfId="0" applyFont="1" applyAlignment="1">
      <alignment horizontal="left"/>
    </xf>
    <xf numFmtId="0" fontId="8" fillId="4" borderId="16" xfId="0" applyNumberFormat="1" applyFont="1" applyFill="1" applyBorder="1"/>
    <xf numFmtId="0" fontId="8" fillId="4" borderId="17" xfId="0" applyNumberFormat="1" applyFont="1" applyFill="1" applyBorder="1"/>
    <xf numFmtId="0" fontId="8" fillId="4" borderId="18" xfId="0" applyNumberFormat="1" applyFont="1" applyFill="1" applyBorder="1"/>
    <xf numFmtId="0" fontId="8" fillId="4" borderId="12" xfId="0" applyNumberFormat="1" applyFont="1" applyFill="1" applyBorder="1"/>
    <xf numFmtId="0" fontId="8" fillId="4" borderId="19" xfId="0" applyNumberFormat="1" applyFont="1" applyFill="1" applyBorder="1"/>
    <xf numFmtId="177" fontId="11" fillId="10" borderId="0" xfId="2" applyNumberFormat="1" applyFont="1" applyFill="1" applyBorder="1" applyAlignment="1">
      <alignment horizontal="right"/>
    </xf>
    <xf numFmtId="0" fontId="8" fillId="0" borderId="1" xfId="0" applyFont="1" applyFill="1" applyBorder="1"/>
    <xf numFmtId="0" fontId="8" fillId="0" borderId="2" xfId="0" applyFont="1" applyFill="1" applyBorder="1"/>
    <xf numFmtId="0" fontId="8" fillId="0" borderId="3" xfId="0" applyFont="1" applyFill="1" applyBorder="1"/>
    <xf numFmtId="0" fontId="8" fillId="0" borderId="4" xfId="0" applyFont="1" applyFill="1" applyBorder="1"/>
    <xf numFmtId="0" fontId="8" fillId="0" borderId="5" xfId="0" applyFont="1" applyFill="1" applyBorder="1"/>
    <xf numFmtId="0" fontId="8" fillId="0" borderId="6" xfId="0" applyFont="1" applyFill="1" applyBorder="1"/>
    <xf numFmtId="0" fontId="17" fillId="0" borderId="0" xfId="0" applyFont="1"/>
    <xf numFmtId="0" fontId="17" fillId="0" borderId="0" xfId="0" applyFont="1" applyAlignment="1">
      <alignment horizontal="left" indent="1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5" fillId="2" borderId="7" xfId="1" applyBorder="1" applyAlignment="1">
      <alignment horizontal="center"/>
    </xf>
    <xf numFmtId="0" fontId="5" fillId="2" borderId="8" xfId="1" applyBorder="1" applyAlignment="1">
      <alignment horizontal="center"/>
    </xf>
    <xf numFmtId="0" fontId="5" fillId="2" borderId="9" xfId="1" applyBorder="1" applyAlignment="1">
      <alignment horizontal="center"/>
    </xf>
    <xf numFmtId="41" fontId="8" fillId="4" borderId="0" xfId="2" applyFont="1" applyFill="1" applyBorder="1"/>
    <xf numFmtId="41" fontId="8" fillId="4" borderId="0" xfId="0" applyNumberFormat="1" applyFont="1" applyFill="1" applyBorder="1"/>
    <xf numFmtId="43" fontId="11" fillId="10" borderId="0" xfId="2" applyNumberFormat="1" applyFont="1" applyFill="1" applyBorder="1" applyAlignment="1">
      <alignment horizontal="right"/>
    </xf>
    <xf numFmtId="49" fontId="18" fillId="13" borderId="20" xfId="0" applyNumberFormat="1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49" fontId="18" fillId="8" borderId="20" xfId="0" applyNumberFormat="1" applyFont="1" applyFill="1" applyBorder="1" applyAlignment="1">
      <alignment horizontal="center" vertical="center" wrapText="1"/>
    </xf>
    <xf numFmtId="4" fontId="18" fillId="8" borderId="20" xfId="0" applyNumberFormat="1" applyFont="1" applyFill="1" applyBorder="1" applyAlignment="1">
      <alignment horizontal="right" vertical="center" wrapText="1"/>
    </xf>
    <xf numFmtId="178" fontId="18" fillId="8" borderId="20" xfId="0" applyNumberFormat="1" applyFont="1" applyFill="1" applyBorder="1" applyAlignment="1">
      <alignment horizontal="right" vertical="center" wrapText="1"/>
    </xf>
    <xf numFmtId="3" fontId="18" fillId="8" borderId="20" xfId="0" applyNumberFormat="1" applyFont="1" applyFill="1" applyBorder="1" applyAlignment="1">
      <alignment horizontal="right" vertical="center" wrapText="1"/>
    </xf>
    <xf numFmtId="0" fontId="18" fillId="8" borderId="21" xfId="0" applyFont="1" applyFill="1" applyBorder="1" applyAlignment="1">
      <alignment horizontal="center" vertical="center" wrapText="1"/>
    </xf>
    <xf numFmtId="49" fontId="18" fillId="8" borderId="21" xfId="0" applyNumberFormat="1" applyFont="1" applyFill="1" applyBorder="1" applyAlignment="1">
      <alignment horizontal="center" vertical="center" wrapText="1"/>
    </xf>
    <xf numFmtId="4" fontId="18" fillId="8" borderId="21" xfId="0" applyNumberFormat="1" applyFont="1" applyFill="1" applyBorder="1" applyAlignment="1">
      <alignment horizontal="right" vertical="center" wrapText="1"/>
    </xf>
    <xf numFmtId="178" fontId="18" fillId="8" borderId="21" xfId="0" applyNumberFormat="1" applyFont="1" applyFill="1" applyBorder="1" applyAlignment="1">
      <alignment horizontal="right" vertical="center" wrapText="1"/>
    </xf>
    <xf numFmtId="3" fontId="18" fillId="8" borderId="21" xfId="0" applyNumberFormat="1" applyFont="1" applyFill="1" applyBorder="1" applyAlignment="1">
      <alignment horizontal="right" vertical="center" wrapText="1"/>
    </xf>
    <xf numFmtId="49" fontId="18" fillId="13" borderId="20" xfId="0" applyNumberFormat="1" applyFont="1" applyFill="1" applyBorder="1" applyAlignment="1">
      <alignment horizontal="left" vertical="center" wrapText="1" indent="1"/>
    </xf>
    <xf numFmtId="49" fontId="18" fillId="8" borderId="20" xfId="0" applyNumberFormat="1" applyFont="1" applyFill="1" applyBorder="1" applyAlignment="1">
      <alignment horizontal="left" vertical="center" wrapText="1" indent="1"/>
    </xf>
    <xf numFmtId="49" fontId="18" fillId="8" borderId="21" xfId="0" applyNumberFormat="1" applyFont="1" applyFill="1" applyBorder="1" applyAlignment="1">
      <alignment horizontal="left" vertical="center" wrapText="1" indent="1"/>
    </xf>
    <xf numFmtId="0" fontId="0" fillId="0" borderId="0" xfId="0" applyAlignment="1">
      <alignment horizontal="left" indent="1"/>
    </xf>
    <xf numFmtId="0" fontId="8" fillId="4" borderId="10" xfId="0" applyNumberFormat="1" applyFont="1" applyFill="1" applyBorder="1"/>
    <xf numFmtId="0" fontId="8" fillId="4" borderId="10" xfId="0" applyFont="1" applyFill="1" applyBorder="1"/>
    <xf numFmtId="0" fontId="9" fillId="5" borderId="10" xfId="0" applyFont="1" applyFill="1" applyBorder="1" applyAlignment="1">
      <alignment horizontal="center"/>
    </xf>
    <xf numFmtId="0" fontId="9" fillId="6" borderId="0" xfId="0" applyFont="1" applyFill="1" applyBorder="1" applyAlignment="1">
      <alignment horizontal="right"/>
    </xf>
    <xf numFmtId="0" fontId="9" fillId="6" borderId="10" xfId="0" applyNumberFormat="1" applyFont="1" applyFill="1" applyBorder="1" applyAlignment="1">
      <alignment horizontal="right"/>
    </xf>
    <xf numFmtId="0" fontId="9" fillId="6" borderId="10" xfId="0" applyFont="1" applyFill="1" applyBorder="1" applyAlignment="1">
      <alignment horizontal="right"/>
    </xf>
    <xf numFmtId="41" fontId="0" fillId="0" borderId="0" xfId="0" applyNumberFormat="1"/>
    <xf numFmtId="176" fontId="9" fillId="8" borderId="10" xfId="0" applyNumberFormat="1" applyFont="1" applyFill="1" applyBorder="1" applyAlignment="1">
      <alignment horizontal="center"/>
    </xf>
    <xf numFmtId="3" fontId="9" fillId="7" borderId="10" xfId="0" applyNumberFormat="1" applyFont="1" applyFill="1" applyBorder="1" applyAlignment="1">
      <alignment horizontal="right"/>
    </xf>
    <xf numFmtId="3" fontId="6" fillId="0" borderId="10" xfId="0" applyNumberFormat="1" applyFont="1" applyBorder="1" applyAlignment="1">
      <alignment horizontal="right"/>
    </xf>
    <xf numFmtId="0" fontId="9" fillId="6" borderId="0" xfId="0" applyFont="1" applyFill="1" applyAlignment="1">
      <alignment horizontal="right"/>
    </xf>
    <xf numFmtId="176" fontId="9" fillId="14" borderId="10" xfId="0" applyNumberFormat="1" applyFont="1" applyFill="1" applyBorder="1" applyAlignment="1">
      <alignment horizontal="center"/>
    </xf>
    <xf numFmtId="3" fontId="9" fillId="14" borderId="10" xfId="0" applyNumberFormat="1" applyFont="1" applyFill="1" applyBorder="1" applyAlignment="1">
      <alignment horizontal="right"/>
    </xf>
    <xf numFmtId="3" fontId="6" fillId="14" borderId="10" xfId="0" applyNumberFormat="1" applyFont="1" applyFill="1" applyBorder="1" applyAlignment="1">
      <alignment horizontal="right"/>
    </xf>
    <xf numFmtId="0" fontId="0" fillId="14" borderId="0" xfId="0" applyFill="1"/>
    <xf numFmtId="41" fontId="14" fillId="11" borderId="22" xfId="2" applyFont="1" applyFill="1" applyBorder="1" applyAlignment="1">
      <alignment horizontal="center"/>
    </xf>
    <xf numFmtId="41" fontId="14" fillId="11" borderId="23" xfId="2" applyFont="1" applyFill="1" applyBorder="1" applyAlignment="1">
      <alignment horizontal="center"/>
    </xf>
    <xf numFmtId="41" fontId="14" fillId="11" borderId="24" xfId="2" applyFont="1" applyFill="1" applyBorder="1" applyAlignment="1">
      <alignment horizontal="center"/>
    </xf>
    <xf numFmtId="41" fontId="14" fillId="11" borderId="25" xfId="2" applyFont="1" applyFill="1" applyBorder="1" applyAlignment="1">
      <alignment horizontal="center"/>
    </xf>
    <xf numFmtId="41" fontId="14" fillId="11" borderId="26" xfId="2" applyFont="1" applyFill="1" applyBorder="1" applyAlignment="1">
      <alignment horizontal="center"/>
    </xf>
    <xf numFmtId="41" fontId="14" fillId="11" borderId="27" xfId="2" applyFont="1" applyFill="1" applyBorder="1" applyAlignment="1">
      <alignment horizontal="center"/>
    </xf>
  </cellXfs>
  <cellStyles count="3">
    <cellStyle name="보통" xfId="1" builtinId="28"/>
    <cellStyle name="쉼표 [0]" xfId="2" builtinId="6"/>
    <cellStyle name="표준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9" Type="http://schemas.openxmlformats.org/officeDocument/2006/relationships/externalLink" Target="externalLinks/externalLink35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externalLink" Target="externalLinks/externalLink38.xml"/><Relationship Id="rId47" Type="http://schemas.openxmlformats.org/officeDocument/2006/relationships/externalLink" Target="externalLinks/externalLink43.xml"/><Relationship Id="rId50" Type="http://schemas.openxmlformats.org/officeDocument/2006/relationships/externalLink" Target="externalLinks/externalLink46.xml"/><Relationship Id="rId55" Type="http://schemas.openxmlformats.org/officeDocument/2006/relationships/externalLink" Target="externalLinks/externalLink51.xml"/><Relationship Id="rId63" Type="http://schemas.openxmlformats.org/officeDocument/2006/relationships/externalLink" Target="externalLinks/externalLink59.xml"/><Relationship Id="rId68" Type="http://schemas.openxmlformats.org/officeDocument/2006/relationships/externalLink" Target="externalLinks/externalLink64.xml"/><Relationship Id="rId76" Type="http://schemas.openxmlformats.org/officeDocument/2006/relationships/externalLink" Target="externalLinks/externalLink72.xml"/><Relationship Id="rId7" Type="http://schemas.openxmlformats.org/officeDocument/2006/relationships/externalLink" Target="externalLinks/externalLink3.xml"/><Relationship Id="rId71" Type="http://schemas.openxmlformats.org/officeDocument/2006/relationships/externalLink" Target="externalLinks/externalLink6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9" Type="http://schemas.openxmlformats.org/officeDocument/2006/relationships/externalLink" Target="externalLinks/externalLink25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externalLink" Target="externalLinks/externalLink33.xml"/><Relationship Id="rId40" Type="http://schemas.openxmlformats.org/officeDocument/2006/relationships/externalLink" Target="externalLinks/externalLink36.xml"/><Relationship Id="rId45" Type="http://schemas.openxmlformats.org/officeDocument/2006/relationships/externalLink" Target="externalLinks/externalLink41.xml"/><Relationship Id="rId53" Type="http://schemas.openxmlformats.org/officeDocument/2006/relationships/externalLink" Target="externalLinks/externalLink49.xml"/><Relationship Id="rId58" Type="http://schemas.openxmlformats.org/officeDocument/2006/relationships/externalLink" Target="externalLinks/externalLink54.xml"/><Relationship Id="rId66" Type="http://schemas.openxmlformats.org/officeDocument/2006/relationships/externalLink" Target="externalLinks/externalLink62.xml"/><Relationship Id="rId74" Type="http://schemas.openxmlformats.org/officeDocument/2006/relationships/externalLink" Target="externalLinks/externalLink70.xml"/><Relationship Id="rId79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61" Type="http://schemas.openxmlformats.org/officeDocument/2006/relationships/externalLink" Target="externalLinks/externalLink57.xml"/><Relationship Id="rId82" Type="http://schemas.microsoft.com/office/2006/relationships/vbaProject" Target="vbaProject.bin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31" Type="http://schemas.openxmlformats.org/officeDocument/2006/relationships/externalLink" Target="externalLinks/externalLink27.xml"/><Relationship Id="rId44" Type="http://schemas.openxmlformats.org/officeDocument/2006/relationships/externalLink" Target="externalLinks/externalLink40.xml"/><Relationship Id="rId52" Type="http://schemas.openxmlformats.org/officeDocument/2006/relationships/externalLink" Target="externalLinks/externalLink48.xml"/><Relationship Id="rId60" Type="http://schemas.openxmlformats.org/officeDocument/2006/relationships/externalLink" Target="externalLinks/externalLink56.xml"/><Relationship Id="rId65" Type="http://schemas.openxmlformats.org/officeDocument/2006/relationships/externalLink" Target="externalLinks/externalLink61.xml"/><Relationship Id="rId73" Type="http://schemas.openxmlformats.org/officeDocument/2006/relationships/externalLink" Target="externalLinks/externalLink69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43" Type="http://schemas.openxmlformats.org/officeDocument/2006/relationships/externalLink" Target="externalLinks/externalLink39.xml"/><Relationship Id="rId48" Type="http://schemas.openxmlformats.org/officeDocument/2006/relationships/externalLink" Target="externalLinks/externalLink44.xml"/><Relationship Id="rId56" Type="http://schemas.openxmlformats.org/officeDocument/2006/relationships/externalLink" Target="externalLinks/externalLink52.xml"/><Relationship Id="rId64" Type="http://schemas.openxmlformats.org/officeDocument/2006/relationships/externalLink" Target="externalLinks/externalLink60.xml"/><Relationship Id="rId69" Type="http://schemas.openxmlformats.org/officeDocument/2006/relationships/externalLink" Target="externalLinks/externalLink65.xml"/><Relationship Id="rId77" Type="http://schemas.openxmlformats.org/officeDocument/2006/relationships/externalLink" Target="externalLinks/externalLink73.xml"/><Relationship Id="rId8" Type="http://schemas.openxmlformats.org/officeDocument/2006/relationships/externalLink" Target="externalLinks/externalLink4.xml"/><Relationship Id="rId51" Type="http://schemas.openxmlformats.org/officeDocument/2006/relationships/externalLink" Target="externalLinks/externalLink47.xml"/><Relationship Id="rId72" Type="http://schemas.openxmlformats.org/officeDocument/2006/relationships/externalLink" Target="externalLinks/externalLink68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externalLink" Target="externalLinks/externalLink34.xml"/><Relationship Id="rId46" Type="http://schemas.openxmlformats.org/officeDocument/2006/relationships/externalLink" Target="externalLinks/externalLink42.xml"/><Relationship Id="rId59" Type="http://schemas.openxmlformats.org/officeDocument/2006/relationships/externalLink" Target="externalLinks/externalLink55.xml"/><Relationship Id="rId67" Type="http://schemas.openxmlformats.org/officeDocument/2006/relationships/externalLink" Target="externalLinks/externalLink63.xml"/><Relationship Id="rId20" Type="http://schemas.openxmlformats.org/officeDocument/2006/relationships/externalLink" Target="externalLinks/externalLink16.xml"/><Relationship Id="rId41" Type="http://schemas.openxmlformats.org/officeDocument/2006/relationships/externalLink" Target="externalLinks/externalLink37.xml"/><Relationship Id="rId54" Type="http://schemas.openxmlformats.org/officeDocument/2006/relationships/externalLink" Target="externalLinks/externalLink50.xml"/><Relationship Id="rId62" Type="http://schemas.openxmlformats.org/officeDocument/2006/relationships/externalLink" Target="externalLinks/externalLink58.xml"/><Relationship Id="rId70" Type="http://schemas.openxmlformats.org/officeDocument/2006/relationships/externalLink" Target="externalLinks/externalLink66.xml"/><Relationship Id="rId75" Type="http://schemas.openxmlformats.org/officeDocument/2006/relationships/externalLink" Target="externalLinks/externalLink7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externalLink" Target="externalLinks/externalLink32.xml"/><Relationship Id="rId49" Type="http://schemas.openxmlformats.org/officeDocument/2006/relationships/externalLink" Target="externalLinks/externalLink45.xml"/><Relationship Id="rId57" Type="http://schemas.openxmlformats.org/officeDocument/2006/relationships/externalLink" Target="externalLinks/externalLink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맑은 고딕"/>
                <a:ea typeface="맑은 고딕"/>
                <a:cs typeface="맑은 고딕"/>
              </a:defRPr>
            </a:pPr>
            <a:r>
              <a:rPr lang="en-US" altLang="ko-KR"/>
              <a:t>POSCO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9267935258092732E-2"/>
          <c:y val="5.1400554097404488E-2"/>
          <c:w val="0.93074671916010498"/>
          <c:h val="0.68910104986876641"/>
        </c:manualLayout>
      </c:layout>
      <c:lineChart>
        <c:grouping val="standard"/>
        <c:varyColors val="0"/>
        <c:ser>
          <c:idx val="0"/>
          <c:order val="0"/>
          <c:tx>
            <c:strRef>
              <c:f>casting!$CK$14</c:f>
              <c:strCache>
                <c:ptCount val="1"/>
                <c:pt idx="0">
                  <c:v>수정주가</c:v>
                </c:pt>
              </c:strCache>
            </c:strRef>
          </c:tx>
          <c:spPr>
            <a:ln w="19050"/>
          </c:spPr>
          <c:marker>
            <c:symbol val="none"/>
          </c:marker>
          <c:dPt>
            <c:idx val="60"/>
            <c:marker>
              <c:symbol val="auto"/>
            </c:marker>
            <c:bubble3D val="0"/>
            <c:extLst>
              <c:ext xmlns:c16="http://schemas.microsoft.com/office/drawing/2014/chart" uri="{C3380CC4-5D6E-409C-BE32-E72D297353CC}">
                <c16:uniqueId val="{00000001-AA75-4B53-A9A0-0048FC5D0C0A}"/>
              </c:ext>
            </c:extLst>
          </c:dPt>
          <c:cat>
            <c:numRef>
              <c:f>casting!$A$15:$A$75</c:f>
              <c:numCache>
                <c:formatCode>yyyy\-mm\-dd</c:formatCode>
                <c:ptCount val="61"/>
                <c:pt idx="0">
                  <c:v>41460</c:v>
                </c:pt>
                <c:pt idx="1">
                  <c:v>41459</c:v>
                </c:pt>
                <c:pt idx="2">
                  <c:v>41458</c:v>
                </c:pt>
                <c:pt idx="3">
                  <c:v>41457</c:v>
                </c:pt>
                <c:pt idx="4">
                  <c:v>41456</c:v>
                </c:pt>
                <c:pt idx="5">
                  <c:v>41453</c:v>
                </c:pt>
                <c:pt idx="6">
                  <c:v>41452</c:v>
                </c:pt>
                <c:pt idx="7">
                  <c:v>41451</c:v>
                </c:pt>
                <c:pt idx="8">
                  <c:v>41450</c:v>
                </c:pt>
                <c:pt idx="9">
                  <c:v>41449</c:v>
                </c:pt>
                <c:pt idx="10">
                  <c:v>41446</c:v>
                </c:pt>
                <c:pt idx="11">
                  <c:v>41445</c:v>
                </c:pt>
                <c:pt idx="12">
                  <c:v>41444</c:v>
                </c:pt>
                <c:pt idx="13">
                  <c:v>41443</c:v>
                </c:pt>
                <c:pt idx="14">
                  <c:v>41442</c:v>
                </c:pt>
                <c:pt idx="15">
                  <c:v>41439</c:v>
                </c:pt>
                <c:pt idx="16">
                  <c:v>41438</c:v>
                </c:pt>
                <c:pt idx="17">
                  <c:v>41437</c:v>
                </c:pt>
                <c:pt idx="18">
                  <c:v>41436</c:v>
                </c:pt>
                <c:pt idx="19">
                  <c:v>41435</c:v>
                </c:pt>
                <c:pt idx="20">
                  <c:v>41432</c:v>
                </c:pt>
                <c:pt idx="21">
                  <c:v>41430</c:v>
                </c:pt>
                <c:pt idx="22">
                  <c:v>41429</c:v>
                </c:pt>
                <c:pt idx="23">
                  <c:v>41428</c:v>
                </c:pt>
                <c:pt idx="24">
                  <c:v>41425</c:v>
                </c:pt>
                <c:pt idx="25">
                  <c:v>41424</c:v>
                </c:pt>
                <c:pt idx="26">
                  <c:v>41423</c:v>
                </c:pt>
                <c:pt idx="27">
                  <c:v>41422</c:v>
                </c:pt>
                <c:pt idx="28">
                  <c:v>41421</c:v>
                </c:pt>
                <c:pt idx="29">
                  <c:v>41418</c:v>
                </c:pt>
                <c:pt idx="30">
                  <c:v>41417</c:v>
                </c:pt>
                <c:pt idx="31">
                  <c:v>41416</c:v>
                </c:pt>
                <c:pt idx="32">
                  <c:v>41415</c:v>
                </c:pt>
                <c:pt idx="33">
                  <c:v>41414</c:v>
                </c:pt>
                <c:pt idx="34">
                  <c:v>41410</c:v>
                </c:pt>
                <c:pt idx="35">
                  <c:v>41409</c:v>
                </c:pt>
                <c:pt idx="36">
                  <c:v>41408</c:v>
                </c:pt>
                <c:pt idx="37">
                  <c:v>41407</c:v>
                </c:pt>
                <c:pt idx="38">
                  <c:v>41404</c:v>
                </c:pt>
                <c:pt idx="39">
                  <c:v>41403</c:v>
                </c:pt>
                <c:pt idx="40">
                  <c:v>41402</c:v>
                </c:pt>
                <c:pt idx="41">
                  <c:v>41401</c:v>
                </c:pt>
                <c:pt idx="42">
                  <c:v>41400</c:v>
                </c:pt>
                <c:pt idx="43">
                  <c:v>41397</c:v>
                </c:pt>
                <c:pt idx="44">
                  <c:v>41396</c:v>
                </c:pt>
                <c:pt idx="45">
                  <c:v>41394</c:v>
                </c:pt>
                <c:pt idx="46">
                  <c:v>41393</c:v>
                </c:pt>
                <c:pt idx="47">
                  <c:v>41390</c:v>
                </c:pt>
                <c:pt idx="48">
                  <c:v>41389</c:v>
                </c:pt>
                <c:pt idx="49">
                  <c:v>41388</c:v>
                </c:pt>
                <c:pt idx="50">
                  <c:v>41387</c:v>
                </c:pt>
                <c:pt idx="51">
                  <c:v>41386</c:v>
                </c:pt>
                <c:pt idx="52">
                  <c:v>41383</c:v>
                </c:pt>
                <c:pt idx="53">
                  <c:v>41382</c:v>
                </c:pt>
                <c:pt idx="54">
                  <c:v>41381</c:v>
                </c:pt>
                <c:pt idx="55">
                  <c:v>41380</c:v>
                </c:pt>
                <c:pt idx="56">
                  <c:v>41379</c:v>
                </c:pt>
                <c:pt idx="57">
                  <c:v>41376</c:v>
                </c:pt>
                <c:pt idx="58">
                  <c:v>41375</c:v>
                </c:pt>
                <c:pt idx="59">
                  <c:v>41374</c:v>
                </c:pt>
                <c:pt idx="60">
                  <c:v>41373</c:v>
                </c:pt>
              </c:numCache>
            </c:numRef>
          </c:cat>
          <c:val>
            <c:numRef>
              <c:f>casting!$CK$15:$CK$75</c:f>
              <c:numCache>
                <c:formatCode>#,##0</c:formatCode>
                <c:ptCount val="61"/>
                <c:pt idx="0">
                  <c:v>296500</c:v>
                </c:pt>
                <c:pt idx="1">
                  <c:v>292500</c:v>
                </c:pt>
                <c:pt idx="2">
                  <c:v>294000</c:v>
                </c:pt>
                <c:pt idx="3">
                  <c:v>299500</c:v>
                </c:pt>
                <c:pt idx="4">
                  <c:v>296000</c:v>
                </c:pt>
                <c:pt idx="5">
                  <c:v>298500</c:v>
                </c:pt>
                <c:pt idx="6">
                  <c:v>294000</c:v>
                </c:pt>
                <c:pt idx="7">
                  <c:v>292500</c:v>
                </c:pt>
                <c:pt idx="8">
                  <c:v>293000</c:v>
                </c:pt>
                <c:pt idx="9">
                  <c:v>292500</c:v>
                </c:pt>
                <c:pt idx="10">
                  <c:v>294000</c:v>
                </c:pt>
                <c:pt idx="11">
                  <c:v>309500</c:v>
                </c:pt>
                <c:pt idx="12">
                  <c:v>313500</c:v>
                </c:pt>
                <c:pt idx="13">
                  <c:v>313000</c:v>
                </c:pt>
                <c:pt idx="14">
                  <c:v>312000</c:v>
                </c:pt>
                <c:pt idx="15">
                  <c:v>313500</c:v>
                </c:pt>
                <c:pt idx="16">
                  <c:v>313000</c:v>
                </c:pt>
                <c:pt idx="17">
                  <c:v>314500</c:v>
                </c:pt>
                <c:pt idx="18">
                  <c:v>316000</c:v>
                </c:pt>
                <c:pt idx="19">
                  <c:v>316500</c:v>
                </c:pt>
                <c:pt idx="20">
                  <c:v>319000</c:v>
                </c:pt>
                <c:pt idx="21">
                  <c:v>320500</c:v>
                </c:pt>
                <c:pt idx="22">
                  <c:v>323500</c:v>
                </c:pt>
                <c:pt idx="23">
                  <c:v>322500</c:v>
                </c:pt>
                <c:pt idx="24">
                  <c:v>322000</c:v>
                </c:pt>
                <c:pt idx="25">
                  <c:v>324500</c:v>
                </c:pt>
                <c:pt idx="26">
                  <c:v>324500</c:v>
                </c:pt>
                <c:pt idx="27">
                  <c:v>324000</c:v>
                </c:pt>
                <c:pt idx="28">
                  <c:v>325000</c:v>
                </c:pt>
                <c:pt idx="29">
                  <c:v>326000</c:v>
                </c:pt>
                <c:pt idx="30">
                  <c:v>325000</c:v>
                </c:pt>
                <c:pt idx="31">
                  <c:v>326000</c:v>
                </c:pt>
                <c:pt idx="32">
                  <c:v>321000</c:v>
                </c:pt>
                <c:pt idx="33">
                  <c:v>323000</c:v>
                </c:pt>
                <c:pt idx="34">
                  <c:v>322000</c:v>
                </c:pt>
                <c:pt idx="35">
                  <c:v>318500</c:v>
                </c:pt>
                <c:pt idx="36">
                  <c:v>322500</c:v>
                </c:pt>
                <c:pt idx="37">
                  <c:v>321500</c:v>
                </c:pt>
                <c:pt idx="38">
                  <c:v>319500</c:v>
                </c:pt>
                <c:pt idx="39">
                  <c:v>323500</c:v>
                </c:pt>
                <c:pt idx="40">
                  <c:v>320500</c:v>
                </c:pt>
                <c:pt idx="41">
                  <c:v>319000</c:v>
                </c:pt>
                <c:pt idx="42">
                  <c:v>319000</c:v>
                </c:pt>
                <c:pt idx="43">
                  <c:v>316500</c:v>
                </c:pt>
                <c:pt idx="44">
                  <c:v>314000</c:v>
                </c:pt>
                <c:pt idx="45">
                  <c:v>314000</c:v>
                </c:pt>
                <c:pt idx="46">
                  <c:v>312500</c:v>
                </c:pt>
                <c:pt idx="47">
                  <c:v>316000</c:v>
                </c:pt>
                <c:pt idx="48">
                  <c:v>322500</c:v>
                </c:pt>
                <c:pt idx="49">
                  <c:v>319500</c:v>
                </c:pt>
                <c:pt idx="50">
                  <c:v>319500</c:v>
                </c:pt>
                <c:pt idx="51">
                  <c:v>320500</c:v>
                </c:pt>
                <c:pt idx="52">
                  <c:v>320500</c:v>
                </c:pt>
                <c:pt idx="53">
                  <c:v>315500</c:v>
                </c:pt>
                <c:pt idx="54">
                  <c:v>320000</c:v>
                </c:pt>
                <c:pt idx="55">
                  <c:v>320500</c:v>
                </c:pt>
                <c:pt idx="56">
                  <c:v>324000</c:v>
                </c:pt>
                <c:pt idx="57">
                  <c:v>320500</c:v>
                </c:pt>
                <c:pt idx="58">
                  <c:v>322000</c:v>
                </c:pt>
                <c:pt idx="59">
                  <c:v>320000</c:v>
                </c:pt>
                <c:pt idx="60">
                  <c:v>312000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75-4B53-A9A0-0048FC5D0C0A}"/>
            </c:ext>
          </c:extLst>
        </c:ser>
        <c:ser>
          <c:idx val="1"/>
          <c:order val="1"/>
          <c:tx>
            <c:strRef>
              <c:f>casting!$CL$14</c:f>
              <c:strCache>
                <c:ptCount val="1"/>
                <c:pt idx="0">
                  <c:v>UPPER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casting!$A$15:$A$75</c:f>
              <c:numCache>
                <c:formatCode>yyyy\-mm\-dd</c:formatCode>
                <c:ptCount val="61"/>
                <c:pt idx="0">
                  <c:v>41460</c:v>
                </c:pt>
                <c:pt idx="1">
                  <c:v>41459</c:v>
                </c:pt>
                <c:pt idx="2">
                  <c:v>41458</c:v>
                </c:pt>
                <c:pt idx="3">
                  <c:v>41457</c:v>
                </c:pt>
                <c:pt idx="4">
                  <c:v>41456</c:v>
                </c:pt>
                <c:pt idx="5">
                  <c:v>41453</c:v>
                </c:pt>
                <c:pt idx="6">
                  <c:v>41452</c:v>
                </c:pt>
                <c:pt idx="7">
                  <c:v>41451</c:v>
                </c:pt>
                <c:pt idx="8">
                  <c:v>41450</c:v>
                </c:pt>
                <c:pt idx="9">
                  <c:v>41449</c:v>
                </c:pt>
                <c:pt idx="10">
                  <c:v>41446</c:v>
                </c:pt>
                <c:pt idx="11">
                  <c:v>41445</c:v>
                </c:pt>
                <c:pt idx="12">
                  <c:v>41444</c:v>
                </c:pt>
                <c:pt idx="13">
                  <c:v>41443</c:v>
                </c:pt>
                <c:pt idx="14">
                  <c:v>41442</c:v>
                </c:pt>
                <c:pt idx="15">
                  <c:v>41439</c:v>
                </c:pt>
                <c:pt idx="16">
                  <c:v>41438</c:v>
                </c:pt>
                <c:pt idx="17">
                  <c:v>41437</c:v>
                </c:pt>
                <c:pt idx="18">
                  <c:v>41436</c:v>
                </c:pt>
                <c:pt idx="19">
                  <c:v>41435</c:v>
                </c:pt>
                <c:pt idx="20">
                  <c:v>41432</c:v>
                </c:pt>
                <c:pt idx="21">
                  <c:v>41430</c:v>
                </c:pt>
                <c:pt idx="22">
                  <c:v>41429</c:v>
                </c:pt>
                <c:pt idx="23">
                  <c:v>41428</c:v>
                </c:pt>
                <c:pt idx="24">
                  <c:v>41425</c:v>
                </c:pt>
                <c:pt idx="25">
                  <c:v>41424</c:v>
                </c:pt>
                <c:pt idx="26">
                  <c:v>41423</c:v>
                </c:pt>
                <c:pt idx="27">
                  <c:v>41422</c:v>
                </c:pt>
                <c:pt idx="28">
                  <c:v>41421</c:v>
                </c:pt>
                <c:pt idx="29">
                  <c:v>41418</c:v>
                </c:pt>
                <c:pt idx="30">
                  <c:v>41417</c:v>
                </c:pt>
                <c:pt idx="31">
                  <c:v>41416</c:v>
                </c:pt>
                <c:pt idx="32">
                  <c:v>41415</c:v>
                </c:pt>
                <c:pt idx="33">
                  <c:v>41414</c:v>
                </c:pt>
                <c:pt idx="34">
                  <c:v>41410</c:v>
                </c:pt>
                <c:pt idx="35">
                  <c:v>41409</c:v>
                </c:pt>
                <c:pt idx="36">
                  <c:v>41408</c:v>
                </c:pt>
                <c:pt idx="37">
                  <c:v>41407</c:v>
                </c:pt>
                <c:pt idx="38">
                  <c:v>41404</c:v>
                </c:pt>
                <c:pt idx="39">
                  <c:v>41403</c:v>
                </c:pt>
                <c:pt idx="40">
                  <c:v>41402</c:v>
                </c:pt>
                <c:pt idx="41">
                  <c:v>41401</c:v>
                </c:pt>
                <c:pt idx="42">
                  <c:v>41400</c:v>
                </c:pt>
                <c:pt idx="43">
                  <c:v>41397</c:v>
                </c:pt>
                <c:pt idx="44">
                  <c:v>41396</c:v>
                </c:pt>
                <c:pt idx="45">
                  <c:v>41394</c:v>
                </c:pt>
                <c:pt idx="46">
                  <c:v>41393</c:v>
                </c:pt>
                <c:pt idx="47">
                  <c:v>41390</c:v>
                </c:pt>
                <c:pt idx="48">
                  <c:v>41389</c:v>
                </c:pt>
                <c:pt idx="49">
                  <c:v>41388</c:v>
                </c:pt>
                <c:pt idx="50">
                  <c:v>41387</c:v>
                </c:pt>
                <c:pt idx="51">
                  <c:v>41386</c:v>
                </c:pt>
                <c:pt idx="52">
                  <c:v>41383</c:v>
                </c:pt>
                <c:pt idx="53">
                  <c:v>41382</c:v>
                </c:pt>
                <c:pt idx="54">
                  <c:v>41381</c:v>
                </c:pt>
                <c:pt idx="55">
                  <c:v>41380</c:v>
                </c:pt>
                <c:pt idx="56">
                  <c:v>41379</c:v>
                </c:pt>
                <c:pt idx="57">
                  <c:v>41376</c:v>
                </c:pt>
                <c:pt idx="58">
                  <c:v>41375</c:v>
                </c:pt>
                <c:pt idx="59">
                  <c:v>41374</c:v>
                </c:pt>
                <c:pt idx="60">
                  <c:v>41373</c:v>
                </c:pt>
              </c:numCache>
            </c:numRef>
          </c:cat>
          <c:val>
            <c:numRef>
              <c:f>casting!$CL$15:$CL$75</c:f>
              <c:numCache>
                <c:formatCode>#,##0</c:formatCode>
                <c:ptCount val="61"/>
                <c:pt idx="0">
                  <c:v>294315.59707646631</c:v>
                </c:pt>
                <c:pt idx="1">
                  <c:v>295824.90783070418</c:v>
                </c:pt>
                <c:pt idx="2">
                  <c:v>301359.04726291151</c:v>
                </c:pt>
                <c:pt idx="3">
                  <c:v>297837.32216968853</c:v>
                </c:pt>
                <c:pt idx="4">
                  <c:v>300352.84009341942</c:v>
                </c:pt>
                <c:pt idx="5">
                  <c:v>295824.90783070418</c:v>
                </c:pt>
                <c:pt idx="6">
                  <c:v>294315.59707646631</c:v>
                </c:pt>
                <c:pt idx="7">
                  <c:v>294818.70066121191</c:v>
                </c:pt>
                <c:pt idx="8">
                  <c:v>294315.59707646631</c:v>
                </c:pt>
                <c:pt idx="9">
                  <c:v>295824.90783070418</c:v>
                </c:pt>
                <c:pt idx="10">
                  <c:v>311421.1189578335</c:v>
                </c:pt>
                <c:pt idx="11">
                  <c:v>315445.94763580232</c:v>
                </c:pt>
                <c:pt idx="12">
                  <c:v>314942.84405105608</c:v>
                </c:pt>
                <c:pt idx="13">
                  <c:v>313936.63688156405</c:v>
                </c:pt>
                <c:pt idx="14">
                  <c:v>315445.94763580232</c:v>
                </c:pt>
                <c:pt idx="15">
                  <c:v>314942.84405105608</c:v>
                </c:pt>
                <c:pt idx="16">
                  <c:v>316452.1548052943</c:v>
                </c:pt>
                <c:pt idx="17">
                  <c:v>317961.46555953281</c:v>
                </c:pt>
                <c:pt idx="18">
                  <c:v>318464.56914427871</c:v>
                </c:pt>
                <c:pt idx="19">
                  <c:v>320980.08706800925</c:v>
                </c:pt>
                <c:pt idx="20">
                  <c:v>322489.39782224753</c:v>
                </c:pt>
                <c:pt idx="21">
                  <c:v>325508.01933072368</c:v>
                </c:pt>
                <c:pt idx="22">
                  <c:v>324501.81216123165</c:v>
                </c:pt>
                <c:pt idx="23">
                  <c:v>323998.70857648569</c:v>
                </c:pt>
                <c:pt idx="24">
                  <c:v>326514.22650021588</c:v>
                </c:pt>
                <c:pt idx="25">
                  <c:v>326514.22650021588</c:v>
                </c:pt>
                <c:pt idx="26">
                  <c:v>326011.12291546987</c:v>
                </c:pt>
                <c:pt idx="27">
                  <c:v>327017.33008496213</c:v>
                </c:pt>
                <c:pt idx="28">
                  <c:v>328023.53725445468</c:v>
                </c:pt>
                <c:pt idx="29">
                  <c:v>327017.33008496213</c:v>
                </c:pt>
                <c:pt idx="30">
                  <c:v>328023.53725445468</c:v>
                </c:pt>
                <c:pt idx="31">
                  <c:v>322992.50140699337</c:v>
                </c:pt>
                <c:pt idx="32">
                  <c:v>325004.91574597807</c:v>
                </c:pt>
                <c:pt idx="33">
                  <c:v>323998.70857648569</c:v>
                </c:pt>
                <c:pt idx="34">
                  <c:v>320476.98348326288</c:v>
                </c:pt>
                <c:pt idx="35">
                  <c:v>324501.81216123165</c:v>
                </c:pt>
                <c:pt idx="36">
                  <c:v>323495.60499173938</c:v>
                </c:pt>
                <c:pt idx="37">
                  <c:v>321483.19065275503</c:v>
                </c:pt>
                <c:pt idx="38">
                  <c:v>325508.01933072368</c:v>
                </c:pt>
                <c:pt idx="39">
                  <c:v>322489.39782224753</c:v>
                </c:pt>
                <c:pt idx="40">
                  <c:v>320980.08706800925</c:v>
                </c:pt>
                <c:pt idx="41">
                  <c:v>320980.08706800925</c:v>
                </c:pt>
                <c:pt idx="42">
                  <c:v>318464.56914427871</c:v>
                </c:pt>
                <c:pt idx="43">
                  <c:v>315949.05122054799</c:v>
                </c:pt>
                <c:pt idx="44">
                  <c:v>315949.05122054799</c:v>
                </c:pt>
                <c:pt idx="45">
                  <c:v>314439.74046630994</c:v>
                </c:pt>
                <c:pt idx="46">
                  <c:v>317961.46555953281</c:v>
                </c:pt>
                <c:pt idx="47">
                  <c:v>324501.81216123165</c:v>
                </c:pt>
                <c:pt idx="48">
                  <c:v>321483.19065275503</c:v>
                </c:pt>
                <c:pt idx="49">
                  <c:v>321483.19065275503</c:v>
                </c:pt>
                <c:pt idx="50">
                  <c:v>322489.39782224753</c:v>
                </c:pt>
                <c:pt idx="51">
                  <c:v>322489.39782224753</c:v>
                </c:pt>
                <c:pt idx="52">
                  <c:v>317458.3619747865</c:v>
                </c:pt>
                <c:pt idx="53">
                  <c:v>321986.29423750116</c:v>
                </c:pt>
                <c:pt idx="54">
                  <c:v>322489.39782224753</c:v>
                </c:pt>
                <c:pt idx="55">
                  <c:v>326011.12291546987</c:v>
                </c:pt>
                <c:pt idx="56">
                  <c:v>322489.39782224753</c:v>
                </c:pt>
                <c:pt idx="57">
                  <c:v>323998.70857648569</c:v>
                </c:pt>
                <c:pt idx="58">
                  <c:v>321986.29423750116</c:v>
                </c:pt>
                <c:pt idx="59">
                  <c:v>313936.63688156405</c:v>
                </c:pt>
                <c:pt idx="60">
                  <c:v>313433.53329681756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75-4B53-A9A0-0048FC5D0C0A}"/>
            </c:ext>
          </c:extLst>
        </c:ser>
        <c:ser>
          <c:idx val="2"/>
          <c:order val="2"/>
          <c:tx>
            <c:strRef>
              <c:f>casting!$CM$14</c:f>
              <c:strCache>
                <c:ptCount val="1"/>
                <c:pt idx="0">
                  <c:v>LOWER</c:v>
                </c:pt>
              </c:strCache>
            </c:strRef>
          </c:tx>
          <c:spPr>
            <a:ln w="19050">
              <a:prstDash val="sysDot"/>
            </a:ln>
          </c:spPr>
          <c:marker>
            <c:symbol val="none"/>
          </c:marker>
          <c:cat>
            <c:numRef>
              <c:f>casting!$A$15:$A$75</c:f>
              <c:numCache>
                <c:formatCode>yyyy\-mm\-dd</c:formatCode>
                <c:ptCount val="61"/>
                <c:pt idx="0">
                  <c:v>41460</c:v>
                </c:pt>
                <c:pt idx="1">
                  <c:v>41459</c:v>
                </c:pt>
                <c:pt idx="2">
                  <c:v>41458</c:v>
                </c:pt>
                <c:pt idx="3">
                  <c:v>41457</c:v>
                </c:pt>
                <c:pt idx="4">
                  <c:v>41456</c:v>
                </c:pt>
                <c:pt idx="5">
                  <c:v>41453</c:v>
                </c:pt>
                <c:pt idx="6">
                  <c:v>41452</c:v>
                </c:pt>
                <c:pt idx="7">
                  <c:v>41451</c:v>
                </c:pt>
                <c:pt idx="8">
                  <c:v>41450</c:v>
                </c:pt>
                <c:pt idx="9">
                  <c:v>41449</c:v>
                </c:pt>
                <c:pt idx="10">
                  <c:v>41446</c:v>
                </c:pt>
                <c:pt idx="11">
                  <c:v>41445</c:v>
                </c:pt>
                <c:pt idx="12">
                  <c:v>41444</c:v>
                </c:pt>
                <c:pt idx="13">
                  <c:v>41443</c:v>
                </c:pt>
                <c:pt idx="14">
                  <c:v>41442</c:v>
                </c:pt>
                <c:pt idx="15">
                  <c:v>41439</c:v>
                </c:pt>
                <c:pt idx="16">
                  <c:v>41438</c:v>
                </c:pt>
                <c:pt idx="17">
                  <c:v>41437</c:v>
                </c:pt>
                <c:pt idx="18">
                  <c:v>41436</c:v>
                </c:pt>
                <c:pt idx="19">
                  <c:v>41435</c:v>
                </c:pt>
                <c:pt idx="20">
                  <c:v>41432</c:v>
                </c:pt>
                <c:pt idx="21">
                  <c:v>41430</c:v>
                </c:pt>
                <c:pt idx="22">
                  <c:v>41429</c:v>
                </c:pt>
                <c:pt idx="23">
                  <c:v>41428</c:v>
                </c:pt>
                <c:pt idx="24">
                  <c:v>41425</c:v>
                </c:pt>
                <c:pt idx="25">
                  <c:v>41424</c:v>
                </c:pt>
                <c:pt idx="26">
                  <c:v>41423</c:v>
                </c:pt>
                <c:pt idx="27">
                  <c:v>41422</c:v>
                </c:pt>
                <c:pt idx="28">
                  <c:v>41421</c:v>
                </c:pt>
                <c:pt idx="29">
                  <c:v>41418</c:v>
                </c:pt>
                <c:pt idx="30">
                  <c:v>41417</c:v>
                </c:pt>
                <c:pt idx="31">
                  <c:v>41416</c:v>
                </c:pt>
                <c:pt idx="32">
                  <c:v>41415</c:v>
                </c:pt>
                <c:pt idx="33">
                  <c:v>41414</c:v>
                </c:pt>
                <c:pt idx="34">
                  <c:v>41410</c:v>
                </c:pt>
                <c:pt idx="35">
                  <c:v>41409</c:v>
                </c:pt>
                <c:pt idx="36">
                  <c:v>41408</c:v>
                </c:pt>
                <c:pt idx="37">
                  <c:v>41407</c:v>
                </c:pt>
                <c:pt idx="38">
                  <c:v>41404</c:v>
                </c:pt>
                <c:pt idx="39">
                  <c:v>41403</c:v>
                </c:pt>
                <c:pt idx="40">
                  <c:v>41402</c:v>
                </c:pt>
                <c:pt idx="41">
                  <c:v>41401</c:v>
                </c:pt>
                <c:pt idx="42">
                  <c:v>41400</c:v>
                </c:pt>
                <c:pt idx="43">
                  <c:v>41397</c:v>
                </c:pt>
                <c:pt idx="44">
                  <c:v>41396</c:v>
                </c:pt>
                <c:pt idx="45">
                  <c:v>41394</c:v>
                </c:pt>
                <c:pt idx="46">
                  <c:v>41393</c:v>
                </c:pt>
                <c:pt idx="47">
                  <c:v>41390</c:v>
                </c:pt>
                <c:pt idx="48">
                  <c:v>41389</c:v>
                </c:pt>
                <c:pt idx="49">
                  <c:v>41388</c:v>
                </c:pt>
                <c:pt idx="50">
                  <c:v>41387</c:v>
                </c:pt>
                <c:pt idx="51">
                  <c:v>41386</c:v>
                </c:pt>
                <c:pt idx="52">
                  <c:v>41383</c:v>
                </c:pt>
                <c:pt idx="53">
                  <c:v>41382</c:v>
                </c:pt>
                <c:pt idx="54">
                  <c:v>41381</c:v>
                </c:pt>
                <c:pt idx="55">
                  <c:v>41380</c:v>
                </c:pt>
                <c:pt idx="56">
                  <c:v>41379</c:v>
                </c:pt>
                <c:pt idx="57">
                  <c:v>41376</c:v>
                </c:pt>
                <c:pt idx="58">
                  <c:v>41375</c:v>
                </c:pt>
                <c:pt idx="59">
                  <c:v>41374</c:v>
                </c:pt>
                <c:pt idx="60">
                  <c:v>41373</c:v>
                </c:pt>
              </c:numCache>
            </c:numRef>
          </c:cat>
          <c:val>
            <c:numRef>
              <c:f>casting!$CM$15:$CM$75</c:f>
              <c:numCache>
                <c:formatCode>#,##0</c:formatCode>
                <c:ptCount val="61"/>
                <c:pt idx="0">
                  <c:v>290087.09984646871</c:v>
                </c:pt>
                <c:pt idx="1">
                  <c:v>291574.72599952715</c:v>
                </c:pt>
                <c:pt idx="2">
                  <c:v>297029.35522740969</c:v>
                </c:pt>
                <c:pt idx="3">
                  <c:v>293558.22753693885</c:v>
                </c:pt>
                <c:pt idx="4">
                  <c:v>296037.60445870389</c:v>
                </c:pt>
                <c:pt idx="5">
                  <c:v>291574.72599952715</c:v>
                </c:pt>
                <c:pt idx="6">
                  <c:v>290087.09984646871</c:v>
                </c:pt>
                <c:pt idx="7">
                  <c:v>290582.97523082118</c:v>
                </c:pt>
                <c:pt idx="8">
                  <c:v>290087.09984646871</c:v>
                </c:pt>
                <c:pt idx="9">
                  <c:v>291574.72599952715</c:v>
                </c:pt>
                <c:pt idx="10">
                  <c:v>306946.86291446851</c:v>
                </c:pt>
                <c:pt idx="11">
                  <c:v>310913.8659892921</c:v>
                </c:pt>
                <c:pt idx="12">
                  <c:v>310417.990604939</c:v>
                </c:pt>
                <c:pt idx="13">
                  <c:v>309426.23983623326</c:v>
                </c:pt>
                <c:pt idx="14">
                  <c:v>310913.8659892921</c:v>
                </c:pt>
                <c:pt idx="15">
                  <c:v>310417.990604939</c:v>
                </c:pt>
                <c:pt idx="16">
                  <c:v>311905.61675799772</c:v>
                </c:pt>
                <c:pt idx="17">
                  <c:v>313393.24291105679</c:v>
                </c:pt>
                <c:pt idx="18">
                  <c:v>313889.11829540948</c:v>
                </c:pt>
                <c:pt idx="19">
                  <c:v>316368.49521717429</c:v>
                </c:pt>
                <c:pt idx="20">
                  <c:v>317856.12137023307</c:v>
                </c:pt>
                <c:pt idx="21">
                  <c:v>320831.37367635028</c:v>
                </c:pt>
                <c:pt idx="22">
                  <c:v>319839.6229076446</c:v>
                </c:pt>
                <c:pt idx="23">
                  <c:v>319343.74752329173</c:v>
                </c:pt>
                <c:pt idx="24">
                  <c:v>321823.12444505619</c:v>
                </c:pt>
                <c:pt idx="25">
                  <c:v>321823.12444505619</c:v>
                </c:pt>
                <c:pt idx="26">
                  <c:v>321327.24906070333</c:v>
                </c:pt>
                <c:pt idx="27">
                  <c:v>322318.99982940924</c:v>
                </c:pt>
                <c:pt idx="28">
                  <c:v>323310.7505981155</c:v>
                </c:pt>
                <c:pt idx="29">
                  <c:v>322318.99982940924</c:v>
                </c:pt>
                <c:pt idx="30">
                  <c:v>323310.7505981155</c:v>
                </c:pt>
                <c:pt idx="31">
                  <c:v>318351.99675458577</c:v>
                </c:pt>
                <c:pt idx="32">
                  <c:v>320335.49829199782</c:v>
                </c:pt>
                <c:pt idx="33">
                  <c:v>319343.74752329173</c:v>
                </c:pt>
                <c:pt idx="34">
                  <c:v>315872.61983282107</c:v>
                </c:pt>
                <c:pt idx="35">
                  <c:v>319839.6229076446</c:v>
                </c:pt>
                <c:pt idx="36">
                  <c:v>318847.87213893863</c:v>
                </c:pt>
                <c:pt idx="37">
                  <c:v>316864.37060152693</c:v>
                </c:pt>
                <c:pt idx="38">
                  <c:v>320831.37367635028</c:v>
                </c:pt>
                <c:pt idx="39">
                  <c:v>317856.12137023307</c:v>
                </c:pt>
                <c:pt idx="40">
                  <c:v>316368.49521717429</c:v>
                </c:pt>
                <c:pt idx="41">
                  <c:v>316368.49521717429</c:v>
                </c:pt>
                <c:pt idx="42">
                  <c:v>313889.11829540948</c:v>
                </c:pt>
                <c:pt idx="43">
                  <c:v>311409.74137364462</c:v>
                </c:pt>
                <c:pt idx="44">
                  <c:v>311409.74137364462</c:v>
                </c:pt>
                <c:pt idx="45">
                  <c:v>309922.11522058601</c:v>
                </c:pt>
                <c:pt idx="46">
                  <c:v>313393.24291105679</c:v>
                </c:pt>
                <c:pt idx="47">
                  <c:v>319839.6229076446</c:v>
                </c:pt>
                <c:pt idx="48">
                  <c:v>316864.37060152693</c:v>
                </c:pt>
                <c:pt idx="49">
                  <c:v>316864.37060152693</c:v>
                </c:pt>
                <c:pt idx="50">
                  <c:v>317856.12137023307</c:v>
                </c:pt>
                <c:pt idx="51">
                  <c:v>317856.12137023307</c:v>
                </c:pt>
                <c:pt idx="52">
                  <c:v>312897.36752670363</c:v>
                </c:pt>
                <c:pt idx="53">
                  <c:v>317360.24598587985</c:v>
                </c:pt>
                <c:pt idx="54">
                  <c:v>317856.12137023307</c:v>
                </c:pt>
                <c:pt idx="55">
                  <c:v>321327.24906070333</c:v>
                </c:pt>
                <c:pt idx="56">
                  <c:v>317856.12137023307</c:v>
                </c:pt>
                <c:pt idx="57">
                  <c:v>319343.74752329173</c:v>
                </c:pt>
                <c:pt idx="58">
                  <c:v>317360.24598587985</c:v>
                </c:pt>
                <c:pt idx="59">
                  <c:v>309426.23983623326</c:v>
                </c:pt>
                <c:pt idx="60">
                  <c:v>308930.36445187998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75-4B53-A9A0-0048FC5D0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9049648"/>
        <c:axId val="1"/>
      </c:lineChart>
      <c:dateAx>
        <c:axId val="65904964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yyyy\-mm\-dd" sourceLinked="0"/>
        <c:majorTickMark val="out"/>
        <c:minorTickMark val="none"/>
        <c:tickLblPos val="nextTo"/>
        <c:spPr>
          <a:ln>
            <a:solidFill>
              <a:schemeClr val="bg1">
                <a:lumMod val="85000"/>
              </a:schemeClr>
            </a:solidFill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808080"/>
                </a:solidFill>
                <a:latin typeface="Calibri"/>
                <a:ea typeface="Calibri"/>
                <a:cs typeface="Calibri"/>
              </a:defRPr>
            </a:pPr>
            <a:endParaRPr lang="ko-KR"/>
          </a:p>
        </c:txPr>
        <c:crossAx val="1"/>
        <c:crosses val="autoZero"/>
        <c:auto val="1"/>
        <c:lblOffset val="100"/>
        <c:baseTimeUnit val="days"/>
      </c:dateAx>
      <c:valAx>
        <c:axId val="1"/>
        <c:scaling>
          <c:orientation val="minMax"/>
          <c:max val="342300"/>
          <c:min val="277875"/>
        </c:scaling>
        <c:delete val="1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#,##0" sourceLinked="1"/>
        <c:majorTickMark val="out"/>
        <c:minorTickMark val="none"/>
        <c:tickLblPos val="nextTo"/>
        <c:crossAx val="65904964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76200</xdr:rowOff>
        </xdr:from>
        <xdr:to>
          <xdr:col>0</xdr:col>
          <xdr:colOff>952500</xdr:colOff>
          <xdr:row>7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12</xdr:row>
      <xdr:rowOff>19050</xdr:rowOff>
    </xdr:from>
    <xdr:to>
      <xdr:col>8</xdr:col>
      <xdr:colOff>533400</xdr:colOff>
      <xdr:row>26</xdr:row>
      <xdr:rowOff>85725</xdr:rowOff>
    </xdr:to>
    <xdr:graphicFrame macro="">
      <xdr:nvGraphicFramePr>
        <xdr:cNvPr id="2156" name="cht_cast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60960</xdr:rowOff>
        </xdr:from>
        <xdr:to>
          <xdr:col>5</xdr:col>
          <xdr:colOff>289560</xdr:colOff>
          <xdr:row>4</xdr:row>
          <xdr:rowOff>160020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ko-KR" altLang="en-US"/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5490">
    <ddeItems>
      <ddeItem name="CPRICE" advise="1">
        <values>
          <value>
            <val>296500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35760">
    <ddeItems>
      <ddeItem name="CPRICE" advise="1">
        <values>
          <value>
            <val>361400</val>
          </value>
        </values>
      </ddeItem>
      <ddeItem name="StdDocumentName" ole="1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6400">
    <ddeItems>
      <ddeItem name="CPRICE" advise="1">
        <values>
          <value>
            <val>141500</val>
          </value>
        </values>
      </ddeItem>
      <ddeItem name="StdDocumentName" ole="1" advise="1"/>
    </ddeItems>
  </ddeLin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78520">
    <ddeItems>
      <ddeItem name="CPRICE" advise="1">
        <values>
          <value>
            <val>41300</val>
          </value>
        </values>
      </ddeItem>
      <ddeItem name="StdDocumentName" ole="1" advise="1"/>
    </ddeItems>
  </ddeLin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1630">
    <ddeItems>
      <ddeItem name="CPRICE" advise="1">
        <values>
          <value>
            <val>59200</val>
          </value>
        </values>
      </ddeItem>
      <ddeItem name="StdDocumentName" ole="1" advise="1"/>
    </ddeItems>
  </ddeLin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51910">
    <ddeItems>
      <ddeItem name="CPRICE" advise="1">
        <values>
          <value>
            <val>257000</val>
          </value>
        </values>
      </ddeItem>
      <ddeItem name="StdDocumentName" ole="1" advise="1"/>
    </ddeItems>
  </ddeLin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71840">
    <ddeItems>
      <ddeItem name="CPRICE" advise="1">
        <values>
          <value>
            <val>85400</val>
          </value>
        </values>
      </ddeItem>
      <ddeItem name="StdDocumentName" ole="1" advise="1"/>
    </ddeItems>
  </ddeLin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05630">
    <ddeItems>
      <ddeItem name="CPRICE" advise="1">
        <values>
          <value>
            <val>17250</val>
          </value>
        </values>
      </ddeItem>
      <ddeItem name="StdDocumentName" ole="1" advise="1"/>
    </ddeItems>
  </ddeLin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38930">
    <ddeItems>
      <ddeItem name="CPRICE" advise="1">
        <values>
          <value>
            <val>15350</val>
          </value>
        </values>
      </ddeItem>
      <ddeItem name="StdDocumentName" ole="1" advise="1"/>
    </ddeItems>
  </ddeLin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36540">
    <ddeItems>
      <ddeItem name="CPRICE" advise="1">
        <values>
          <value>
            <val>21050</val>
          </value>
        </values>
      </ddeItem>
      <ddeItem name="StdDocumentName" ole="1" advise="1"/>
    </ddeItems>
  </ddeLin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42670">
    <ddeItems>
      <ddeItem name="CPRICE" advise="1">
        <values>
          <value>
            <val>10750</val>
          </value>
        </values>
      </ddeItem>
      <ddeItem name="StdDocumentName" ole="1" advise="1"/>
    </ddeItems>
  </ddeLin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41510">
    <ddeItems>
      <ddeItem name="CPRICE" advise="1">
        <values>
          <value>
            <val>34400</val>
          </value>
        </values>
      </ddeItem>
      <ddeItem name="StdDocumentName" ole="1" advise="1"/>
    </ddeItems>
  </ddeLin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36830">
    <ddeItems>
      <ddeItem name="CPRICE" advise="1">
        <values>
          <value>
            <val>44400</val>
          </value>
        </values>
      </ddeItem>
      <ddeItem name="StdDocumentName" ole="1" advise="1"/>
    </ddeItems>
  </ddeLin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32640">
    <ddeItems>
      <ddeItem name="CPRICE" advise="1">
        <values>
          <value>
            <val>13250</val>
          </value>
        </values>
      </ddeItem>
      <ddeItem name="StdDocumentName" ole="1" advise="1"/>
    </ddeItems>
  </ddeLin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43370">
    <ddeItems>
      <ddeItem name="CPRICE" advise="1">
        <values>
          <value>
            <val>19500</val>
          </value>
        </values>
      </ddeItem>
      <ddeItem name="StdDocumentName" ole="1" advise="1"/>
    </ddeItems>
  </ddeLin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2630">
    <ddeItems>
      <ddeItem name="CPRICE" advise="1">
        <values>
          <value>
            <val>23800</val>
          </value>
        </values>
      </ddeItem>
      <ddeItem name="StdDocumentName" ole="1" advise="1"/>
    </ddeItems>
  </ddeLin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1170">
    <ddeItems>
      <ddeItem name="CPRICE" advise="1">
        <values>
          <value>
            <val>146000</val>
          </value>
        </values>
      </ddeItem>
      <ddeItem name="StdDocumentName" ole="1" advise="1"/>
    </ddeItems>
  </ddeLin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51900">
    <ddeItems>
      <ddeItem name="CPRICE" advise="1">
        <values>
          <value>
            <val>547000</val>
          </value>
        </values>
      </ddeItem>
      <ddeItem name="StdDocumentName" ole="1" advise="1"/>
    </ddeItems>
  </ddeLin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9540">
    <ddeItems>
      <ddeItem name="CPRICE" advise="1">
        <values>
          <value>
            <val>178500</val>
          </value>
        </values>
      </ddeItem>
      <ddeItem name="StdDocumentName" ole="1" advise="1"/>
    </ddeItems>
  </ddeLin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8880">
    <ddeItems>
      <ddeItem name="CPRICE" advise="1">
        <values>
          <value>
            <val>33450</val>
          </value>
        </values>
      </ddeItem>
      <ddeItem name="StdDocumentName" ole="1" advise="1"/>
    </ddeItems>
  </ddeLin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46890">
    <ddeItems>
      <ddeItem name="CPRICE" advise="1">
        <values>
          <value>
            <val>33200</val>
          </value>
        </values>
      </ddeItem>
      <ddeItem name="StdDocumentName" ole="1" advise="1"/>
    </ddeItems>
  </ddeLin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4020">
    <ddeItems>
      <ddeItem name="CPRICE" advise="1">
        <values>
          <value>
            <val>63100</val>
          </value>
        </values>
      </ddeItem>
      <ddeItem name="StdDocumentName" ole="1" advise="1"/>
    </ddeItems>
  </ddeLin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1800">
    <ddeItems>
      <ddeItem name="CPRICE" advise="1">
        <values>
          <value>
            <val>1009000</val>
          </value>
        </values>
      </ddeItem>
      <ddeItem name="StdDocumentName" ole="1" advise="1"/>
    </ddeItems>
  </ddeLin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1045">
    <ddeItems>
      <ddeItem name="CPRICE" advise="1">
        <values>
          <value>
            <val>38400</val>
          </value>
        </values>
      </ddeItem>
      <ddeItem name="StdDocumentName" ole="1" advise="1"/>
    </ddeItems>
  </ddeLin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1040">
    <ddeItems>
      <ddeItem name="CPRICE" advise="1">
        <values>
          <value>
            <val>118000</val>
          </value>
        </values>
      </ddeItem>
      <ddeItem name="StdDocumentName" ole="1" advise="1"/>
    </ddeItems>
  </ddeLin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53210">
    <ddeItems>
      <ddeItem name="CPRICE" advise="1">
        <values>
          <value>
            <val>36800</val>
          </value>
        </values>
      </ddeItem>
      <ddeItem name="StdDocumentName" ole="1" advise="1"/>
    </ddeItems>
  </ddeLin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60720">
    <ddeItems>
      <ddeItem name="CPRICE" advise="1">
        <values>
          <value>
            <val>23650</val>
          </value>
        </values>
      </ddeItem>
      <ddeItem name="StdDocumentName" ole="1" advise="1"/>
    </ddeItems>
  </ddeLin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71320">
    <ddeItems>
      <ddeItem name="CPRICE" advise="1">
        <values>
          <value>
            <val>92300</val>
          </value>
        </values>
      </ddeItem>
      <ddeItem name="StdDocumentName" ole="1" advise="1"/>
    </ddeItems>
  </ddeLin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95660">
    <ddeItems>
      <ddeItem name="CPRICE" advise="1">
        <values>
          <value>
            <val>15150</val>
          </value>
        </values>
      </ddeItem>
      <ddeItem name="StdDocumentName" ole="1" advise="1"/>
    </ddeItems>
  </ddeLin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8770">
    <ddeItems>
      <ddeItem name="CPRICE" advise="1">
        <values>
          <value>
            <val>62300</val>
          </value>
        </values>
      </ddeItem>
      <ddeItem name="StdDocumentName" ole="1" advise="1"/>
    </ddeItems>
  </ddeLin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08670">
    <ddeItems>
      <ddeItem name="CPRICE" advise="1">
        <values>
          <value>
            <val>107000</val>
          </value>
        </values>
      </ddeItem>
      <ddeItem name="StdDocumentName" ole="1" advise="1"/>
    </ddeItems>
  </ddeLin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0950">
    <ddeItems>
      <ddeItem name="CPRICE" advise="1">
        <values>
          <value>
            <val>71800</val>
          </value>
        </values>
      </ddeItem>
      <ddeItem name="StdDocumentName" ole="1" advise="1"/>
    </ddeItems>
  </ddeLin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15390">
    <ddeItems>
      <ddeItem name="CPRICE" advise="1">
        <values>
          <value>
            <val>21700</val>
          </value>
        </values>
      </ddeItem>
      <ddeItem name="StdDocumentName" ole="1" advise="1"/>
    </ddeItems>
  </ddeLin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0150">
    <ddeItems>
      <ddeItem name="CPRICE" advise="1">
        <values>
          <value>
            <val>125000</val>
          </value>
        </values>
      </ddeItem>
      <ddeItem name="StdDocumentName" ole="1" advise="1"/>
    </ddeItems>
  </ddeLin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34230">
    <ddeItems>
      <ddeItem name="CPRICE" advise="1">
        <values>
          <value>
            <val>24750</val>
          </value>
        </values>
      </ddeItem>
      <ddeItem name="StdDocumentName" ole="1" advise="1"/>
    </ddeItems>
  </ddeLin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58470">
    <ddeItems>
      <ddeItem name="CPRICE" advise="1">
        <values>
          <value>
            <val>21500</val>
          </value>
        </values>
      </ddeItem>
      <ddeItem name="StdDocumentName" ole="1" advise="1"/>
    </ddeItems>
  </ddeLin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0270">
    <ddeItems>
      <ddeItem name="CPRICE" advise="1">
        <values>
          <value>
            <val>59900</val>
          </value>
        </values>
      </ddeItem>
      <ddeItem name="StdDocumentName" ole="1" advise="1"/>
    </ddeItems>
  </ddeLin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36570">
    <ddeItems>
      <ddeItem name="CPRICE" advise="1">
        <values>
          <value>
            <val>173000</val>
          </value>
        </values>
      </ddeItem>
      <ddeItem name="StdDocumentName" ole="1" advise="1"/>
    </ddeItems>
  </ddeLin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4620">
    <ddeItems>
      <ddeItem name="CPRICE" advise="1">
        <values>
          <value>
            <val>27150</val>
          </value>
        </values>
      </ddeItem>
      <ddeItem name="StdDocumentName" ole="1" advise="1"/>
    </ddeItems>
  </ddeLin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42660">
    <ddeItems>
      <ddeItem name="CPRICE" advise="1">
        <values>
          <value>
            <val>25800</val>
          </value>
        </values>
      </ddeItem>
      <ddeItem name="StdDocumentName" ole="1" advise="1"/>
    </ddeItems>
  </ddeLin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22350">
    <ddeItems>
      <ddeItem name="CPRICE" advise="1">
        <values>
          <value>
            <val>5120</val>
          </value>
        </values>
      </ddeItem>
      <ddeItem name="StdDocumentName" ole="1" advise="1"/>
    </ddeItems>
  </ddeLin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86280">
    <ddeItems>
      <ddeItem name="CPRICE" advise="1">
        <values>
          <value>
            <val>187000</val>
          </value>
        </values>
      </ddeItem>
      <ddeItem name="StdDocumentName" ole="1" advise="1"/>
    </ddeItems>
  </ddeLin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79160">
    <ddeItems>
      <ddeItem name="CPRICE" advise="1">
        <values>
          <value>
            <val>49500</val>
          </value>
        </values>
      </ddeItem>
      <ddeItem name="StdDocumentName" ole="1" advise="1"/>
    </ddeItems>
  </ddeLin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73240">
    <ddeItems>
      <ddeItem name="CPRICE" advise="1">
        <values>
          <value>
            <val>11000</val>
          </value>
        </values>
      </ddeItem>
      <ddeItem name="StdDocumentName" ole="1" advise="1"/>
    </ddeItems>
  </ddeLin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5930">
    <ddeItems>
      <ddeItem name="CPRICE" advise="1">
        <values>
          <value>
            <val>1267000</val>
          </value>
        </values>
      </ddeItem>
      <ddeItem name="StdDocumentName" ole="1" advise="1"/>
    </ddeItems>
  </ddeLin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5180">
    <ddeItems>
      <ddeItem name="CPRICE" advise="1">
        <values>
          <value>
            <val>106000</val>
          </value>
        </values>
      </ddeItem>
      <ddeItem name="StdDocumentName" ole="1" advise="1"/>
    </ddeItems>
  </ddeLin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35420">
    <ddeItems>
      <ddeItem name="CPRICE" advise="1">
        <values>
          <value>
            <val>288000</val>
          </value>
        </values>
      </ddeItem>
      <ddeItem name="StdDocumentName" ole="1" advise="1"/>
    </ddeItems>
  </ddeLin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8730">
    <ddeItems>
      <ddeItem name="CPRICE" advise="1">
        <values>
          <value>
            <val>11900</val>
          </value>
        </values>
      </ddeItem>
      <ddeItem name="StdDocumentName" ole="1" advise="1"/>
    </ddeItems>
  </ddeLin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0155">
    <ddeItems>
      <ddeItem name="CPRICE" advise="1">
        <values>
          <value>
            <val>52900</val>
          </value>
        </values>
      </ddeItem>
      <ddeItem name="StdDocumentName" ole="1" advise="1"/>
    </ddeItems>
  </ddeLin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68400">
    <ddeItems>
      <ddeItem name="CPRICE" advise="1">
        <values>
          <value>
            <val>11200</val>
          </value>
        </values>
      </ddeItem>
      <ddeItem name="StdDocumentName" ole="1" advise="1"/>
    </ddeItems>
  </ddeLin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0130">
    <ddeItems>
      <ddeItem name="CPRICE" advise="1">
        <values>
          <value>
            <val>268000</val>
          </value>
        </values>
      </ddeItem>
      <ddeItem name="StdDocumentName" ole="1" advise="1"/>
    </ddeItems>
  </ddeLin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0660">
    <ddeItems>
      <ddeItem name="CPRICE" advise="1">
        <values>
          <value>
            <val>28400</val>
          </value>
        </values>
      </ddeItem>
      <ddeItem name="StdDocumentName" ole="1" advise="1"/>
    </ddeItems>
  </ddeLin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0960">
    <ddeItems>
      <ddeItem name="CPRICE" advise="1">
        <values>
          <value>
            <val>2460</val>
          </value>
        </values>
      </ddeItem>
      <ddeItem name="StdDocumentName" ole="1" advise="1"/>
    </ddeItems>
  </ddeLin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0830">
    <ddeItems>
      <ddeItem name="CPRICE" advise="1">
        <values>
          <value>
            <val>53000</val>
          </value>
        </values>
      </ddeItem>
      <ddeItem name="StdDocumentName" ole="1" advise="1"/>
    </ddeItems>
  </ddeLin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01730">
    <ddeItems>
      <ddeItem name="CPRICE" advise="1">
        <values>
          <value>
            <val>44400</val>
          </value>
        </values>
      </ddeItem>
      <ddeItem name="StdDocumentName" ole="1" advise="1"/>
    </ddeItems>
  </ddeLin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66570">
    <ddeItems>
      <ddeItem name="CPRICE" advise="1">
        <values>
          <value>
            <val>70300</val>
          </value>
        </values>
      </ddeItem>
      <ddeItem name="StdDocumentName" ole="1" advise="1"/>
    </ddeItems>
  </ddeLin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3490">
    <ddeItems>
      <ddeItem name="CPRICE" advise="1">
        <values>
          <value>
            <val>29600</val>
          </value>
        </values>
      </ddeItem>
      <ddeItem name="StdDocumentName" ole="1" advise="1"/>
    </ddeItems>
  </ddeLin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0215">
    <ddeItems>
      <ddeItem name="CPRICE" advise="1">
        <values>
          <value>
            <val>26650</val>
          </value>
        </values>
      </ddeItem>
      <ddeItem name="StdDocumentName" ole="1" advise="1"/>
    </ddeItems>
  </ddeLin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5935">
    <ddeItems>
      <ddeItem name="CPRICE" advise="1">
        <values>
          <value>
            <val>815000</val>
          </value>
        </values>
      </ddeItem>
      <ddeItem name="StdDocumentName" ole="1" advise="1"/>
    </ddeItems>
  </ddeLin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20760">
    <ddeItems>
      <ddeItem name="CPRICE" advise="1">
        <values>
          <value>
            <val>15950</val>
          </value>
        </values>
      </ddeItem>
      <ddeItem name="StdDocumentName" ole="1" advise="1"/>
    </ddeItems>
  </ddeLin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61890">
    <ddeItems>
      <ddeItem name="CPRICE" advise="1">
        <values>
          <value>
            <val>26300</val>
          </value>
        </values>
      </ddeItem>
      <ddeItem name="StdDocumentName" ole="1" advise="1"/>
    </ddeItems>
  </ddeLin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6730">
    <ddeItems>
      <ddeItem name="CPRICE" advise="1">
        <values>
          <value>
            <val>18600</val>
          </value>
        </values>
      </ddeItem>
      <ddeItem name="StdDocumentName" ole="1" advise="1"/>
    </ddeItems>
  </ddeLin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28940">
    <ddeItems>
      <ddeItem name="CPRICE" advise="1">
        <values>
          <value>
            <val>150500</val>
          </value>
        </values>
      </ddeItem>
      <ddeItem name="StdDocumentName" ole="1" advise="1"/>
    </ddeItems>
  </ddeLin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4470">
    <ddeItems>
      <ddeItem name="CPRICE" advise="1">
        <values>
          <value>
            <val>4615</val>
          </value>
        </values>
      </ddeItem>
      <ddeItem name="StdDocumentName" ole="1" advise="1"/>
    </ddeItems>
  </ddeLin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11820">
    <ddeItems>
      <ddeItem name="CPRICE" advise="1">
        <values>
          <value>
            <val>9950</val>
          </value>
        </values>
      </ddeItem>
      <ddeItem name="StdDocumentName" ole="1" advise="1"/>
    </ddeItems>
  </ddeLin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02270">
    <ddeItems>
      <ddeItem name="CPRICE" advise="1">
        <values>
          <value>
            <val>633000</val>
          </value>
        </values>
      </ddeItem>
      <ddeItem name="StdDocumentName" ole="1" advise="1"/>
    </ddeItems>
  </ddeLin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0955">
    <ddeItems>
      <ddeItem name="CPRICE" advise="1">
        <values>
          <value>
            <val>53300</val>
          </value>
        </values>
      </ddeItem>
      <ddeItem name="StdDocumentName" ole="1" advise="1"/>
    </ddeItems>
  </ddeLin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67170">
    <ddeItems>
      <ddeItem name="CPRICE" advise="1">
        <values>
          <value>
            <val>7520</val>
          </value>
        </values>
      </ddeItem>
      <ddeItem name="StdDocumentName" ole="1" advise="1"/>
    </ddeItems>
  </ddeLin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66575">
    <ddeItems>
      <ddeItem name="CPRICE" advise="1">
        <values>
          <value>
            <val>26400</val>
          </value>
        </values>
      </ddeItem>
      <ddeItem name="StdDocumentName" ole="1" advise="1"/>
    </ddeItems>
  </ddeLin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91590">
    <ddeItems>
      <ddeItem name="CPRICE" advise="1">
        <values>
          <value>
            <val>5330</val>
          </value>
        </values>
      </ddeItem>
      <ddeItem name="StdDocumentName" ole="1" advise="1"/>
    </ddeItems>
  </ddeLin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11785">
    <ddeItems>
      <ddeItem name="CPRICE" advise="1">
        <values>
          <value>
            <val>31250</val>
          </value>
        </values>
      </ddeItem>
      <ddeItem name="StdDocumentName" ole="1" advise="1"/>
    </ddeItems>
  </ddeLin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095500">
    <ddeItems>
      <ddeItem name="CPRICE" advise="1">
        <values>
          <value>
            <val>9230</val>
          </value>
        </values>
      </ddeItem>
      <ddeItem name="StdDocumentName" ole="1" advise="1"/>
    </ddeItems>
  </ddeLin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WISE" ddeTopic="A126700">
    <ddeItems>
      <ddeItem name="CPRICE" advise="1">
        <values>
          <value>
            <val>3640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623"/>
  <sheetViews>
    <sheetView showGridLines="0" tabSelected="1" workbookViewId="0">
      <selection activeCell="K11" sqref="K11"/>
    </sheetView>
  </sheetViews>
  <sheetFormatPr defaultRowHeight="17.399999999999999" x14ac:dyDescent="0.4"/>
  <cols>
    <col min="1" max="1" width="11.59765625" customWidth="1"/>
    <col min="2" max="2" width="10.09765625" customWidth="1"/>
  </cols>
  <sheetData>
    <row r="1" spans="1:74" x14ac:dyDescent="0.4">
      <c r="B1" s="28" t="s">
        <v>277</v>
      </c>
    </row>
    <row r="2" spans="1:74" x14ac:dyDescent="0.4">
      <c r="A2" s="2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</row>
    <row r="3" spans="1:74" x14ac:dyDescent="0.4">
      <c r="A3" s="3" t="s">
        <v>1</v>
      </c>
      <c r="B3" s="3" t="s">
        <v>2</v>
      </c>
      <c r="C3" s="29" t="s">
        <v>59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</row>
    <row r="4" spans="1:74" x14ac:dyDescent="0.4">
      <c r="A4" s="3" t="s">
        <v>3</v>
      </c>
      <c r="B4" s="3" t="s">
        <v>2</v>
      </c>
      <c r="C4" s="3" t="s">
        <v>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</row>
    <row r="5" spans="1:74" x14ac:dyDescent="0.4">
      <c r="A5" s="3" t="s">
        <v>4</v>
      </c>
      <c r="B5" s="30" t="s">
        <v>55</v>
      </c>
      <c r="C5" s="31" t="s">
        <v>57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</row>
    <row r="6" spans="1:74" x14ac:dyDescent="0.4">
      <c r="A6" s="3" t="s">
        <v>5</v>
      </c>
      <c r="B6" s="32" t="s">
        <v>56</v>
      </c>
      <c r="C6" s="29" t="s">
        <v>58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</row>
    <row r="7" spans="1:74" x14ac:dyDescent="0.4">
      <c r="A7" s="3" t="s">
        <v>6</v>
      </c>
      <c r="B7" s="33" t="s">
        <v>54</v>
      </c>
      <c r="C7" s="3" t="s">
        <v>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</row>
    <row r="8" spans="1:74" x14ac:dyDescent="0.4">
      <c r="A8" s="66" t="s">
        <v>7</v>
      </c>
      <c r="B8" s="66">
        <v>20130301</v>
      </c>
      <c r="C8" s="66" t="s">
        <v>78</v>
      </c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67"/>
      <c r="BV8" s="67"/>
    </row>
    <row r="9" spans="1:74" x14ac:dyDescent="0.4">
      <c r="A9" s="5" t="s">
        <v>8</v>
      </c>
      <c r="B9" s="6" t="s">
        <v>223</v>
      </c>
      <c r="C9" s="6" t="s">
        <v>30</v>
      </c>
      <c r="D9" s="6" t="s">
        <v>224</v>
      </c>
      <c r="E9" s="6" t="s">
        <v>225</v>
      </c>
      <c r="F9" s="6" t="s">
        <v>48</v>
      </c>
      <c r="G9" s="6" t="s">
        <v>226</v>
      </c>
      <c r="H9" s="6" t="s">
        <v>227</v>
      </c>
      <c r="I9" s="6" t="s">
        <v>228</v>
      </c>
      <c r="J9" s="6" t="s">
        <v>229</v>
      </c>
      <c r="K9" s="6" t="s">
        <v>230</v>
      </c>
      <c r="L9" s="6" t="s">
        <v>231</v>
      </c>
      <c r="M9" s="6" t="s">
        <v>232</v>
      </c>
      <c r="N9" s="6" t="s">
        <v>233</v>
      </c>
      <c r="O9" s="6" t="s">
        <v>234</v>
      </c>
      <c r="P9" s="6" t="s">
        <v>235</v>
      </c>
      <c r="Q9" s="6" t="s">
        <v>38</v>
      </c>
      <c r="R9" s="6" t="s">
        <v>46</v>
      </c>
      <c r="S9" s="6" t="s">
        <v>32</v>
      </c>
      <c r="T9" s="6" t="s">
        <v>236</v>
      </c>
      <c r="U9" s="6" t="s">
        <v>237</v>
      </c>
      <c r="V9" s="6" t="s">
        <v>24</v>
      </c>
      <c r="W9" s="6" t="s">
        <v>238</v>
      </c>
      <c r="X9" s="6" t="s">
        <v>239</v>
      </c>
      <c r="Y9" s="6" t="s">
        <v>240</v>
      </c>
      <c r="Z9" s="6" t="s">
        <v>241</v>
      </c>
      <c r="AA9" s="6" t="s">
        <v>242</v>
      </c>
      <c r="AB9" s="6" t="s">
        <v>243</v>
      </c>
      <c r="AC9" s="6" t="s">
        <v>244</v>
      </c>
      <c r="AD9" s="6" t="s">
        <v>245</v>
      </c>
      <c r="AE9" s="6" t="s">
        <v>26</v>
      </c>
      <c r="AF9" s="6" t="s">
        <v>246</v>
      </c>
      <c r="AG9" s="6" t="s">
        <v>36</v>
      </c>
      <c r="AH9" s="6" t="s">
        <v>247</v>
      </c>
      <c r="AI9" s="6" t="s">
        <v>248</v>
      </c>
      <c r="AJ9" s="6" t="s">
        <v>249</v>
      </c>
      <c r="AK9" s="6" t="s">
        <v>250</v>
      </c>
      <c r="AL9" s="6" t="s">
        <v>12</v>
      </c>
      <c r="AM9" s="6" t="s">
        <v>42</v>
      </c>
      <c r="AN9" s="6" t="s">
        <v>251</v>
      </c>
      <c r="AO9" s="6" t="s">
        <v>44</v>
      </c>
      <c r="AP9" s="6" t="s">
        <v>252</v>
      </c>
      <c r="AQ9" s="6" t="s">
        <v>52</v>
      </c>
      <c r="AR9" s="6" t="s">
        <v>253</v>
      </c>
      <c r="AS9" s="6" t="s">
        <v>254</v>
      </c>
      <c r="AT9" s="6" t="s">
        <v>28</v>
      </c>
      <c r="AU9" s="6" t="s">
        <v>255</v>
      </c>
      <c r="AV9" s="6" t="s">
        <v>40</v>
      </c>
      <c r="AW9" s="6" t="s">
        <v>256</v>
      </c>
      <c r="AX9" s="6" t="s">
        <v>257</v>
      </c>
      <c r="AY9" s="6" t="s">
        <v>258</v>
      </c>
      <c r="AZ9" s="69" t="s">
        <v>34</v>
      </c>
      <c r="BA9" s="69" t="s">
        <v>18</v>
      </c>
      <c r="BB9" s="69" t="s">
        <v>259</v>
      </c>
      <c r="BC9" s="69" t="s">
        <v>20</v>
      </c>
      <c r="BD9" s="69" t="s">
        <v>260</v>
      </c>
      <c r="BE9" s="69" t="s">
        <v>50</v>
      </c>
      <c r="BF9" s="69" t="s">
        <v>22</v>
      </c>
      <c r="BG9" s="69" t="s">
        <v>261</v>
      </c>
      <c r="BH9" s="69" t="s">
        <v>262</v>
      </c>
      <c r="BI9" s="69" t="s">
        <v>263</v>
      </c>
      <c r="BJ9" s="69" t="s">
        <v>264</v>
      </c>
      <c r="BK9" s="69" t="s">
        <v>265</v>
      </c>
      <c r="BL9" s="69" t="s">
        <v>266</v>
      </c>
      <c r="BM9" s="69" t="s">
        <v>267</v>
      </c>
      <c r="BN9" s="69" t="s">
        <v>268</v>
      </c>
      <c r="BO9" s="69" t="s">
        <v>275</v>
      </c>
      <c r="BP9" s="69" t="s">
        <v>269</v>
      </c>
      <c r="BQ9" s="69" t="s">
        <v>270</v>
      </c>
      <c r="BR9" s="69" t="s">
        <v>271</v>
      </c>
      <c r="BS9" s="69" t="s">
        <v>272</v>
      </c>
      <c r="BT9" s="69" t="s">
        <v>273</v>
      </c>
      <c r="BU9" s="69" t="s">
        <v>274</v>
      </c>
      <c r="BV9" s="76" t="s">
        <v>276</v>
      </c>
    </row>
    <row r="10" spans="1:74" x14ac:dyDescent="0.4">
      <c r="A10" s="5" t="s">
        <v>9</v>
      </c>
      <c r="B10" s="6" t="s">
        <v>94</v>
      </c>
      <c r="C10" s="6" t="s">
        <v>31</v>
      </c>
      <c r="D10" s="6" t="s">
        <v>97</v>
      </c>
      <c r="E10" s="6" t="s">
        <v>99</v>
      </c>
      <c r="F10" s="6" t="s">
        <v>49</v>
      </c>
      <c r="G10" s="6" t="s">
        <v>102</v>
      </c>
      <c r="H10" s="6" t="s">
        <v>104</v>
      </c>
      <c r="I10" s="6" t="s">
        <v>106</v>
      </c>
      <c r="J10" s="6" t="s">
        <v>108</v>
      </c>
      <c r="K10" s="6" t="s">
        <v>110</v>
      </c>
      <c r="L10" s="6" t="s">
        <v>112</v>
      </c>
      <c r="M10" s="6" t="s">
        <v>114</v>
      </c>
      <c r="N10" s="6" t="s">
        <v>116</v>
      </c>
      <c r="O10" s="6" t="s">
        <v>118</v>
      </c>
      <c r="P10" s="6" t="s">
        <v>120</v>
      </c>
      <c r="Q10" s="6" t="s">
        <v>39</v>
      </c>
      <c r="R10" s="6" t="s">
        <v>47</v>
      </c>
      <c r="S10" s="6" t="s">
        <v>33</v>
      </c>
      <c r="T10" s="6" t="s">
        <v>125</v>
      </c>
      <c r="U10" s="6" t="s">
        <v>127</v>
      </c>
      <c r="V10" s="6" t="s">
        <v>25</v>
      </c>
      <c r="W10" s="6" t="s">
        <v>130</v>
      </c>
      <c r="X10" s="6" t="s">
        <v>132</v>
      </c>
      <c r="Y10" s="6" t="s">
        <v>134</v>
      </c>
      <c r="Z10" s="6" t="s">
        <v>136</v>
      </c>
      <c r="AA10" s="6" t="s">
        <v>138</v>
      </c>
      <c r="AB10" s="6" t="s">
        <v>140</v>
      </c>
      <c r="AC10" s="6" t="s">
        <v>142</v>
      </c>
      <c r="AD10" s="6" t="s">
        <v>144</v>
      </c>
      <c r="AE10" s="6" t="s">
        <v>27</v>
      </c>
      <c r="AF10" s="6" t="s">
        <v>147</v>
      </c>
      <c r="AG10" s="6" t="s">
        <v>37</v>
      </c>
      <c r="AH10" s="6" t="s">
        <v>150</v>
      </c>
      <c r="AI10" s="6" t="s">
        <v>152</v>
      </c>
      <c r="AJ10" s="6" t="s">
        <v>154</v>
      </c>
      <c r="AK10" s="6" t="s">
        <v>156</v>
      </c>
      <c r="AL10" s="6" t="s">
        <v>13</v>
      </c>
      <c r="AM10" s="6" t="s">
        <v>43</v>
      </c>
      <c r="AN10" s="6" t="s">
        <v>161</v>
      </c>
      <c r="AO10" s="6" t="s">
        <v>45</v>
      </c>
      <c r="AP10" s="6" t="s">
        <v>164</v>
      </c>
      <c r="AQ10" s="6" t="s">
        <v>53</v>
      </c>
      <c r="AR10" s="6" t="s">
        <v>167</v>
      </c>
      <c r="AS10" s="6" t="s">
        <v>169</v>
      </c>
      <c r="AT10" s="6" t="s">
        <v>29</v>
      </c>
      <c r="AU10" s="6" t="s">
        <v>172</v>
      </c>
      <c r="AV10" s="6" t="s">
        <v>41</v>
      </c>
      <c r="AW10" s="6" t="s">
        <v>175</v>
      </c>
      <c r="AX10" s="6" t="s">
        <v>177</v>
      </c>
      <c r="AY10" s="6" t="s">
        <v>179</v>
      </c>
      <c r="AZ10" s="69" t="s">
        <v>35</v>
      </c>
      <c r="BA10" s="69" t="s">
        <v>19</v>
      </c>
      <c r="BB10" s="69" t="s">
        <v>183</v>
      </c>
      <c r="BC10" s="69" t="s">
        <v>21</v>
      </c>
      <c r="BD10" s="69" t="s">
        <v>186</v>
      </c>
      <c r="BE10" s="69" t="s">
        <v>51</v>
      </c>
      <c r="BF10" s="69" t="s">
        <v>23</v>
      </c>
      <c r="BG10" s="69" t="s">
        <v>190</v>
      </c>
      <c r="BH10" s="69" t="s">
        <v>192</v>
      </c>
      <c r="BI10" s="69" t="s">
        <v>194</v>
      </c>
      <c r="BJ10" s="69" t="s">
        <v>196</v>
      </c>
      <c r="BK10" s="69" t="s">
        <v>198</v>
      </c>
      <c r="BL10" s="69" t="s">
        <v>200</v>
      </c>
      <c r="BM10" s="69" t="s">
        <v>202</v>
      </c>
      <c r="BN10" s="69" t="s">
        <v>204</v>
      </c>
      <c r="BO10" s="69" t="s">
        <v>206</v>
      </c>
      <c r="BP10" s="69" t="s">
        <v>210</v>
      </c>
      <c r="BQ10" s="69" t="s">
        <v>212</v>
      </c>
      <c r="BR10" s="69" t="s">
        <v>214</v>
      </c>
      <c r="BS10" s="69" t="s">
        <v>216</v>
      </c>
      <c r="BT10" s="69" t="s">
        <v>218</v>
      </c>
      <c r="BU10" s="69" t="s">
        <v>220</v>
      </c>
      <c r="BV10" s="76" t="s">
        <v>222</v>
      </c>
    </row>
    <row r="11" spans="1:74" x14ac:dyDescent="0.4">
      <c r="A11" s="5" t="s">
        <v>10</v>
      </c>
      <c r="B11" s="6" t="s">
        <v>14</v>
      </c>
      <c r="C11" s="6" t="s">
        <v>14</v>
      </c>
      <c r="D11" s="6" t="s">
        <v>14</v>
      </c>
      <c r="E11" s="6" t="s">
        <v>14</v>
      </c>
      <c r="F11" s="6" t="s">
        <v>14</v>
      </c>
      <c r="G11" s="6" t="s">
        <v>14</v>
      </c>
      <c r="H11" s="6" t="s">
        <v>14</v>
      </c>
      <c r="I11" s="6" t="s">
        <v>14</v>
      </c>
      <c r="J11" s="6" t="s">
        <v>14</v>
      </c>
      <c r="K11" s="6" t="s">
        <v>14</v>
      </c>
      <c r="L11" s="6" t="s">
        <v>14</v>
      </c>
      <c r="M11" s="6" t="s">
        <v>14</v>
      </c>
      <c r="N11" s="6" t="s">
        <v>14</v>
      </c>
      <c r="O11" s="6" t="s">
        <v>14</v>
      </c>
      <c r="P11" s="6" t="s">
        <v>14</v>
      </c>
      <c r="Q11" s="6" t="s">
        <v>14</v>
      </c>
      <c r="R11" s="6" t="s">
        <v>14</v>
      </c>
      <c r="S11" s="6" t="s">
        <v>14</v>
      </c>
      <c r="T11" s="6" t="s">
        <v>14</v>
      </c>
      <c r="U11" s="6" t="s">
        <v>14</v>
      </c>
      <c r="V11" s="6" t="s">
        <v>14</v>
      </c>
      <c r="W11" s="6" t="s">
        <v>14</v>
      </c>
      <c r="X11" s="6" t="s">
        <v>14</v>
      </c>
      <c r="Y11" s="6" t="s">
        <v>14</v>
      </c>
      <c r="Z11" s="6" t="s">
        <v>14</v>
      </c>
      <c r="AA11" s="6" t="s">
        <v>14</v>
      </c>
      <c r="AB11" s="6" t="s">
        <v>14</v>
      </c>
      <c r="AC11" s="6" t="s">
        <v>14</v>
      </c>
      <c r="AD11" s="6" t="s">
        <v>14</v>
      </c>
      <c r="AE11" s="6" t="s">
        <v>14</v>
      </c>
      <c r="AF11" s="6" t="s">
        <v>14</v>
      </c>
      <c r="AG11" s="6" t="s">
        <v>14</v>
      </c>
      <c r="AH11" s="6" t="s">
        <v>14</v>
      </c>
      <c r="AI11" s="6" t="s">
        <v>14</v>
      </c>
      <c r="AJ11" s="6" t="s">
        <v>14</v>
      </c>
      <c r="AK11" s="6" t="s">
        <v>14</v>
      </c>
      <c r="AL11" s="6" t="s">
        <v>14</v>
      </c>
      <c r="AM11" s="6" t="s">
        <v>14</v>
      </c>
      <c r="AN11" s="6" t="s">
        <v>14</v>
      </c>
      <c r="AO11" s="6" t="s">
        <v>14</v>
      </c>
      <c r="AP11" s="6" t="s">
        <v>14</v>
      </c>
      <c r="AQ11" s="6" t="s">
        <v>14</v>
      </c>
      <c r="AR11" s="6" t="s">
        <v>14</v>
      </c>
      <c r="AS11" s="6" t="s">
        <v>14</v>
      </c>
      <c r="AT11" s="6" t="s">
        <v>14</v>
      </c>
      <c r="AU11" s="6" t="s">
        <v>14</v>
      </c>
      <c r="AV11" s="6" t="s">
        <v>14</v>
      </c>
      <c r="AW11" s="6" t="s">
        <v>14</v>
      </c>
      <c r="AX11" s="6" t="s">
        <v>14</v>
      </c>
      <c r="AY11" s="6" t="s">
        <v>14</v>
      </c>
      <c r="AZ11" s="69" t="s">
        <v>14</v>
      </c>
      <c r="BA11" s="69" t="s">
        <v>14</v>
      </c>
      <c r="BB11" s="69" t="s">
        <v>14</v>
      </c>
      <c r="BC11" s="69" t="s">
        <v>14</v>
      </c>
      <c r="BD11" s="69" t="s">
        <v>14</v>
      </c>
      <c r="BE11" s="69" t="s">
        <v>14</v>
      </c>
      <c r="BF11" s="69" t="s">
        <v>14</v>
      </c>
      <c r="BG11" s="69" t="s">
        <v>14</v>
      </c>
      <c r="BH11" s="69" t="s">
        <v>14</v>
      </c>
      <c r="BI11" s="69" t="s">
        <v>14</v>
      </c>
      <c r="BJ11" s="69" t="s">
        <v>14</v>
      </c>
      <c r="BK11" s="69" t="s">
        <v>14</v>
      </c>
      <c r="BL11" s="69" t="s">
        <v>14</v>
      </c>
      <c r="BM11" s="69" t="s">
        <v>14</v>
      </c>
      <c r="BN11" s="69" t="s">
        <v>14</v>
      </c>
      <c r="BO11" s="69" t="s">
        <v>14</v>
      </c>
      <c r="BP11" s="69" t="s">
        <v>14</v>
      </c>
      <c r="BQ11" s="69" t="s">
        <v>14</v>
      </c>
      <c r="BR11" s="69" t="s">
        <v>14</v>
      </c>
      <c r="BS11" s="69" t="s">
        <v>14</v>
      </c>
      <c r="BT11" s="69" t="s">
        <v>14</v>
      </c>
      <c r="BU11" s="69" t="s">
        <v>14</v>
      </c>
      <c r="BV11" s="76" t="s">
        <v>14</v>
      </c>
    </row>
    <row r="12" spans="1:74" x14ac:dyDescent="0.4">
      <c r="A12" s="5" t="s">
        <v>3</v>
      </c>
      <c r="B12" s="6" t="s">
        <v>15</v>
      </c>
      <c r="C12" s="6" t="s">
        <v>15</v>
      </c>
      <c r="D12" s="6" t="s">
        <v>15</v>
      </c>
      <c r="E12" s="6" t="s">
        <v>15</v>
      </c>
      <c r="F12" s="6" t="s">
        <v>15</v>
      </c>
      <c r="G12" s="6" t="s">
        <v>15</v>
      </c>
      <c r="H12" s="6" t="s">
        <v>15</v>
      </c>
      <c r="I12" s="6" t="s">
        <v>15</v>
      </c>
      <c r="J12" s="6" t="s">
        <v>15</v>
      </c>
      <c r="K12" s="6" t="s">
        <v>15</v>
      </c>
      <c r="L12" s="6" t="s">
        <v>15</v>
      </c>
      <c r="M12" s="6" t="s">
        <v>15</v>
      </c>
      <c r="N12" s="6" t="s">
        <v>15</v>
      </c>
      <c r="O12" s="6" t="s">
        <v>15</v>
      </c>
      <c r="P12" s="6" t="s">
        <v>15</v>
      </c>
      <c r="Q12" s="6" t="s">
        <v>15</v>
      </c>
      <c r="R12" s="6" t="s">
        <v>15</v>
      </c>
      <c r="S12" s="6" t="s">
        <v>15</v>
      </c>
      <c r="T12" s="6" t="s">
        <v>15</v>
      </c>
      <c r="U12" s="6" t="s">
        <v>15</v>
      </c>
      <c r="V12" s="6" t="s">
        <v>15</v>
      </c>
      <c r="W12" s="6" t="s">
        <v>15</v>
      </c>
      <c r="X12" s="6" t="s">
        <v>15</v>
      </c>
      <c r="Y12" s="6" t="s">
        <v>15</v>
      </c>
      <c r="Z12" s="6" t="s">
        <v>15</v>
      </c>
      <c r="AA12" s="6" t="s">
        <v>15</v>
      </c>
      <c r="AB12" s="6" t="s">
        <v>15</v>
      </c>
      <c r="AC12" s="6" t="s">
        <v>15</v>
      </c>
      <c r="AD12" s="6" t="s">
        <v>15</v>
      </c>
      <c r="AE12" s="6" t="s">
        <v>15</v>
      </c>
      <c r="AF12" s="6" t="s">
        <v>15</v>
      </c>
      <c r="AG12" s="6" t="s">
        <v>15</v>
      </c>
      <c r="AH12" s="6" t="s">
        <v>15</v>
      </c>
      <c r="AI12" s="6" t="s">
        <v>15</v>
      </c>
      <c r="AJ12" s="6" t="s">
        <v>15</v>
      </c>
      <c r="AK12" s="6" t="s">
        <v>15</v>
      </c>
      <c r="AL12" s="6" t="s">
        <v>15</v>
      </c>
      <c r="AM12" s="6" t="s">
        <v>15</v>
      </c>
      <c r="AN12" s="6" t="s">
        <v>15</v>
      </c>
      <c r="AO12" s="6" t="s">
        <v>15</v>
      </c>
      <c r="AP12" s="6" t="s">
        <v>15</v>
      </c>
      <c r="AQ12" s="6" t="s">
        <v>15</v>
      </c>
      <c r="AR12" s="6" t="s">
        <v>15</v>
      </c>
      <c r="AS12" s="6" t="s">
        <v>15</v>
      </c>
      <c r="AT12" s="6" t="s">
        <v>15</v>
      </c>
      <c r="AU12" s="6" t="s">
        <v>15</v>
      </c>
      <c r="AV12" s="6" t="s">
        <v>15</v>
      </c>
      <c r="AW12" s="6" t="s">
        <v>15</v>
      </c>
      <c r="AX12" s="6" t="s">
        <v>15</v>
      </c>
      <c r="AY12" s="6" t="s">
        <v>15</v>
      </c>
      <c r="AZ12" s="69" t="s">
        <v>15</v>
      </c>
      <c r="BA12" s="69" t="s">
        <v>15</v>
      </c>
      <c r="BB12" s="69" t="s">
        <v>15</v>
      </c>
      <c r="BC12" s="69" t="s">
        <v>15</v>
      </c>
      <c r="BD12" s="69" t="s">
        <v>15</v>
      </c>
      <c r="BE12" s="69" t="s">
        <v>15</v>
      </c>
      <c r="BF12" s="69" t="s">
        <v>15</v>
      </c>
      <c r="BG12" s="69" t="s">
        <v>15</v>
      </c>
      <c r="BH12" s="69" t="s">
        <v>15</v>
      </c>
      <c r="BI12" s="69" t="s">
        <v>15</v>
      </c>
      <c r="BJ12" s="69" t="s">
        <v>15</v>
      </c>
      <c r="BK12" s="69" t="s">
        <v>15</v>
      </c>
      <c r="BL12" s="69" t="s">
        <v>15</v>
      </c>
      <c r="BM12" s="69" t="s">
        <v>15</v>
      </c>
      <c r="BN12" s="69" t="s">
        <v>15</v>
      </c>
      <c r="BO12" s="69" t="s">
        <v>15</v>
      </c>
      <c r="BP12" s="69" t="s">
        <v>15</v>
      </c>
      <c r="BQ12" s="69" t="s">
        <v>15</v>
      </c>
      <c r="BR12" s="69" t="s">
        <v>15</v>
      </c>
      <c r="BS12" s="69" t="s">
        <v>15</v>
      </c>
      <c r="BT12" s="69" t="s">
        <v>15</v>
      </c>
      <c r="BU12" s="69" t="s">
        <v>15</v>
      </c>
      <c r="BV12" s="76" t="s">
        <v>15</v>
      </c>
    </row>
    <row r="13" spans="1:74" x14ac:dyDescent="0.4">
      <c r="A13" s="5" t="s">
        <v>11</v>
      </c>
      <c r="B13" s="6" t="s">
        <v>16</v>
      </c>
      <c r="C13" s="6" t="s">
        <v>16</v>
      </c>
      <c r="D13" s="6" t="s">
        <v>16</v>
      </c>
      <c r="E13" s="6" t="s">
        <v>16</v>
      </c>
      <c r="F13" s="6" t="s">
        <v>16</v>
      </c>
      <c r="G13" s="6" t="s">
        <v>16</v>
      </c>
      <c r="H13" s="6" t="s">
        <v>16</v>
      </c>
      <c r="I13" s="6" t="s">
        <v>16</v>
      </c>
      <c r="J13" s="6" t="s">
        <v>16</v>
      </c>
      <c r="K13" s="6" t="s">
        <v>16</v>
      </c>
      <c r="L13" s="6" t="s">
        <v>16</v>
      </c>
      <c r="M13" s="6" t="s">
        <v>16</v>
      </c>
      <c r="N13" s="6" t="s">
        <v>16</v>
      </c>
      <c r="O13" s="6" t="s">
        <v>16</v>
      </c>
      <c r="P13" s="6" t="s">
        <v>16</v>
      </c>
      <c r="Q13" s="6" t="s">
        <v>16</v>
      </c>
      <c r="R13" s="6" t="s">
        <v>16</v>
      </c>
      <c r="S13" s="6" t="s">
        <v>16</v>
      </c>
      <c r="T13" s="6" t="s">
        <v>16</v>
      </c>
      <c r="U13" s="6" t="s">
        <v>16</v>
      </c>
      <c r="V13" s="6" t="s">
        <v>16</v>
      </c>
      <c r="W13" s="6" t="s">
        <v>16</v>
      </c>
      <c r="X13" s="6" t="s">
        <v>16</v>
      </c>
      <c r="Y13" s="6" t="s">
        <v>16</v>
      </c>
      <c r="Z13" s="6" t="s">
        <v>16</v>
      </c>
      <c r="AA13" s="6" t="s">
        <v>16</v>
      </c>
      <c r="AB13" s="6" t="s">
        <v>16</v>
      </c>
      <c r="AC13" s="6" t="s">
        <v>16</v>
      </c>
      <c r="AD13" s="6" t="s">
        <v>16</v>
      </c>
      <c r="AE13" s="6" t="s">
        <v>16</v>
      </c>
      <c r="AF13" s="6" t="s">
        <v>16</v>
      </c>
      <c r="AG13" s="6" t="s">
        <v>16</v>
      </c>
      <c r="AH13" s="6" t="s">
        <v>16</v>
      </c>
      <c r="AI13" s="6" t="s">
        <v>16</v>
      </c>
      <c r="AJ13" s="6" t="s">
        <v>16</v>
      </c>
      <c r="AK13" s="6" t="s">
        <v>16</v>
      </c>
      <c r="AL13" s="6" t="s">
        <v>16</v>
      </c>
      <c r="AM13" s="6" t="s">
        <v>16</v>
      </c>
      <c r="AN13" s="6" t="s">
        <v>16</v>
      </c>
      <c r="AO13" s="6" t="s">
        <v>16</v>
      </c>
      <c r="AP13" s="6" t="s">
        <v>16</v>
      </c>
      <c r="AQ13" s="6" t="s">
        <v>16</v>
      </c>
      <c r="AR13" s="6" t="s">
        <v>16</v>
      </c>
      <c r="AS13" s="6" t="s">
        <v>16</v>
      </c>
      <c r="AT13" s="6" t="s">
        <v>16</v>
      </c>
      <c r="AU13" s="6" t="s">
        <v>16</v>
      </c>
      <c r="AV13" s="6" t="s">
        <v>16</v>
      </c>
      <c r="AW13" s="6" t="s">
        <v>16</v>
      </c>
      <c r="AX13" s="6" t="s">
        <v>16</v>
      </c>
      <c r="AY13" s="6" t="s">
        <v>16</v>
      </c>
      <c r="AZ13" s="69" t="s">
        <v>16</v>
      </c>
      <c r="BA13" s="69" t="s">
        <v>16</v>
      </c>
      <c r="BB13" s="69" t="s">
        <v>16</v>
      </c>
      <c r="BC13" s="69" t="s">
        <v>16</v>
      </c>
      <c r="BD13" s="69" t="s">
        <v>16</v>
      </c>
      <c r="BE13" s="69" t="s">
        <v>16</v>
      </c>
      <c r="BF13" s="69" t="s">
        <v>16</v>
      </c>
      <c r="BG13" s="69" t="s">
        <v>16</v>
      </c>
      <c r="BH13" s="69" t="s">
        <v>16</v>
      </c>
      <c r="BI13" s="69" t="s">
        <v>16</v>
      </c>
      <c r="BJ13" s="69" t="s">
        <v>16</v>
      </c>
      <c r="BK13" s="69" t="s">
        <v>16</v>
      </c>
      <c r="BL13" s="69" t="s">
        <v>16</v>
      </c>
      <c r="BM13" s="69" t="s">
        <v>16</v>
      </c>
      <c r="BN13" s="69" t="s">
        <v>16</v>
      </c>
      <c r="BO13" s="69" t="s">
        <v>16</v>
      </c>
      <c r="BP13" s="69" t="s">
        <v>16</v>
      </c>
      <c r="BQ13" s="69" t="s">
        <v>16</v>
      </c>
      <c r="BR13" s="69" t="s">
        <v>16</v>
      </c>
      <c r="BS13" s="69" t="s">
        <v>16</v>
      </c>
      <c r="BT13" s="69" t="s">
        <v>16</v>
      </c>
      <c r="BU13" s="69" t="s">
        <v>16</v>
      </c>
      <c r="BV13" s="76" t="s">
        <v>16</v>
      </c>
    </row>
    <row r="14" spans="1:74" x14ac:dyDescent="0.4">
      <c r="A14" s="68" t="s">
        <v>4</v>
      </c>
      <c r="B14" s="70" t="s">
        <v>17</v>
      </c>
      <c r="C14" s="70" t="s">
        <v>17</v>
      </c>
      <c r="D14" s="70" t="s">
        <v>17</v>
      </c>
      <c r="E14" s="70" t="s">
        <v>17</v>
      </c>
      <c r="F14" s="70" t="s">
        <v>17</v>
      </c>
      <c r="G14" s="70" t="s">
        <v>17</v>
      </c>
      <c r="H14" s="70" t="s">
        <v>17</v>
      </c>
      <c r="I14" s="70" t="s">
        <v>17</v>
      </c>
      <c r="J14" s="70" t="s">
        <v>17</v>
      </c>
      <c r="K14" s="70" t="s">
        <v>17</v>
      </c>
      <c r="L14" s="70" t="s">
        <v>17</v>
      </c>
      <c r="M14" s="70" t="s">
        <v>17</v>
      </c>
      <c r="N14" s="70" t="s">
        <v>17</v>
      </c>
      <c r="O14" s="70" t="s">
        <v>17</v>
      </c>
      <c r="P14" s="70" t="s">
        <v>17</v>
      </c>
      <c r="Q14" s="70" t="s">
        <v>17</v>
      </c>
      <c r="R14" s="70" t="s">
        <v>17</v>
      </c>
      <c r="S14" s="70" t="s">
        <v>17</v>
      </c>
      <c r="T14" s="70" t="s">
        <v>17</v>
      </c>
      <c r="U14" s="70" t="s">
        <v>17</v>
      </c>
      <c r="V14" s="70" t="s">
        <v>17</v>
      </c>
      <c r="W14" s="70" t="s">
        <v>17</v>
      </c>
      <c r="X14" s="70" t="s">
        <v>17</v>
      </c>
      <c r="Y14" s="70" t="s">
        <v>17</v>
      </c>
      <c r="Z14" s="70" t="s">
        <v>17</v>
      </c>
      <c r="AA14" s="70" t="s">
        <v>17</v>
      </c>
      <c r="AB14" s="70" t="s">
        <v>17</v>
      </c>
      <c r="AC14" s="70" t="s">
        <v>17</v>
      </c>
      <c r="AD14" s="70" t="s">
        <v>17</v>
      </c>
      <c r="AE14" s="70" t="s">
        <v>17</v>
      </c>
      <c r="AF14" s="70" t="s">
        <v>17</v>
      </c>
      <c r="AG14" s="70" t="s">
        <v>17</v>
      </c>
      <c r="AH14" s="70" t="s">
        <v>17</v>
      </c>
      <c r="AI14" s="70" t="s">
        <v>17</v>
      </c>
      <c r="AJ14" s="70" t="s">
        <v>17</v>
      </c>
      <c r="AK14" s="70" t="s">
        <v>17</v>
      </c>
      <c r="AL14" s="70" t="s">
        <v>17</v>
      </c>
      <c r="AM14" s="70" t="s">
        <v>17</v>
      </c>
      <c r="AN14" s="70" t="s">
        <v>17</v>
      </c>
      <c r="AO14" s="70" t="s">
        <v>17</v>
      </c>
      <c r="AP14" s="70" t="s">
        <v>17</v>
      </c>
      <c r="AQ14" s="70" t="s">
        <v>17</v>
      </c>
      <c r="AR14" s="70" t="s">
        <v>17</v>
      </c>
      <c r="AS14" s="70" t="s">
        <v>17</v>
      </c>
      <c r="AT14" s="70" t="s">
        <v>17</v>
      </c>
      <c r="AU14" s="70" t="s">
        <v>17</v>
      </c>
      <c r="AV14" s="70" t="s">
        <v>17</v>
      </c>
      <c r="AW14" s="70" t="s">
        <v>17</v>
      </c>
      <c r="AX14" s="70" t="s">
        <v>17</v>
      </c>
      <c r="AY14" s="70" t="s">
        <v>17</v>
      </c>
      <c r="AZ14" s="71" t="s">
        <v>17</v>
      </c>
      <c r="BA14" s="71" t="s">
        <v>17</v>
      </c>
      <c r="BB14" s="71" t="s">
        <v>17</v>
      </c>
      <c r="BC14" s="71" t="s">
        <v>17</v>
      </c>
      <c r="BD14" s="71" t="s">
        <v>17</v>
      </c>
      <c r="BE14" s="71" t="s">
        <v>17</v>
      </c>
      <c r="BF14" s="71" t="s">
        <v>17</v>
      </c>
      <c r="BG14" s="71" t="s">
        <v>17</v>
      </c>
      <c r="BH14" s="71" t="s">
        <v>17</v>
      </c>
      <c r="BI14" s="71" t="s">
        <v>17</v>
      </c>
      <c r="BJ14" s="71" t="s">
        <v>17</v>
      </c>
      <c r="BK14" s="71" t="s">
        <v>17</v>
      </c>
      <c r="BL14" s="71" t="s">
        <v>17</v>
      </c>
      <c r="BM14" s="71" t="s">
        <v>17</v>
      </c>
      <c r="BN14" s="71" t="s">
        <v>17</v>
      </c>
      <c r="BO14" s="71" t="s">
        <v>17</v>
      </c>
      <c r="BP14" s="71" t="s">
        <v>17</v>
      </c>
      <c r="BQ14" s="71" t="s">
        <v>17</v>
      </c>
      <c r="BR14" s="71" t="s">
        <v>17</v>
      </c>
      <c r="BS14" s="71" t="s">
        <v>17</v>
      </c>
      <c r="BT14" s="71" t="s">
        <v>17</v>
      </c>
      <c r="BU14" s="71" t="s">
        <v>17</v>
      </c>
      <c r="BV14" s="76" t="s">
        <v>17</v>
      </c>
    </row>
    <row r="15" spans="1:74" x14ac:dyDescent="0.4">
      <c r="A15" s="11">
        <v>41459</v>
      </c>
      <c r="B15" s="7">
        <v>356200</v>
      </c>
      <c r="C15" s="7">
        <v>144000</v>
      </c>
      <c r="D15" s="7">
        <v>42050</v>
      </c>
      <c r="E15" s="7">
        <v>59200</v>
      </c>
      <c r="F15" s="7">
        <v>255000</v>
      </c>
      <c r="G15" s="8">
        <v>85000</v>
      </c>
      <c r="H15" s="8">
        <v>17050</v>
      </c>
      <c r="I15" s="8">
        <v>15200</v>
      </c>
      <c r="J15" s="8">
        <v>21050</v>
      </c>
      <c r="K15" s="8">
        <v>10600</v>
      </c>
      <c r="L15" s="7">
        <v>34500</v>
      </c>
      <c r="M15" s="7">
        <v>44500</v>
      </c>
      <c r="N15" s="7">
        <v>12650</v>
      </c>
      <c r="O15" s="7">
        <v>19050</v>
      </c>
      <c r="P15" s="7">
        <v>23800</v>
      </c>
      <c r="Q15" s="8">
        <v>141000</v>
      </c>
      <c r="R15" s="8">
        <v>547000</v>
      </c>
      <c r="S15" s="8">
        <v>177000</v>
      </c>
      <c r="T15" s="8">
        <v>32900</v>
      </c>
      <c r="U15" s="8">
        <v>33600</v>
      </c>
      <c r="V15" s="7">
        <v>61900</v>
      </c>
      <c r="W15" s="7">
        <v>1009000</v>
      </c>
      <c r="X15" s="7">
        <v>38900</v>
      </c>
      <c r="Y15" s="7">
        <v>117000</v>
      </c>
      <c r="Z15" s="7">
        <v>36000</v>
      </c>
      <c r="AA15" s="8">
        <v>24750</v>
      </c>
      <c r="AB15" s="8">
        <v>91300</v>
      </c>
      <c r="AC15" s="8">
        <v>15200</v>
      </c>
      <c r="AD15" s="8">
        <v>61600</v>
      </c>
      <c r="AE15" s="8">
        <v>292500</v>
      </c>
      <c r="AF15" s="7">
        <v>105500</v>
      </c>
      <c r="AG15" s="7">
        <v>71900</v>
      </c>
      <c r="AH15" s="7">
        <v>21800</v>
      </c>
      <c r="AI15" s="7">
        <v>125500</v>
      </c>
      <c r="AJ15" s="7">
        <v>24100</v>
      </c>
      <c r="AK15" s="8">
        <v>21850</v>
      </c>
      <c r="AL15" s="8">
        <v>58700</v>
      </c>
      <c r="AM15" s="8">
        <v>169000</v>
      </c>
      <c r="AN15" s="8">
        <v>27250</v>
      </c>
      <c r="AO15" s="8">
        <v>24850</v>
      </c>
      <c r="AP15" s="7">
        <v>4960</v>
      </c>
      <c r="AQ15" s="7">
        <v>187000</v>
      </c>
      <c r="AR15" s="7">
        <v>51800</v>
      </c>
      <c r="AS15" s="7">
        <v>10750</v>
      </c>
      <c r="AT15" s="7">
        <v>1317000</v>
      </c>
      <c r="AU15" s="8">
        <v>108000</v>
      </c>
      <c r="AV15" s="8">
        <v>290500</v>
      </c>
      <c r="AW15" s="8">
        <v>11500</v>
      </c>
      <c r="AX15" s="8">
        <v>54100</v>
      </c>
      <c r="AY15" s="8">
        <v>11100</v>
      </c>
      <c r="AZ15" s="7">
        <v>271000</v>
      </c>
      <c r="BA15" s="7">
        <v>28750</v>
      </c>
      <c r="BB15" s="7">
        <v>2485</v>
      </c>
      <c r="BC15" s="7">
        <v>53800</v>
      </c>
      <c r="BD15" s="7">
        <v>44750</v>
      </c>
      <c r="BE15" s="8">
        <v>71000</v>
      </c>
      <c r="BF15" s="8">
        <v>29800</v>
      </c>
      <c r="BG15" s="8">
        <v>26750</v>
      </c>
      <c r="BH15" s="8">
        <v>835000</v>
      </c>
      <c r="BI15" s="8">
        <v>16200</v>
      </c>
      <c r="BJ15" s="7">
        <v>25150</v>
      </c>
      <c r="BK15" s="7">
        <v>18700</v>
      </c>
      <c r="BL15" s="7">
        <v>147000</v>
      </c>
      <c r="BM15" s="7">
        <v>4650</v>
      </c>
      <c r="BN15" s="7">
        <v>9740</v>
      </c>
      <c r="BO15" s="8">
        <v>634000</v>
      </c>
      <c r="BP15" s="8">
        <v>53600</v>
      </c>
      <c r="BQ15" s="8">
        <v>7690</v>
      </c>
      <c r="BR15" s="7">
        <v>26850</v>
      </c>
      <c r="BS15" s="7">
        <v>5280</v>
      </c>
      <c r="BT15" s="7">
        <v>30950</v>
      </c>
      <c r="BU15" s="7">
        <v>9250</v>
      </c>
      <c r="BV15" s="8">
        <v>3635</v>
      </c>
    </row>
    <row r="16" spans="1:74" x14ac:dyDescent="0.4">
      <c r="A16" s="11">
        <v>41458</v>
      </c>
      <c r="B16" s="7">
        <v>347400</v>
      </c>
      <c r="C16" s="7">
        <v>141000</v>
      </c>
      <c r="D16" s="7">
        <v>41550</v>
      </c>
      <c r="E16" s="7">
        <v>58400</v>
      </c>
      <c r="F16" s="7">
        <v>250000</v>
      </c>
      <c r="G16" s="8">
        <v>83000</v>
      </c>
      <c r="H16" s="8">
        <v>16900</v>
      </c>
      <c r="I16" s="8">
        <v>14900</v>
      </c>
      <c r="J16" s="8">
        <v>20850</v>
      </c>
      <c r="K16" s="8">
        <v>10600</v>
      </c>
      <c r="L16" s="7">
        <v>33350</v>
      </c>
      <c r="M16" s="7">
        <v>44250</v>
      </c>
      <c r="N16" s="7">
        <v>12250</v>
      </c>
      <c r="O16" s="7">
        <v>18400</v>
      </c>
      <c r="P16" s="7">
        <v>23650</v>
      </c>
      <c r="Q16" s="8">
        <v>138000</v>
      </c>
      <c r="R16" s="8">
        <v>564000</v>
      </c>
      <c r="S16" s="8">
        <v>179000</v>
      </c>
      <c r="T16" s="8">
        <v>33300</v>
      </c>
      <c r="U16" s="8">
        <v>33700</v>
      </c>
      <c r="V16" s="7">
        <v>62100</v>
      </c>
      <c r="W16" s="7">
        <v>1000000</v>
      </c>
      <c r="X16" s="7">
        <v>39000</v>
      </c>
      <c r="Y16" s="7">
        <v>118000</v>
      </c>
      <c r="Z16" s="7">
        <v>36150</v>
      </c>
      <c r="AA16" s="8">
        <v>25300</v>
      </c>
      <c r="AB16" s="8">
        <v>90200</v>
      </c>
      <c r="AC16" s="8">
        <v>14750</v>
      </c>
      <c r="AD16" s="8">
        <v>60800</v>
      </c>
      <c r="AE16" s="8">
        <v>294000</v>
      </c>
      <c r="AF16" s="7">
        <v>103500</v>
      </c>
      <c r="AG16" s="7">
        <v>71400</v>
      </c>
      <c r="AH16" s="7">
        <v>20350</v>
      </c>
      <c r="AI16" s="7">
        <v>125000</v>
      </c>
      <c r="AJ16" s="7">
        <v>23200</v>
      </c>
      <c r="AK16" s="8">
        <v>21800</v>
      </c>
      <c r="AL16" s="8">
        <v>58200</v>
      </c>
      <c r="AM16" s="8">
        <v>170000</v>
      </c>
      <c r="AN16" s="8">
        <v>27150</v>
      </c>
      <c r="AO16" s="8">
        <v>24800</v>
      </c>
      <c r="AP16" s="7">
        <v>4955</v>
      </c>
      <c r="AQ16" s="7">
        <v>187500</v>
      </c>
      <c r="AR16" s="7">
        <v>50900</v>
      </c>
      <c r="AS16" s="7">
        <v>10550</v>
      </c>
      <c r="AT16" s="7">
        <v>1301000</v>
      </c>
      <c r="AU16" s="8">
        <v>109000</v>
      </c>
      <c r="AV16" s="8">
        <v>291500</v>
      </c>
      <c r="AW16" s="8">
        <v>11400</v>
      </c>
      <c r="AX16" s="8">
        <v>53600</v>
      </c>
      <c r="AY16" s="8">
        <v>11000</v>
      </c>
      <c r="AZ16" s="7">
        <v>269500</v>
      </c>
      <c r="BA16" s="7">
        <v>28750</v>
      </c>
      <c r="BB16" s="7">
        <v>2495</v>
      </c>
      <c r="BC16" s="7">
        <v>54000</v>
      </c>
      <c r="BD16" s="7">
        <v>44850</v>
      </c>
      <c r="BE16" s="8">
        <v>70500</v>
      </c>
      <c r="BF16" s="8">
        <v>29800</v>
      </c>
      <c r="BG16" s="8">
        <v>26550</v>
      </c>
      <c r="BH16" s="8">
        <v>837000</v>
      </c>
      <c r="BI16" s="8">
        <v>15750</v>
      </c>
      <c r="BJ16" s="7">
        <v>25350</v>
      </c>
      <c r="BK16" s="7">
        <v>18650</v>
      </c>
      <c r="BL16" s="7">
        <v>152500</v>
      </c>
      <c r="BM16" s="7">
        <v>4590</v>
      </c>
      <c r="BN16" s="7">
        <v>9700</v>
      </c>
      <c r="BO16" s="8">
        <v>635000</v>
      </c>
      <c r="BP16" s="8">
        <v>53700</v>
      </c>
      <c r="BQ16" s="8">
        <v>7700</v>
      </c>
      <c r="BR16" s="7">
        <v>26500</v>
      </c>
      <c r="BS16" s="7">
        <v>5180</v>
      </c>
      <c r="BT16" s="7">
        <v>30950</v>
      </c>
      <c r="BU16" s="7">
        <v>9150</v>
      </c>
      <c r="BV16" s="8">
        <v>3615</v>
      </c>
    </row>
    <row r="17" spans="1:74" x14ac:dyDescent="0.4">
      <c r="A17" s="11">
        <v>41457</v>
      </c>
      <c r="B17" s="7">
        <v>348000</v>
      </c>
      <c r="C17" s="7">
        <v>144000</v>
      </c>
      <c r="D17" s="7">
        <v>42200</v>
      </c>
      <c r="E17" s="7">
        <v>57500</v>
      </c>
      <c r="F17" s="7">
        <v>253000</v>
      </c>
      <c r="G17" s="8">
        <v>83700</v>
      </c>
      <c r="H17" s="8">
        <v>16600</v>
      </c>
      <c r="I17" s="8">
        <v>15050</v>
      </c>
      <c r="J17" s="8">
        <v>19750</v>
      </c>
      <c r="K17" s="8">
        <v>11100</v>
      </c>
      <c r="L17" s="7">
        <v>33350</v>
      </c>
      <c r="M17" s="7">
        <v>44500</v>
      </c>
      <c r="N17" s="7">
        <v>11950</v>
      </c>
      <c r="O17" s="7">
        <v>19250</v>
      </c>
      <c r="P17" s="7">
        <v>24550</v>
      </c>
      <c r="Q17" s="8">
        <v>141500</v>
      </c>
      <c r="R17" s="8">
        <v>569000</v>
      </c>
      <c r="S17" s="8">
        <v>184500</v>
      </c>
      <c r="T17" s="8">
        <v>33750</v>
      </c>
      <c r="U17" s="8">
        <v>32950</v>
      </c>
      <c r="V17" s="7">
        <v>64500</v>
      </c>
      <c r="W17" s="7">
        <v>999000</v>
      </c>
      <c r="X17" s="7">
        <v>40200</v>
      </c>
      <c r="Y17" s="7">
        <v>119500</v>
      </c>
      <c r="Z17" s="7">
        <v>36100</v>
      </c>
      <c r="AA17" s="8">
        <v>26150</v>
      </c>
      <c r="AB17" s="8">
        <v>91100</v>
      </c>
      <c r="AC17" s="8">
        <v>15150</v>
      </c>
      <c r="AD17" s="8">
        <v>61300</v>
      </c>
      <c r="AE17" s="8">
        <v>299500</v>
      </c>
      <c r="AF17" s="7">
        <v>104500</v>
      </c>
      <c r="AG17" s="7">
        <v>72700</v>
      </c>
      <c r="AH17" s="7">
        <v>18750</v>
      </c>
      <c r="AI17" s="7">
        <v>128500</v>
      </c>
      <c r="AJ17" s="7">
        <v>23900</v>
      </c>
      <c r="AK17" s="8">
        <v>21850</v>
      </c>
      <c r="AL17" s="8">
        <v>59000</v>
      </c>
      <c r="AM17" s="8">
        <v>169500</v>
      </c>
      <c r="AN17" s="8">
        <v>27900</v>
      </c>
      <c r="AO17" s="8">
        <v>25600</v>
      </c>
      <c r="AP17" s="7">
        <v>4900</v>
      </c>
      <c r="AQ17" s="7">
        <v>188000</v>
      </c>
      <c r="AR17" s="7">
        <v>51300</v>
      </c>
      <c r="AS17" s="7">
        <v>11000</v>
      </c>
      <c r="AT17" s="7">
        <v>1335000</v>
      </c>
      <c r="AU17" s="8">
        <v>109500</v>
      </c>
      <c r="AV17" s="8">
        <v>293000</v>
      </c>
      <c r="AW17" s="8">
        <v>11350</v>
      </c>
      <c r="AX17" s="8">
        <v>54000</v>
      </c>
      <c r="AY17" s="8">
        <v>11250</v>
      </c>
      <c r="AZ17" s="7">
        <v>281500</v>
      </c>
      <c r="BA17" s="7">
        <v>28800</v>
      </c>
      <c r="BB17" s="7">
        <v>2560</v>
      </c>
      <c r="BC17" s="7">
        <v>55000</v>
      </c>
      <c r="BD17" s="7">
        <v>45700</v>
      </c>
      <c r="BE17" s="8">
        <v>73300</v>
      </c>
      <c r="BF17" s="8">
        <v>30450</v>
      </c>
      <c r="BG17" s="8">
        <v>27850</v>
      </c>
      <c r="BH17" s="8">
        <v>854000</v>
      </c>
      <c r="BI17" s="8">
        <v>16000</v>
      </c>
      <c r="BJ17" s="7">
        <v>26050</v>
      </c>
      <c r="BK17" s="7">
        <v>19100</v>
      </c>
      <c r="BL17" s="7">
        <v>154000</v>
      </c>
      <c r="BM17" s="7">
        <v>4570</v>
      </c>
      <c r="BN17" s="7">
        <v>9550</v>
      </c>
      <c r="BO17" s="8">
        <v>635000</v>
      </c>
      <c r="BP17" s="8">
        <v>53700</v>
      </c>
      <c r="BQ17" s="8">
        <v>7850</v>
      </c>
      <c r="BR17" s="7">
        <v>27500</v>
      </c>
      <c r="BS17" s="7">
        <v>5400</v>
      </c>
      <c r="BT17" s="7">
        <v>31000</v>
      </c>
      <c r="BU17" s="7">
        <v>9330</v>
      </c>
      <c r="BV17" s="8">
        <v>3780</v>
      </c>
    </row>
    <row r="18" spans="1:74" x14ac:dyDescent="0.4">
      <c r="A18" s="11">
        <v>41456</v>
      </c>
      <c r="B18" s="7">
        <v>349300</v>
      </c>
      <c r="C18" s="7">
        <v>141500</v>
      </c>
      <c r="D18" s="7">
        <v>42550</v>
      </c>
      <c r="E18" s="7">
        <v>56900</v>
      </c>
      <c r="F18" s="7">
        <v>252500</v>
      </c>
      <c r="G18" s="8">
        <v>84300</v>
      </c>
      <c r="H18" s="8">
        <v>16400</v>
      </c>
      <c r="I18" s="8">
        <v>14700</v>
      </c>
      <c r="J18" s="8">
        <v>20350</v>
      </c>
      <c r="K18" s="8">
        <v>10700</v>
      </c>
      <c r="L18" s="7">
        <v>33850</v>
      </c>
      <c r="M18" s="7">
        <v>44400</v>
      </c>
      <c r="N18" s="7">
        <v>11800</v>
      </c>
      <c r="O18" s="7">
        <v>19950</v>
      </c>
      <c r="P18" s="7">
        <v>24300</v>
      </c>
      <c r="Q18" s="8">
        <v>143500</v>
      </c>
      <c r="R18" s="8">
        <v>567000</v>
      </c>
      <c r="S18" s="8">
        <v>182500</v>
      </c>
      <c r="T18" s="8">
        <v>33750</v>
      </c>
      <c r="U18" s="8">
        <v>33900</v>
      </c>
      <c r="V18" s="7">
        <v>64600</v>
      </c>
      <c r="W18" s="7">
        <v>963000</v>
      </c>
      <c r="X18" s="7">
        <v>38100</v>
      </c>
      <c r="Y18" s="7">
        <v>117000</v>
      </c>
      <c r="Z18" s="7">
        <v>37350</v>
      </c>
      <c r="AA18" s="8">
        <v>26200</v>
      </c>
      <c r="AB18" s="8">
        <v>88600</v>
      </c>
      <c r="AC18" s="8">
        <v>15300</v>
      </c>
      <c r="AD18" s="8">
        <v>60800</v>
      </c>
      <c r="AE18" s="8">
        <v>296000</v>
      </c>
      <c r="AF18" s="7">
        <v>107000</v>
      </c>
      <c r="AG18" s="7">
        <v>73000</v>
      </c>
      <c r="AH18" s="7">
        <v>19800</v>
      </c>
      <c r="AI18" s="7">
        <v>127000</v>
      </c>
      <c r="AJ18" s="7">
        <v>24000</v>
      </c>
      <c r="AK18" s="8">
        <v>21950</v>
      </c>
      <c r="AL18" s="8">
        <v>62000</v>
      </c>
      <c r="AM18" s="8">
        <v>167500</v>
      </c>
      <c r="AN18" s="8">
        <v>27250</v>
      </c>
      <c r="AO18" s="8">
        <v>25250</v>
      </c>
      <c r="AP18" s="7">
        <v>4940</v>
      </c>
      <c r="AQ18" s="7">
        <v>190000</v>
      </c>
      <c r="AR18" s="7">
        <v>51300</v>
      </c>
      <c r="AS18" s="7">
        <v>10950</v>
      </c>
      <c r="AT18" s="7">
        <v>1326000</v>
      </c>
      <c r="AU18" s="8">
        <v>110000</v>
      </c>
      <c r="AV18" s="8">
        <v>290000</v>
      </c>
      <c r="AW18" s="8">
        <v>11600</v>
      </c>
      <c r="AX18" s="8">
        <v>53300</v>
      </c>
      <c r="AY18" s="8">
        <v>11400</v>
      </c>
      <c r="AZ18" s="7">
        <v>277000</v>
      </c>
      <c r="BA18" s="7">
        <v>31550</v>
      </c>
      <c r="BB18" s="7">
        <v>2550</v>
      </c>
      <c r="BC18" s="7">
        <v>53700</v>
      </c>
      <c r="BD18" s="7">
        <v>45300</v>
      </c>
      <c r="BE18" s="8">
        <v>73300</v>
      </c>
      <c r="BF18" s="8">
        <v>30300</v>
      </c>
      <c r="BG18" s="8">
        <v>28050</v>
      </c>
      <c r="BH18" s="8">
        <v>865000</v>
      </c>
      <c r="BI18" s="8">
        <v>16400</v>
      </c>
      <c r="BJ18" s="7">
        <v>25900</v>
      </c>
      <c r="BK18" s="7">
        <v>19500</v>
      </c>
      <c r="BL18" s="7">
        <v>152500</v>
      </c>
      <c r="BM18" s="7">
        <v>4305</v>
      </c>
      <c r="BN18" s="7">
        <v>9680</v>
      </c>
      <c r="BO18" s="8">
        <v>635000</v>
      </c>
      <c r="BP18" s="8">
        <v>53600</v>
      </c>
      <c r="BQ18" s="8">
        <v>7670</v>
      </c>
      <c r="BR18" s="7">
        <v>27250</v>
      </c>
      <c r="BS18" s="7">
        <v>5550</v>
      </c>
      <c r="BT18" s="7">
        <v>30700</v>
      </c>
      <c r="BU18" s="7">
        <v>9330</v>
      </c>
      <c r="BV18" s="8">
        <v>3835</v>
      </c>
    </row>
    <row r="19" spans="1:74" x14ac:dyDescent="0.4">
      <c r="A19" s="73">
        <v>41453</v>
      </c>
      <c r="B19" s="74">
        <v>345000</v>
      </c>
      <c r="C19" s="74">
        <v>136500</v>
      </c>
      <c r="D19" s="74">
        <v>40500</v>
      </c>
      <c r="E19" s="74">
        <v>55400</v>
      </c>
      <c r="F19" s="74">
        <v>253000</v>
      </c>
      <c r="G19" s="75">
        <v>84800</v>
      </c>
      <c r="H19" s="75">
        <v>16650</v>
      </c>
      <c r="I19" s="75">
        <v>14450</v>
      </c>
      <c r="J19" s="75">
        <v>20900</v>
      </c>
      <c r="K19" s="75">
        <v>10700</v>
      </c>
      <c r="L19" s="74">
        <v>33800</v>
      </c>
      <c r="M19" s="74">
        <v>43600</v>
      </c>
      <c r="N19" s="74">
        <v>11950</v>
      </c>
      <c r="O19" s="74">
        <v>19700</v>
      </c>
      <c r="P19" s="74">
        <v>25000</v>
      </c>
      <c r="Q19" s="75">
        <v>143000</v>
      </c>
      <c r="R19" s="75">
        <v>558000</v>
      </c>
      <c r="S19" s="75">
        <v>183500</v>
      </c>
      <c r="T19" s="75">
        <v>36250</v>
      </c>
      <c r="U19" s="75">
        <v>33750</v>
      </c>
      <c r="V19" s="74">
        <v>64200</v>
      </c>
      <c r="W19" s="74">
        <v>953000</v>
      </c>
      <c r="X19" s="74">
        <v>37700</v>
      </c>
      <c r="Y19" s="74">
        <v>113500</v>
      </c>
      <c r="Z19" s="74">
        <v>37700</v>
      </c>
      <c r="AA19" s="75">
        <v>27250</v>
      </c>
      <c r="AB19" s="75">
        <v>90000</v>
      </c>
      <c r="AC19" s="75">
        <v>15150</v>
      </c>
      <c r="AD19" s="75">
        <v>61000</v>
      </c>
      <c r="AE19" s="75">
        <v>298500</v>
      </c>
      <c r="AF19" s="74">
        <v>106000</v>
      </c>
      <c r="AG19" s="74">
        <v>73200</v>
      </c>
      <c r="AH19" s="74">
        <v>19900</v>
      </c>
      <c r="AI19" s="74">
        <v>128500</v>
      </c>
      <c r="AJ19" s="74">
        <v>23150</v>
      </c>
      <c r="AK19" s="75">
        <v>21950</v>
      </c>
      <c r="AL19" s="75">
        <v>62100</v>
      </c>
      <c r="AM19" s="75">
        <v>162000</v>
      </c>
      <c r="AN19" s="75">
        <v>26300</v>
      </c>
      <c r="AO19" s="75">
        <v>25250</v>
      </c>
      <c r="AP19" s="74">
        <v>4960</v>
      </c>
      <c r="AQ19" s="74">
        <v>193500</v>
      </c>
      <c r="AR19" s="74">
        <v>50000</v>
      </c>
      <c r="AS19" s="74">
        <v>10950</v>
      </c>
      <c r="AT19" s="74">
        <v>1342000</v>
      </c>
      <c r="AU19" s="75">
        <v>108000</v>
      </c>
      <c r="AV19" s="75">
        <v>290500</v>
      </c>
      <c r="AW19" s="75">
        <v>11700</v>
      </c>
      <c r="AX19" s="75">
        <v>53700</v>
      </c>
      <c r="AY19" s="75">
        <v>11300</v>
      </c>
      <c r="AZ19" s="74">
        <v>277000</v>
      </c>
      <c r="BA19" s="74">
        <v>31200</v>
      </c>
      <c r="BB19" s="74">
        <v>2420</v>
      </c>
      <c r="BC19" s="74">
        <v>53900</v>
      </c>
      <c r="BD19" s="74">
        <v>42950</v>
      </c>
      <c r="BE19" s="75">
        <v>73000</v>
      </c>
      <c r="BF19" s="75">
        <v>30750</v>
      </c>
      <c r="BG19" s="75">
        <v>28050</v>
      </c>
      <c r="BH19" s="75">
        <v>884000</v>
      </c>
      <c r="BI19" s="75">
        <v>16300</v>
      </c>
      <c r="BJ19" s="74">
        <v>25700</v>
      </c>
      <c r="BK19" s="74">
        <v>19300</v>
      </c>
      <c r="BL19" s="74">
        <v>151000</v>
      </c>
      <c r="BM19" s="74">
        <v>4450</v>
      </c>
      <c r="BN19" s="74">
        <v>9500</v>
      </c>
      <c r="BO19" s="75">
        <v>587000</v>
      </c>
      <c r="BP19" s="75">
        <v>54000</v>
      </c>
      <c r="BQ19" s="75">
        <v>7380</v>
      </c>
      <c r="BR19" s="74">
        <v>27150</v>
      </c>
      <c r="BS19" s="74">
        <v>5550</v>
      </c>
      <c r="BT19" s="74">
        <v>30750</v>
      </c>
      <c r="BU19" s="74">
        <v>9210</v>
      </c>
      <c r="BV19" s="75">
        <v>3775</v>
      </c>
    </row>
    <row r="20" spans="1:74" x14ac:dyDescent="0.4">
      <c r="A20" s="11">
        <v>41452</v>
      </c>
      <c r="B20" s="7">
        <v>332900</v>
      </c>
      <c r="C20" s="7">
        <v>136000</v>
      </c>
      <c r="D20" s="7">
        <v>40050</v>
      </c>
      <c r="E20" s="7">
        <v>53800</v>
      </c>
      <c r="F20" s="7">
        <v>242500</v>
      </c>
      <c r="G20" s="8">
        <v>84500</v>
      </c>
      <c r="H20" s="8">
        <v>16550</v>
      </c>
      <c r="I20" s="8">
        <v>13750</v>
      </c>
      <c r="J20" s="8">
        <v>20700</v>
      </c>
      <c r="K20" s="8">
        <v>10600</v>
      </c>
      <c r="L20" s="7">
        <v>31450</v>
      </c>
      <c r="M20" s="7">
        <v>43600</v>
      </c>
      <c r="N20" s="7">
        <v>11600</v>
      </c>
      <c r="O20" s="7">
        <v>19850</v>
      </c>
      <c r="P20" s="7">
        <v>24150</v>
      </c>
      <c r="Q20" s="8">
        <v>136500</v>
      </c>
      <c r="R20" s="8">
        <v>560000</v>
      </c>
      <c r="S20" s="8">
        <v>179500</v>
      </c>
      <c r="T20" s="8">
        <v>33750</v>
      </c>
      <c r="U20" s="8">
        <v>33450</v>
      </c>
      <c r="V20" s="7">
        <v>63800</v>
      </c>
      <c r="W20" s="7">
        <v>979000</v>
      </c>
      <c r="X20" s="7">
        <v>37850</v>
      </c>
      <c r="Y20" s="7">
        <v>112000</v>
      </c>
      <c r="Z20" s="7">
        <v>36650</v>
      </c>
      <c r="AA20" s="8">
        <v>26800</v>
      </c>
      <c r="AB20" s="8">
        <v>88100</v>
      </c>
      <c r="AC20" s="8">
        <v>15050</v>
      </c>
      <c r="AD20" s="8">
        <v>60600</v>
      </c>
      <c r="AE20" s="8">
        <v>294000</v>
      </c>
      <c r="AF20" s="7">
        <v>105000</v>
      </c>
      <c r="AG20" s="7">
        <v>71900</v>
      </c>
      <c r="AH20" s="7">
        <v>20000</v>
      </c>
      <c r="AI20" s="7">
        <v>126500</v>
      </c>
      <c r="AJ20" s="7">
        <v>23150</v>
      </c>
      <c r="AK20" s="8">
        <v>21350</v>
      </c>
      <c r="AL20" s="8">
        <v>61100</v>
      </c>
      <c r="AM20" s="8">
        <v>160000</v>
      </c>
      <c r="AN20" s="8">
        <v>26650</v>
      </c>
      <c r="AO20" s="8">
        <v>24350</v>
      </c>
      <c r="AP20" s="7">
        <v>4905</v>
      </c>
      <c r="AQ20" s="7">
        <v>191000</v>
      </c>
      <c r="AR20" s="7">
        <v>49950</v>
      </c>
      <c r="AS20" s="7">
        <v>10300</v>
      </c>
      <c r="AT20" s="7">
        <v>1339000</v>
      </c>
      <c r="AU20" s="8">
        <v>103500</v>
      </c>
      <c r="AV20" s="8">
        <v>277000</v>
      </c>
      <c r="AW20" s="8">
        <v>11550</v>
      </c>
      <c r="AX20" s="8">
        <v>53300</v>
      </c>
      <c r="AY20" s="8">
        <v>10900</v>
      </c>
      <c r="AZ20" s="7">
        <v>266000</v>
      </c>
      <c r="BA20" s="7">
        <v>30650</v>
      </c>
      <c r="BB20" s="7">
        <v>2445</v>
      </c>
      <c r="BC20" s="7">
        <v>53000</v>
      </c>
      <c r="BD20" s="7">
        <v>42050</v>
      </c>
      <c r="BE20" s="8">
        <v>72900</v>
      </c>
      <c r="BF20" s="8">
        <v>29850</v>
      </c>
      <c r="BG20" s="8">
        <v>27500</v>
      </c>
      <c r="BH20" s="8">
        <v>875000</v>
      </c>
      <c r="BI20" s="8">
        <v>16100</v>
      </c>
      <c r="BJ20" s="7">
        <v>26000</v>
      </c>
      <c r="BK20" s="7">
        <v>19450</v>
      </c>
      <c r="BL20" s="7">
        <v>147500</v>
      </c>
      <c r="BM20" s="7">
        <v>4200</v>
      </c>
      <c r="BN20" s="7">
        <v>9400</v>
      </c>
      <c r="BO20" s="8">
        <v>607000</v>
      </c>
      <c r="BP20" s="8">
        <v>53700</v>
      </c>
      <c r="BQ20" s="8">
        <v>7380</v>
      </c>
      <c r="BR20" s="7">
        <v>27100</v>
      </c>
      <c r="BS20" s="7">
        <v>5520</v>
      </c>
      <c r="BT20" s="7">
        <v>30700</v>
      </c>
      <c r="BU20" s="7">
        <v>9140</v>
      </c>
      <c r="BV20" s="8">
        <v>3815</v>
      </c>
    </row>
    <row r="21" spans="1:74" x14ac:dyDescent="0.4">
      <c r="A21" s="11">
        <v>41451</v>
      </c>
      <c r="B21" s="7">
        <v>320200</v>
      </c>
      <c r="C21" s="7">
        <v>134000</v>
      </c>
      <c r="D21" s="7">
        <v>35350</v>
      </c>
      <c r="E21" s="7">
        <v>53000</v>
      </c>
      <c r="F21" s="7">
        <v>234500</v>
      </c>
      <c r="G21" s="8">
        <v>78000</v>
      </c>
      <c r="H21" s="8">
        <v>15750</v>
      </c>
      <c r="I21" s="8">
        <v>13550</v>
      </c>
      <c r="J21" s="8">
        <v>19450</v>
      </c>
      <c r="K21" s="8">
        <v>10400</v>
      </c>
      <c r="L21" s="7">
        <v>30000</v>
      </c>
      <c r="M21" s="7">
        <v>43350</v>
      </c>
      <c r="N21" s="7">
        <v>11300</v>
      </c>
      <c r="O21" s="7">
        <v>19150</v>
      </c>
      <c r="P21" s="7">
        <v>23350</v>
      </c>
      <c r="Q21" s="8">
        <v>130500</v>
      </c>
      <c r="R21" s="8">
        <v>530000</v>
      </c>
      <c r="S21" s="8">
        <v>176000</v>
      </c>
      <c r="T21" s="8">
        <v>34100</v>
      </c>
      <c r="U21" s="8">
        <v>30900</v>
      </c>
      <c r="V21" s="7">
        <v>63600</v>
      </c>
      <c r="W21" s="7">
        <v>975000</v>
      </c>
      <c r="X21" s="7">
        <v>37800</v>
      </c>
      <c r="Y21" s="7">
        <v>108500</v>
      </c>
      <c r="Z21" s="7">
        <v>36000</v>
      </c>
      <c r="AA21" s="8">
        <v>24200</v>
      </c>
      <c r="AB21" s="8">
        <v>84300</v>
      </c>
      <c r="AC21" s="8">
        <v>14800</v>
      </c>
      <c r="AD21" s="8">
        <v>60000</v>
      </c>
      <c r="AE21" s="8">
        <v>292500</v>
      </c>
      <c r="AF21" s="7">
        <v>102500</v>
      </c>
      <c r="AG21" s="7">
        <v>71700</v>
      </c>
      <c r="AH21" s="7">
        <v>18800</v>
      </c>
      <c r="AI21" s="7">
        <v>125000</v>
      </c>
      <c r="AJ21" s="7">
        <v>22250</v>
      </c>
      <c r="AK21" s="8">
        <v>21200</v>
      </c>
      <c r="AL21" s="8">
        <v>58800</v>
      </c>
      <c r="AM21" s="8">
        <v>155000</v>
      </c>
      <c r="AN21" s="8">
        <v>26050</v>
      </c>
      <c r="AO21" s="8">
        <v>23700</v>
      </c>
      <c r="AP21" s="7">
        <v>4710</v>
      </c>
      <c r="AQ21" s="7">
        <v>188500</v>
      </c>
      <c r="AR21" s="7">
        <v>50000</v>
      </c>
      <c r="AS21" s="7">
        <v>10200</v>
      </c>
      <c r="AT21" s="7">
        <v>1261000</v>
      </c>
      <c r="AU21" s="8">
        <v>101500</v>
      </c>
      <c r="AV21" s="8">
        <v>276000</v>
      </c>
      <c r="AW21" s="8">
        <v>11350</v>
      </c>
      <c r="AX21" s="8">
        <v>53300</v>
      </c>
      <c r="AY21" s="8">
        <v>10500</v>
      </c>
      <c r="AZ21" s="7">
        <v>265000</v>
      </c>
      <c r="BA21" s="7">
        <v>30250</v>
      </c>
      <c r="BB21" s="7">
        <v>2285</v>
      </c>
      <c r="BC21" s="7">
        <v>51600</v>
      </c>
      <c r="BD21" s="7">
        <v>40000</v>
      </c>
      <c r="BE21" s="8">
        <v>71300</v>
      </c>
      <c r="BF21" s="8">
        <v>29900</v>
      </c>
      <c r="BG21" s="8">
        <v>26900</v>
      </c>
      <c r="BH21" s="8">
        <v>813000</v>
      </c>
      <c r="BI21" s="8">
        <v>16000</v>
      </c>
      <c r="BJ21" s="7">
        <v>24050</v>
      </c>
      <c r="BK21" s="7">
        <v>18800</v>
      </c>
      <c r="BL21" s="7">
        <v>148500</v>
      </c>
      <c r="BM21" s="7">
        <v>4040</v>
      </c>
      <c r="BN21" s="7">
        <v>8550</v>
      </c>
      <c r="BO21" s="8">
        <v>590000</v>
      </c>
      <c r="BP21" s="8">
        <v>53200</v>
      </c>
      <c r="BQ21" s="8">
        <v>7100</v>
      </c>
      <c r="BR21" s="7">
        <v>26100</v>
      </c>
      <c r="BS21" s="7">
        <v>5280</v>
      </c>
      <c r="BT21" s="7">
        <v>29850</v>
      </c>
      <c r="BU21" s="7">
        <v>8700</v>
      </c>
      <c r="BV21" s="8">
        <v>3565</v>
      </c>
    </row>
    <row r="22" spans="1:74" x14ac:dyDescent="0.4">
      <c r="A22" s="11">
        <v>41450</v>
      </c>
      <c r="B22" s="7">
        <v>317300</v>
      </c>
      <c r="C22" s="7">
        <v>134000</v>
      </c>
      <c r="D22" s="7">
        <v>35650</v>
      </c>
      <c r="E22" s="7">
        <v>51200</v>
      </c>
      <c r="F22" s="7">
        <v>233500</v>
      </c>
      <c r="G22" s="8">
        <v>76000</v>
      </c>
      <c r="H22" s="8">
        <v>15700</v>
      </c>
      <c r="I22" s="8">
        <v>13300</v>
      </c>
      <c r="J22" s="8">
        <v>18850</v>
      </c>
      <c r="K22" s="8">
        <v>10300</v>
      </c>
      <c r="L22" s="7">
        <v>29350</v>
      </c>
      <c r="M22" s="7">
        <v>43400</v>
      </c>
      <c r="N22" s="7">
        <v>11500</v>
      </c>
      <c r="O22" s="7">
        <v>18750</v>
      </c>
      <c r="P22" s="7">
        <v>23050</v>
      </c>
      <c r="Q22" s="8">
        <v>130000</v>
      </c>
      <c r="R22" s="8">
        <v>524000</v>
      </c>
      <c r="S22" s="8">
        <v>178500</v>
      </c>
      <c r="T22" s="8">
        <v>33800</v>
      </c>
      <c r="U22" s="8">
        <v>30900</v>
      </c>
      <c r="V22" s="7">
        <v>62000</v>
      </c>
      <c r="W22" s="7">
        <v>964000</v>
      </c>
      <c r="X22" s="7">
        <v>36000</v>
      </c>
      <c r="Y22" s="7">
        <v>103000</v>
      </c>
      <c r="Z22" s="7">
        <v>34950</v>
      </c>
      <c r="AA22" s="8">
        <v>22950</v>
      </c>
      <c r="AB22" s="8">
        <v>83900</v>
      </c>
      <c r="AC22" s="8">
        <v>14200</v>
      </c>
      <c r="AD22" s="8">
        <v>56000</v>
      </c>
      <c r="AE22" s="8">
        <v>293000</v>
      </c>
      <c r="AF22" s="7">
        <v>103500</v>
      </c>
      <c r="AG22" s="7">
        <v>71600</v>
      </c>
      <c r="AH22" s="7">
        <v>18300</v>
      </c>
      <c r="AI22" s="7">
        <v>124000</v>
      </c>
      <c r="AJ22" s="7">
        <v>21800</v>
      </c>
      <c r="AK22" s="8">
        <v>21750</v>
      </c>
      <c r="AL22" s="8">
        <v>58200</v>
      </c>
      <c r="AM22" s="8">
        <v>152000</v>
      </c>
      <c r="AN22" s="8">
        <v>25700</v>
      </c>
      <c r="AO22" s="8">
        <v>23650</v>
      </c>
      <c r="AP22" s="7">
        <v>4590</v>
      </c>
      <c r="AQ22" s="7">
        <v>189500</v>
      </c>
      <c r="AR22" s="7">
        <v>48000</v>
      </c>
      <c r="AS22" s="7">
        <v>10250</v>
      </c>
      <c r="AT22" s="7">
        <v>1297000</v>
      </c>
      <c r="AU22" s="8">
        <v>100000</v>
      </c>
      <c r="AV22" s="8">
        <v>269500</v>
      </c>
      <c r="AW22" s="8">
        <v>11200</v>
      </c>
      <c r="AX22" s="8">
        <v>54100</v>
      </c>
      <c r="AY22" s="8">
        <v>10550</v>
      </c>
      <c r="AZ22" s="7">
        <v>264000</v>
      </c>
      <c r="BA22" s="7">
        <v>29500</v>
      </c>
      <c r="BB22" s="7">
        <v>2250</v>
      </c>
      <c r="BC22" s="7">
        <v>52500</v>
      </c>
      <c r="BD22" s="7">
        <v>39100</v>
      </c>
      <c r="BE22" s="8">
        <v>69700</v>
      </c>
      <c r="BF22" s="8">
        <v>29650</v>
      </c>
      <c r="BG22" s="8">
        <v>26900</v>
      </c>
      <c r="BH22" s="8">
        <v>802000</v>
      </c>
      <c r="BI22" s="8">
        <v>15900</v>
      </c>
      <c r="BJ22" s="7">
        <v>23050</v>
      </c>
      <c r="BK22" s="7">
        <v>18550</v>
      </c>
      <c r="BL22" s="7">
        <v>153500</v>
      </c>
      <c r="BM22" s="7">
        <v>3900</v>
      </c>
      <c r="BN22" s="7">
        <v>7820</v>
      </c>
      <c r="BO22" s="8">
        <v>586000</v>
      </c>
      <c r="BP22" s="8">
        <v>52800</v>
      </c>
      <c r="BQ22" s="8">
        <v>6730</v>
      </c>
      <c r="BR22" s="7">
        <v>24900</v>
      </c>
      <c r="BS22" s="7">
        <v>5150</v>
      </c>
      <c r="BT22" s="7">
        <v>28500</v>
      </c>
      <c r="BU22" s="7">
        <v>8480</v>
      </c>
      <c r="BV22" s="8">
        <v>3375</v>
      </c>
    </row>
    <row r="23" spans="1:74" x14ac:dyDescent="0.4">
      <c r="A23" s="11">
        <v>41449</v>
      </c>
      <c r="B23" s="7">
        <v>330100</v>
      </c>
      <c r="C23" s="7">
        <v>138000</v>
      </c>
      <c r="D23" s="7">
        <v>37000</v>
      </c>
      <c r="E23" s="7">
        <v>51900</v>
      </c>
      <c r="F23" s="7">
        <v>234000</v>
      </c>
      <c r="G23" s="8">
        <v>77000</v>
      </c>
      <c r="H23" s="8">
        <v>16150</v>
      </c>
      <c r="I23" s="8">
        <v>13750</v>
      </c>
      <c r="J23" s="8">
        <v>18950</v>
      </c>
      <c r="K23" s="8">
        <v>10400</v>
      </c>
      <c r="L23" s="7">
        <v>32000</v>
      </c>
      <c r="M23" s="7">
        <v>44900</v>
      </c>
      <c r="N23" s="7">
        <v>11250</v>
      </c>
      <c r="O23" s="7">
        <v>19150</v>
      </c>
      <c r="P23" s="7">
        <v>23350</v>
      </c>
      <c r="Q23" s="8">
        <v>128000</v>
      </c>
      <c r="R23" s="8">
        <v>530000</v>
      </c>
      <c r="S23" s="8">
        <v>180000</v>
      </c>
      <c r="T23" s="8">
        <v>34500</v>
      </c>
      <c r="U23" s="8">
        <v>32350</v>
      </c>
      <c r="V23" s="7">
        <v>61600</v>
      </c>
      <c r="W23" s="7">
        <v>1018000</v>
      </c>
      <c r="X23" s="7">
        <v>38500</v>
      </c>
      <c r="Y23" s="7">
        <v>107000</v>
      </c>
      <c r="Z23" s="7">
        <v>35450</v>
      </c>
      <c r="AA23" s="8">
        <v>25500</v>
      </c>
      <c r="AB23" s="8">
        <v>85200</v>
      </c>
      <c r="AC23" s="8">
        <v>14800</v>
      </c>
      <c r="AD23" s="8">
        <v>60000</v>
      </c>
      <c r="AE23" s="8">
        <v>292500</v>
      </c>
      <c r="AF23" s="7">
        <v>102000</v>
      </c>
      <c r="AG23" s="7">
        <v>70400</v>
      </c>
      <c r="AH23" s="7">
        <v>18500</v>
      </c>
      <c r="AI23" s="7">
        <v>127000</v>
      </c>
      <c r="AJ23" s="7">
        <v>23500</v>
      </c>
      <c r="AK23" s="8">
        <v>22400</v>
      </c>
      <c r="AL23" s="8">
        <v>56500</v>
      </c>
      <c r="AM23" s="8">
        <v>156500</v>
      </c>
      <c r="AN23" s="8">
        <v>26700</v>
      </c>
      <c r="AO23" s="8">
        <v>24000</v>
      </c>
      <c r="AP23" s="7">
        <v>4690</v>
      </c>
      <c r="AQ23" s="7">
        <v>189000</v>
      </c>
      <c r="AR23" s="7">
        <v>50000</v>
      </c>
      <c r="AS23" s="7">
        <v>10150</v>
      </c>
      <c r="AT23" s="7">
        <v>1313000</v>
      </c>
      <c r="AU23" s="8">
        <v>102000</v>
      </c>
      <c r="AV23" s="8">
        <v>271000</v>
      </c>
      <c r="AW23" s="8">
        <v>11400</v>
      </c>
      <c r="AX23" s="8">
        <v>55000</v>
      </c>
      <c r="AY23" s="8">
        <v>11700</v>
      </c>
      <c r="AZ23" s="7">
        <v>269000</v>
      </c>
      <c r="BA23" s="7">
        <v>29750</v>
      </c>
      <c r="BB23" s="7">
        <v>2400</v>
      </c>
      <c r="BC23" s="7">
        <v>53400</v>
      </c>
      <c r="BD23" s="7">
        <v>46000</v>
      </c>
      <c r="BE23" s="8">
        <v>70400</v>
      </c>
      <c r="BF23" s="8">
        <v>29350</v>
      </c>
      <c r="BG23" s="8">
        <v>28250</v>
      </c>
      <c r="BH23" s="8">
        <v>822000</v>
      </c>
      <c r="BI23" s="8">
        <v>16700</v>
      </c>
      <c r="BJ23" s="7">
        <v>24550</v>
      </c>
      <c r="BK23" s="7">
        <v>19400</v>
      </c>
      <c r="BL23" s="7">
        <v>158000</v>
      </c>
      <c r="BM23" s="7">
        <v>4260</v>
      </c>
      <c r="BN23" s="7">
        <v>9010</v>
      </c>
      <c r="BO23" s="8">
        <v>622000</v>
      </c>
      <c r="BP23" s="8">
        <v>52900</v>
      </c>
      <c r="BQ23" s="8">
        <v>7330</v>
      </c>
      <c r="BR23" s="7">
        <v>25700</v>
      </c>
      <c r="BS23" s="7">
        <v>5410</v>
      </c>
      <c r="BT23" s="7">
        <v>30850</v>
      </c>
      <c r="BU23" s="7">
        <v>9020</v>
      </c>
      <c r="BV23" s="8">
        <v>3660</v>
      </c>
    </row>
    <row r="24" spans="1:74" x14ac:dyDescent="0.4">
      <c r="A24" s="73">
        <v>41446</v>
      </c>
      <c r="B24" s="74">
        <v>335000</v>
      </c>
      <c r="C24" s="74">
        <v>140000</v>
      </c>
      <c r="D24" s="74">
        <v>37700</v>
      </c>
      <c r="E24" s="74">
        <v>50400</v>
      </c>
      <c r="F24" s="74">
        <v>237000</v>
      </c>
      <c r="G24" s="75">
        <v>78000</v>
      </c>
      <c r="H24" s="75">
        <v>16750</v>
      </c>
      <c r="I24" s="75">
        <v>14100</v>
      </c>
      <c r="J24" s="75">
        <v>19900</v>
      </c>
      <c r="K24" s="75">
        <v>10600</v>
      </c>
      <c r="L24" s="74">
        <v>33150</v>
      </c>
      <c r="M24" s="74">
        <v>45000</v>
      </c>
      <c r="N24" s="74">
        <v>12750</v>
      </c>
      <c r="O24" s="74">
        <v>19650</v>
      </c>
      <c r="P24" s="74">
        <v>24300</v>
      </c>
      <c r="Q24" s="75">
        <v>129500</v>
      </c>
      <c r="R24" s="75">
        <v>530000</v>
      </c>
      <c r="S24" s="75">
        <v>182000</v>
      </c>
      <c r="T24" s="75">
        <v>33100</v>
      </c>
      <c r="U24" s="75">
        <v>34900</v>
      </c>
      <c r="V24" s="74">
        <v>61100</v>
      </c>
      <c r="W24" s="74">
        <v>1007000</v>
      </c>
      <c r="X24" s="74">
        <v>39600</v>
      </c>
      <c r="Y24" s="74">
        <v>108500</v>
      </c>
      <c r="Z24" s="74">
        <v>35000</v>
      </c>
      <c r="AA24" s="75">
        <v>26950</v>
      </c>
      <c r="AB24" s="75">
        <v>87500</v>
      </c>
      <c r="AC24" s="75">
        <v>14900</v>
      </c>
      <c r="AD24" s="75">
        <v>61100</v>
      </c>
      <c r="AE24" s="75">
        <v>294000</v>
      </c>
      <c r="AF24" s="74">
        <v>105000</v>
      </c>
      <c r="AG24" s="74">
        <v>70500</v>
      </c>
      <c r="AH24" s="74">
        <v>19500</v>
      </c>
      <c r="AI24" s="74">
        <v>127500</v>
      </c>
      <c r="AJ24" s="74">
        <v>23450</v>
      </c>
      <c r="AK24" s="75">
        <v>22400</v>
      </c>
      <c r="AL24" s="75">
        <v>56900</v>
      </c>
      <c r="AM24" s="75">
        <v>157500</v>
      </c>
      <c r="AN24" s="75">
        <v>26300</v>
      </c>
      <c r="AO24" s="75">
        <v>24550</v>
      </c>
      <c r="AP24" s="74">
        <v>4790</v>
      </c>
      <c r="AQ24" s="74">
        <v>189500</v>
      </c>
      <c r="AR24" s="74">
        <v>51000</v>
      </c>
      <c r="AS24" s="74">
        <v>10150</v>
      </c>
      <c r="AT24" s="74">
        <v>1325000</v>
      </c>
      <c r="AU24" s="75">
        <v>101000</v>
      </c>
      <c r="AV24" s="75">
        <v>275000</v>
      </c>
      <c r="AW24" s="75">
        <v>11350</v>
      </c>
      <c r="AX24" s="75">
        <v>55000</v>
      </c>
      <c r="AY24" s="75">
        <v>11750</v>
      </c>
      <c r="AZ24" s="74">
        <v>272000</v>
      </c>
      <c r="BA24" s="74">
        <v>30800</v>
      </c>
      <c r="BB24" s="74">
        <v>2490</v>
      </c>
      <c r="BC24" s="74">
        <v>53700</v>
      </c>
      <c r="BD24" s="74">
        <v>49600</v>
      </c>
      <c r="BE24" s="75">
        <v>71500</v>
      </c>
      <c r="BF24" s="75">
        <v>30200</v>
      </c>
      <c r="BG24" s="75">
        <v>28500</v>
      </c>
      <c r="BH24" s="75">
        <v>816000</v>
      </c>
      <c r="BI24" s="75">
        <v>17550</v>
      </c>
      <c r="BJ24" s="74">
        <v>26600</v>
      </c>
      <c r="BK24" s="74">
        <v>20250</v>
      </c>
      <c r="BL24" s="74">
        <v>160500</v>
      </c>
      <c r="BM24" s="74">
        <v>4590</v>
      </c>
      <c r="BN24" s="74">
        <v>9480</v>
      </c>
      <c r="BO24" s="75">
        <v>657000</v>
      </c>
      <c r="BP24" s="75">
        <v>53500</v>
      </c>
      <c r="BQ24" s="75">
        <v>7780</v>
      </c>
      <c r="BR24" s="74">
        <v>26300</v>
      </c>
      <c r="BS24" s="74">
        <v>5460</v>
      </c>
      <c r="BT24" s="74">
        <v>31400</v>
      </c>
      <c r="BU24" s="74">
        <v>9120</v>
      </c>
      <c r="BV24" s="75">
        <v>3785</v>
      </c>
    </row>
    <row r="25" spans="1:74" x14ac:dyDescent="0.4">
      <c r="A25" s="11">
        <v>41445</v>
      </c>
      <c r="B25" s="7">
        <v>339200</v>
      </c>
      <c r="C25" s="7">
        <v>141500</v>
      </c>
      <c r="D25" s="7">
        <v>39000</v>
      </c>
      <c r="E25" s="7">
        <v>51500</v>
      </c>
      <c r="F25" s="7">
        <v>245500</v>
      </c>
      <c r="G25" s="8">
        <v>79300</v>
      </c>
      <c r="H25" s="8">
        <v>16950</v>
      </c>
      <c r="I25" s="8">
        <v>14350</v>
      </c>
      <c r="J25" s="8">
        <v>20150</v>
      </c>
      <c r="K25" s="8">
        <v>11150</v>
      </c>
      <c r="L25" s="7">
        <v>33850</v>
      </c>
      <c r="M25" s="7">
        <v>45050</v>
      </c>
      <c r="N25" s="7">
        <v>12650</v>
      </c>
      <c r="O25" s="7">
        <v>19950</v>
      </c>
      <c r="P25" s="7">
        <v>25500</v>
      </c>
      <c r="Q25" s="8">
        <v>131000</v>
      </c>
      <c r="R25" s="8">
        <v>558000</v>
      </c>
      <c r="S25" s="8">
        <v>188500</v>
      </c>
      <c r="T25" s="8">
        <v>34000</v>
      </c>
      <c r="U25" s="8">
        <v>36050</v>
      </c>
      <c r="V25" s="7">
        <v>62800</v>
      </c>
      <c r="W25" s="7">
        <v>1050000</v>
      </c>
      <c r="X25" s="7">
        <v>40500</v>
      </c>
      <c r="Y25" s="7">
        <v>114000</v>
      </c>
      <c r="Z25" s="7">
        <v>33800</v>
      </c>
      <c r="AA25" s="8">
        <v>26450</v>
      </c>
      <c r="AB25" s="8">
        <v>87200</v>
      </c>
      <c r="AC25" s="8">
        <v>15150</v>
      </c>
      <c r="AD25" s="8">
        <v>61500</v>
      </c>
      <c r="AE25" s="8">
        <v>309500</v>
      </c>
      <c r="AF25" s="7">
        <v>106500</v>
      </c>
      <c r="AG25" s="7">
        <v>70000</v>
      </c>
      <c r="AH25" s="7">
        <v>19400</v>
      </c>
      <c r="AI25" s="7">
        <v>130500</v>
      </c>
      <c r="AJ25" s="7">
        <v>23900</v>
      </c>
      <c r="AK25" s="8">
        <v>22500</v>
      </c>
      <c r="AL25" s="8">
        <v>58700</v>
      </c>
      <c r="AM25" s="8">
        <v>162000</v>
      </c>
      <c r="AN25" s="8">
        <v>25700</v>
      </c>
      <c r="AO25" s="8">
        <v>25000</v>
      </c>
      <c r="AP25" s="7">
        <v>4780</v>
      </c>
      <c r="AQ25" s="7">
        <v>186000</v>
      </c>
      <c r="AR25" s="7">
        <v>53900</v>
      </c>
      <c r="AS25" s="7">
        <v>10650</v>
      </c>
      <c r="AT25" s="7">
        <v>1329000</v>
      </c>
      <c r="AU25" s="8">
        <v>100000</v>
      </c>
      <c r="AV25" s="8">
        <v>270500</v>
      </c>
      <c r="AW25" s="8">
        <v>11400</v>
      </c>
      <c r="AX25" s="8">
        <v>56800</v>
      </c>
      <c r="AY25" s="8">
        <v>11800</v>
      </c>
      <c r="AZ25" s="7">
        <v>281000</v>
      </c>
      <c r="BA25" s="7">
        <v>31050</v>
      </c>
      <c r="BB25" s="7">
        <v>2600</v>
      </c>
      <c r="BC25" s="7">
        <v>54200</v>
      </c>
      <c r="BD25" s="7">
        <v>49100</v>
      </c>
      <c r="BE25" s="8">
        <v>73500</v>
      </c>
      <c r="BF25" s="8">
        <v>30500</v>
      </c>
      <c r="BG25" s="8">
        <v>28950</v>
      </c>
      <c r="BH25" s="8">
        <v>820000</v>
      </c>
      <c r="BI25" s="8">
        <v>17400</v>
      </c>
      <c r="BJ25" s="7">
        <v>27100</v>
      </c>
      <c r="BK25" s="7">
        <v>20650</v>
      </c>
      <c r="BL25" s="7">
        <v>163000</v>
      </c>
      <c r="BM25" s="7">
        <v>4350</v>
      </c>
      <c r="BN25" s="7">
        <v>9850</v>
      </c>
      <c r="BO25" s="8">
        <v>660000</v>
      </c>
      <c r="BP25" s="8">
        <v>55200</v>
      </c>
      <c r="BQ25" s="8">
        <v>7990</v>
      </c>
      <c r="BR25" s="7">
        <v>26550</v>
      </c>
      <c r="BS25" s="7">
        <v>5500</v>
      </c>
      <c r="BT25" s="7">
        <v>31600</v>
      </c>
      <c r="BU25" s="7">
        <v>9520</v>
      </c>
      <c r="BV25" s="8">
        <v>3930</v>
      </c>
    </row>
    <row r="26" spans="1:74" x14ac:dyDescent="0.4">
      <c r="A26" s="11">
        <v>41444</v>
      </c>
      <c r="B26" s="7">
        <v>340000</v>
      </c>
      <c r="C26" s="7">
        <v>141500</v>
      </c>
      <c r="D26" s="7">
        <v>40750</v>
      </c>
      <c r="E26" s="7">
        <v>53400</v>
      </c>
      <c r="F26" s="7">
        <v>254000</v>
      </c>
      <c r="G26" s="8">
        <v>80300</v>
      </c>
      <c r="H26" s="8">
        <v>16850</v>
      </c>
      <c r="I26" s="8">
        <v>14700</v>
      </c>
      <c r="J26" s="8">
        <v>20150</v>
      </c>
      <c r="K26" s="8">
        <v>12100</v>
      </c>
      <c r="L26" s="7">
        <v>33700</v>
      </c>
      <c r="M26" s="7">
        <v>45550</v>
      </c>
      <c r="N26" s="7">
        <v>12850</v>
      </c>
      <c r="O26" s="7">
        <v>19450</v>
      </c>
      <c r="P26" s="7">
        <v>26250</v>
      </c>
      <c r="Q26" s="8">
        <v>139000</v>
      </c>
      <c r="R26" s="8">
        <v>572000</v>
      </c>
      <c r="S26" s="8">
        <v>193500</v>
      </c>
      <c r="T26" s="8">
        <v>34100</v>
      </c>
      <c r="U26" s="8">
        <v>36050</v>
      </c>
      <c r="V26" s="7">
        <v>68300</v>
      </c>
      <c r="W26" s="7">
        <v>1051000</v>
      </c>
      <c r="X26" s="7">
        <v>40900</v>
      </c>
      <c r="Y26" s="7">
        <v>114000</v>
      </c>
      <c r="Z26" s="7">
        <v>34350</v>
      </c>
      <c r="AA26" s="8">
        <v>26700</v>
      </c>
      <c r="AB26" s="8">
        <v>87400</v>
      </c>
      <c r="AC26" s="8">
        <v>15600</v>
      </c>
      <c r="AD26" s="8">
        <v>63200</v>
      </c>
      <c r="AE26" s="8">
        <v>313500</v>
      </c>
      <c r="AF26" s="7">
        <v>106500</v>
      </c>
      <c r="AG26" s="7">
        <v>72900</v>
      </c>
      <c r="AH26" s="7">
        <v>20000</v>
      </c>
      <c r="AI26" s="7">
        <v>134000</v>
      </c>
      <c r="AJ26" s="7">
        <v>23800</v>
      </c>
      <c r="AK26" s="8">
        <v>22200</v>
      </c>
      <c r="AL26" s="8">
        <v>58700</v>
      </c>
      <c r="AM26" s="8">
        <v>162000</v>
      </c>
      <c r="AN26" s="8">
        <v>26150</v>
      </c>
      <c r="AO26" s="8">
        <v>25000</v>
      </c>
      <c r="AP26" s="7">
        <v>4915</v>
      </c>
      <c r="AQ26" s="7">
        <v>184500</v>
      </c>
      <c r="AR26" s="7">
        <v>52700</v>
      </c>
      <c r="AS26" s="7">
        <v>11150</v>
      </c>
      <c r="AT26" s="7">
        <v>1369000</v>
      </c>
      <c r="AU26" s="8">
        <v>104500</v>
      </c>
      <c r="AV26" s="8">
        <v>279500</v>
      </c>
      <c r="AW26" s="8">
        <v>11750</v>
      </c>
      <c r="AX26" s="8">
        <v>58000</v>
      </c>
      <c r="AY26" s="8">
        <v>12350</v>
      </c>
      <c r="AZ26" s="7">
        <v>285500</v>
      </c>
      <c r="BA26" s="7">
        <v>31900</v>
      </c>
      <c r="BB26" s="7">
        <v>2600</v>
      </c>
      <c r="BC26" s="7">
        <v>56200</v>
      </c>
      <c r="BD26" s="7">
        <v>48700</v>
      </c>
      <c r="BE26" s="8">
        <v>74400</v>
      </c>
      <c r="BF26" s="8">
        <v>31400</v>
      </c>
      <c r="BG26" s="8">
        <v>29450</v>
      </c>
      <c r="BH26" s="8">
        <v>857000</v>
      </c>
      <c r="BI26" s="8">
        <v>17200</v>
      </c>
      <c r="BJ26" s="7">
        <v>28100</v>
      </c>
      <c r="BK26" s="7">
        <v>21100</v>
      </c>
      <c r="BL26" s="7">
        <v>167500</v>
      </c>
      <c r="BM26" s="7">
        <v>4600</v>
      </c>
      <c r="BN26" s="7">
        <v>10000</v>
      </c>
      <c r="BO26" s="8">
        <v>652000</v>
      </c>
      <c r="BP26" s="8">
        <v>56100</v>
      </c>
      <c r="BQ26" s="8">
        <v>8150</v>
      </c>
      <c r="BR26" s="7">
        <v>27300</v>
      </c>
      <c r="BS26" s="7">
        <v>5700</v>
      </c>
      <c r="BT26" s="7">
        <v>31600</v>
      </c>
      <c r="BU26" s="7">
        <v>9750</v>
      </c>
      <c r="BV26" s="8">
        <v>4155</v>
      </c>
    </row>
    <row r="27" spans="1:74" x14ac:dyDescent="0.4">
      <c r="A27" s="11">
        <v>41443</v>
      </c>
      <c r="B27" s="7">
        <v>334500</v>
      </c>
      <c r="C27" s="7">
        <v>141000</v>
      </c>
      <c r="D27" s="7">
        <v>41800</v>
      </c>
      <c r="E27" s="7">
        <v>52500</v>
      </c>
      <c r="F27" s="7">
        <v>259500</v>
      </c>
      <c r="G27" s="8">
        <v>83300</v>
      </c>
      <c r="H27" s="8">
        <v>17250</v>
      </c>
      <c r="I27" s="8">
        <v>15000</v>
      </c>
      <c r="J27" s="8">
        <v>19700</v>
      </c>
      <c r="K27" s="8">
        <v>12250</v>
      </c>
      <c r="L27" s="7">
        <v>34800</v>
      </c>
      <c r="M27" s="7">
        <v>45800</v>
      </c>
      <c r="N27" s="7">
        <v>12650</v>
      </c>
      <c r="O27" s="7">
        <v>18550</v>
      </c>
      <c r="P27" s="7">
        <v>25650</v>
      </c>
      <c r="Q27" s="8">
        <v>149500</v>
      </c>
      <c r="R27" s="8">
        <v>575000</v>
      </c>
      <c r="S27" s="8">
        <v>194000</v>
      </c>
      <c r="T27" s="8">
        <v>36350</v>
      </c>
      <c r="U27" s="8">
        <v>35250</v>
      </c>
      <c r="V27" s="7">
        <v>69400</v>
      </c>
      <c r="W27" s="7">
        <v>1105000</v>
      </c>
      <c r="X27" s="7">
        <v>41800</v>
      </c>
      <c r="Y27" s="7">
        <v>117500</v>
      </c>
      <c r="Z27" s="7">
        <v>34250</v>
      </c>
      <c r="AA27" s="8">
        <v>26800</v>
      </c>
      <c r="AB27" s="8">
        <v>85900</v>
      </c>
      <c r="AC27" s="8">
        <v>15500</v>
      </c>
      <c r="AD27" s="8">
        <v>61400</v>
      </c>
      <c r="AE27" s="8">
        <v>313000</v>
      </c>
      <c r="AF27" s="7">
        <v>106500</v>
      </c>
      <c r="AG27" s="7">
        <v>73500</v>
      </c>
      <c r="AH27" s="7">
        <v>20500</v>
      </c>
      <c r="AI27" s="7">
        <v>136500</v>
      </c>
      <c r="AJ27" s="7">
        <v>23800</v>
      </c>
      <c r="AK27" s="8">
        <v>22750</v>
      </c>
      <c r="AL27" s="8">
        <v>58700</v>
      </c>
      <c r="AM27" s="8">
        <v>156500</v>
      </c>
      <c r="AN27" s="8">
        <v>26500</v>
      </c>
      <c r="AO27" s="8">
        <v>24650</v>
      </c>
      <c r="AP27" s="7">
        <v>4955</v>
      </c>
      <c r="AQ27" s="7">
        <v>184500</v>
      </c>
      <c r="AR27" s="7">
        <v>52800</v>
      </c>
      <c r="AS27" s="7">
        <v>11100</v>
      </c>
      <c r="AT27" s="7">
        <v>1387000</v>
      </c>
      <c r="AU27" s="8">
        <v>101500</v>
      </c>
      <c r="AV27" s="8">
        <v>287000</v>
      </c>
      <c r="AW27" s="8">
        <v>11600</v>
      </c>
      <c r="AX27" s="8">
        <v>57600</v>
      </c>
      <c r="AY27" s="8">
        <v>12050</v>
      </c>
      <c r="AZ27" s="7">
        <v>296000</v>
      </c>
      <c r="BA27" s="7">
        <v>31750</v>
      </c>
      <c r="BB27" s="7">
        <v>2600</v>
      </c>
      <c r="BC27" s="7">
        <v>56700</v>
      </c>
      <c r="BD27" s="7">
        <v>48750</v>
      </c>
      <c r="BE27" s="8">
        <v>75500</v>
      </c>
      <c r="BF27" s="8">
        <v>31400</v>
      </c>
      <c r="BG27" s="8">
        <v>30400</v>
      </c>
      <c r="BH27" s="8">
        <v>862000</v>
      </c>
      <c r="BI27" s="8">
        <v>16650</v>
      </c>
      <c r="BJ27" s="7">
        <v>27800</v>
      </c>
      <c r="BK27" s="7">
        <v>21000</v>
      </c>
      <c r="BL27" s="7">
        <v>168000</v>
      </c>
      <c r="BM27" s="7">
        <v>4635</v>
      </c>
      <c r="BN27" s="7">
        <v>9980</v>
      </c>
      <c r="BO27" s="8">
        <v>670000</v>
      </c>
      <c r="BP27" s="8">
        <v>57800</v>
      </c>
      <c r="BQ27" s="8">
        <v>7890</v>
      </c>
      <c r="BR27" s="7">
        <v>27550</v>
      </c>
      <c r="BS27" s="7">
        <v>5630</v>
      </c>
      <c r="BT27" s="7">
        <v>32050</v>
      </c>
      <c r="BU27" s="7">
        <v>9750</v>
      </c>
      <c r="BV27" s="8">
        <v>4330</v>
      </c>
    </row>
    <row r="28" spans="1:74" x14ac:dyDescent="0.4">
      <c r="A28" s="11">
        <v>41442</v>
      </c>
      <c r="B28" s="7">
        <v>323800</v>
      </c>
      <c r="C28" s="7">
        <v>138500</v>
      </c>
      <c r="D28" s="7">
        <v>41850</v>
      </c>
      <c r="E28" s="7">
        <v>54000</v>
      </c>
      <c r="F28" s="7">
        <v>259000</v>
      </c>
      <c r="G28" s="8">
        <v>82700</v>
      </c>
      <c r="H28" s="8">
        <v>16850</v>
      </c>
      <c r="I28" s="8">
        <v>15000</v>
      </c>
      <c r="J28" s="8">
        <v>19150</v>
      </c>
      <c r="K28" s="8">
        <v>12100</v>
      </c>
      <c r="L28" s="7">
        <v>31900</v>
      </c>
      <c r="M28" s="7">
        <v>44050</v>
      </c>
      <c r="N28" s="7">
        <v>12950</v>
      </c>
      <c r="O28" s="7">
        <v>17900</v>
      </c>
      <c r="P28" s="7">
        <v>25600</v>
      </c>
      <c r="Q28" s="8">
        <v>153500</v>
      </c>
      <c r="R28" s="8">
        <v>586000</v>
      </c>
      <c r="S28" s="8">
        <v>193500</v>
      </c>
      <c r="T28" s="8">
        <v>33250</v>
      </c>
      <c r="U28" s="8">
        <v>34100</v>
      </c>
      <c r="V28" s="7">
        <v>69400</v>
      </c>
      <c r="W28" s="7">
        <v>1100000</v>
      </c>
      <c r="X28" s="7">
        <v>41950</v>
      </c>
      <c r="Y28" s="7">
        <v>116500</v>
      </c>
      <c r="Z28" s="7">
        <v>33600</v>
      </c>
      <c r="AA28" s="8">
        <v>26200</v>
      </c>
      <c r="AB28" s="8">
        <v>87600</v>
      </c>
      <c r="AC28" s="8">
        <v>15700</v>
      </c>
      <c r="AD28" s="8">
        <v>60400</v>
      </c>
      <c r="AE28" s="8">
        <v>312000</v>
      </c>
      <c r="AF28" s="7">
        <v>101500</v>
      </c>
      <c r="AG28" s="7">
        <v>75700</v>
      </c>
      <c r="AH28" s="7">
        <v>20700</v>
      </c>
      <c r="AI28" s="7">
        <v>134000</v>
      </c>
      <c r="AJ28" s="7">
        <v>22700</v>
      </c>
      <c r="AK28" s="8">
        <v>23000</v>
      </c>
      <c r="AL28" s="8">
        <v>57100</v>
      </c>
      <c r="AM28" s="8">
        <v>156500</v>
      </c>
      <c r="AN28" s="8">
        <v>25500</v>
      </c>
      <c r="AO28" s="8">
        <v>25050</v>
      </c>
      <c r="AP28" s="7">
        <v>4950</v>
      </c>
      <c r="AQ28" s="7">
        <v>185500</v>
      </c>
      <c r="AR28" s="7">
        <v>49750</v>
      </c>
      <c r="AS28" s="7">
        <v>10950</v>
      </c>
      <c r="AT28" s="7">
        <v>1366000</v>
      </c>
      <c r="AU28" s="8">
        <v>99700</v>
      </c>
      <c r="AV28" s="8">
        <v>280500</v>
      </c>
      <c r="AW28" s="8">
        <v>11200</v>
      </c>
      <c r="AX28" s="8">
        <v>57500</v>
      </c>
      <c r="AY28" s="8">
        <v>11700</v>
      </c>
      <c r="AZ28" s="7">
        <v>301000</v>
      </c>
      <c r="BA28" s="7">
        <v>30450</v>
      </c>
      <c r="BB28" s="7">
        <v>2550</v>
      </c>
      <c r="BC28" s="7">
        <v>56800</v>
      </c>
      <c r="BD28" s="7">
        <v>48900</v>
      </c>
      <c r="BE28" s="8">
        <v>72600</v>
      </c>
      <c r="BF28" s="8">
        <v>32100</v>
      </c>
      <c r="BG28" s="8">
        <v>30500</v>
      </c>
      <c r="BH28" s="8">
        <v>857000</v>
      </c>
      <c r="BI28" s="8">
        <v>16650</v>
      </c>
      <c r="BJ28" s="7">
        <v>27800</v>
      </c>
      <c r="BK28" s="7">
        <v>20950</v>
      </c>
      <c r="BL28" s="7">
        <v>169500</v>
      </c>
      <c r="BM28" s="7">
        <v>4620</v>
      </c>
      <c r="BN28" s="7">
        <v>9790</v>
      </c>
      <c r="BO28" s="8">
        <v>672000</v>
      </c>
      <c r="BP28" s="8">
        <v>58500</v>
      </c>
      <c r="BQ28" s="8">
        <v>7760</v>
      </c>
      <c r="BR28" s="7">
        <v>27300</v>
      </c>
      <c r="BS28" s="7">
        <v>5510</v>
      </c>
      <c r="BT28" s="7">
        <v>32200</v>
      </c>
      <c r="BU28" s="7">
        <v>9500</v>
      </c>
      <c r="BV28" s="8">
        <v>4280</v>
      </c>
    </row>
    <row r="29" spans="1:74" x14ac:dyDescent="0.4">
      <c r="A29" s="73">
        <v>41439</v>
      </c>
      <c r="B29" s="74">
        <v>326300</v>
      </c>
      <c r="C29" s="74">
        <v>142500</v>
      </c>
      <c r="D29" s="74">
        <v>42750</v>
      </c>
      <c r="E29" s="74">
        <v>55700</v>
      </c>
      <c r="F29" s="74">
        <v>259000</v>
      </c>
      <c r="G29" s="75">
        <v>83900</v>
      </c>
      <c r="H29" s="75">
        <v>17700</v>
      </c>
      <c r="I29" s="75">
        <v>15000</v>
      </c>
      <c r="J29" s="75">
        <v>18450</v>
      </c>
      <c r="K29" s="75">
        <v>12200</v>
      </c>
      <c r="L29" s="74">
        <v>31950</v>
      </c>
      <c r="M29" s="74">
        <v>46350</v>
      </c>
      <c r="N29" s="74">
        <v>12500</v>
      </c>
      <c r="O29" s="74">
        <v>18400</v>
      </c>
      <c r="P29" s="74">
        <v>25400</v>
      </c>
      <c r="Q29" s="75">
        <v>153500</v>
      </c>
      <c r="R29" s="75">
        <v>581000</v>
      </c>
      <c r="S29" s="75">
        <v>195000</v>
      </c>
      <c r="T29" s="75">
        <v>33050</v>
      </c>
      <c r="U29" s="75">
        <v>34650</v>
      </c>
      <c r="V29" s="74">
        <v>69800</v>
      </c>
      <c r="W29" s="74">
        <v>1103000</v>
      </c>
      <c r="X29" s="74">
        <v>42300</v>
      </c>
      <c r="Y29" s="74">
        <v>115500</v>
      </c>
      <c r="Z29" s="74">
        <v>34700</v>
      </c>
      <c r="AA29" s="75">
        <v>26500</v>
      </c>
      <c r="AB29" s="75">
        <v>89500</v>
      </c>
      <c r="AC29" s="75">
        <v>16450</v>
      </c>
      <c r="AD29" s="75">
        <v>62000</v>
      </c>
      <c r="AE29" s="75">
        <v>313500</v>
      </c>
      <c r="AF29" s="74">
        <v>103500</v>
      </c>
      <c r="AG29" s="74">
        <v>79600</v>
      </c>
      <c r="AH29" s="74">
        <v>21050</v>
      </c>
      <c r="AI29" s="74">
        <v>133000</v>
      </c>
      <c r="AJ29" s="74">
        <v>23500</v>
      </c>
      <c r="AK29" s="75">
        <v>23500</v>
      </c>
      <c r="AL29" s="75">
        <v>57000</v>
      </c>
      <c r="AM29" s="75">
        <v>157000</v>
      </c>
      <c r="AN29" s="75">
        <v>26400</v>
      </c>
      <c r="AO29" s="75">
        <v>25200</v>
      </c>
      <c r="AP29" s="74">
        <v>5070</v>
      </c>
      <c r="AQ29" s="74">
        <v>184500</v>
      </c>
      <c r="AR29" s="74">
        <v>52000</v>
      </c>
      <c r="AS29" s="74">
        <v>11150</v>
      </c>
      <c r="AT29" s="74">
        <v>1369000</v>
      </c>
      <c r="AU29" s="75">
        <v>104000</v>
      </c>
      <c r="AV29" s="75">
        <v>281000</v>
      </c>
      <c r="AW29" s="75">
        <v>11200</v>
      </c>
      <c r="AX29" s="75">
        <v>57600</v>
      </c>
      <c r="AY29" s="75">
        <v>11550</v>
      </c>
      <c r="AZ29" s="74">
        <v>314000</v>
      </c>
      <c r="BA29" s="74">
        <v>31500</v>
      </c>
      <c r="BB29" s="74">
        <v>2580</v>
      </c>
      <c r="BC29" s="74">
        <v>57000</v>
      </c>
      <c r="BD29" s="74">
        <v>51100</v>
      </c>
      <c r="BE29" s="75">
        <v>73600</v>
      </c>
      <c r="BF29" s="75">
        <v>32600</v>
      </c>
      <c r="BG29" s="75">
        <v>30500</v>
      </c>
      <c r="BH29" s="75">
        <v>857000</v>
      </c>
      <c r="BI29" s="75">
        <v>16900</v>
      </c>
      <c r="BJ29" s="74">
        <v>28350</v>
      </c>
      <c r="BK29" s="74">
        <v>21000</v>
      </c>
      <c r="BL29" s="74">
        <v>170000</v>
      </c>
      <c r="BM29" s="74">
        <v>5430</v>
      </c>
      <c r="BN29" s="74">
        <v>10150</v>
      </c>
      <c r="BO29" s="75">
        <v>681000</v>
      </c>
      <c r="BP29" s="75">
        <v>59300</v>
      </c>
      <c r="BQ29" s="75">
        <v>8020</v>
      </c>
      <c r="BR29" s="74">
        <v>29000</v>
      </c>
      <c r="BS29" s="74">
        <v>5900</v>
      </c>
      <c r="BT29" s="74">
        <v>32850</v>
      </c>
      <c r="BU29" s="74">
        <v>9820</v>
      </c>
      <c r="BV29" s="75">
        <v>4380</v>
      </c>
    </row>
    <row r="30" spans="1:74" x14ac:dyDescent="0.4">
      <c r="A30" s="11">
        <v>41438</v>
      </c>
      <c r="B30" s="7">
        <v>326400</v>
      </c>
      <c r="C30" s="7">
        <v>138500</v>
      </c>
      <c r="D30" s="7">
        <v>41050</v>
      </c>
      <c r="E30" s="7">
        <v>56200</v>
      </c>
      <c r="F30" s="7">
        <v>256000</v>
      </c>
      <c r="G30" s="8">
        <v>83200</v>
      </c>
      <c r="H30" s="8">
        <v>17350</v>
      </c>
      <c r="I30" s="8">
        <v>14600</v>
      </c>
      <c r="J30" s="8">
        <v>18500</v>
      </c>
      <c r="K30" s="8">
        <v>11950</v>
      </c>
      <c r="L30" s="7">
        <v>33900</v>
      </c>
      <c r="M30" s="7">
        <v>46800</v>
      </c>
      <c r="N30" s="7">
        <v>12900</v>
      </c>
      <c r="O30" s="7">
        <v>19550</v>
      </c>
      <c r="P30" s="7">
        <v>26050</v>
      </c>
      <c r="Q30" s="8">
        <v>156000</v>
      </c>
      <c r="R30" s="8">
        <v>575000</v>
      </c>
      <c r="S30" s="8">
        <v>198000</v>
      </c>
      <c r="T30" s="8">
        <v>33650</v>
      </c>
      <c r="U30" s="8">
        <v>35900</v>
      </c>
      <c r="V30" s="7">
        <v>69400</v>
      </c>
      <c r="W30" s="7">
        <v>1085000</v>
      </c>
      <c r="X30" s="7">
        <v>43800</v>
      </c>
      <c r="Y30" s="7">
        <v>115000</v>
      </c>
      <c r="Z30" s="7">
        <v>35050</v>
      </c>
      <c r="AA30" s="8">
        <v>27000</v>
      </c>
      <c r="AB30" s="8">
        <v>91600</v>
      </c>
      <c r="AC30" s="8">
        <v>16500</v>
      </c>
      <c r="AD30" s="8">
        <v>63900</v>
      </c>
      <c r="AE30" s="8">
        <v>313000</v>
      </c>
      <c r="AF30" s="7">
        <v>106000</v>
      </c>
      <c r="AG30" s="7">
        <v>79500</v>
      </c>
      <c r="AH30" s="7">
        <v>21150</v>
      </c>
      <c r="AI30" s="7">
        <v>132000</v>
      </c>
      <c r="AJ30" s="7">
        <v>24250</v>
      </c>
      <c r="AK30" s="8">
        <v>23000</v>
      </c>
      <c r="AL30" s="8">
        <v>56500</v>
      </c>
      <c r="AM30" s="8">
        <v>157500</v>
      </c>
      <c r="AN30" s="8">
        <v>26700</v>
      </c>
      <c r="AO30" s="8">
        <v>25450</v>
      </c>
      <c r="AP30" s="7">
        <v>5060</v>
      </c>
      <c r="AQ30" s="7">
        <v>182500</v>
      </c>
      <c r="AR30" s="7">
        <v>53100</v>
      </c>
      <c r="AS30" s="7">
        <v>11400</v>
      </c>
      <c r="AT30" s="7">
        <v>1357000</v>
      </c>
      <c r="AU30" s="8">
        <v>104000</v>
      </c>
      <c r="AV30" s="8">
        <v>279500</v>
      </c>
      <c r="AW30" s="8">
        <v>11400</v>
      </c>
      <c r="AX30" s="8">
        <v>57400</v>
      </c>
      <c r="AY30" s="8">
        <v>11800</v>
      </c>
      <c r="AZ30" s="7">
        <v>297000</v>
      </c>
      <c r="BA30" s="7">
        <v>32050</v>
      </c>
      <c r="BB30" s="7">
        <v>2565</v>
      </c>
      <c r="BC30" s="7">
        <v>57000</v>
      </c>
      <c r="BD30" s="7">
        <v>53900</v>
      </c>
      <c r="BE30" s="8">
        <v>73500</v>
      </c>
      <c r="BF30" s="8">
        <v>32250</v>
      </c>
      <c r="BG30" s="8">
        <v>30500</v>
      </c>
      <c r="BH30" s="8">
        <v>856000</v>
      </c>
      <c r="BI30" s="8">
        <v>17500</v>
      </c>
      <c r="BJ30" s="7">
        <v>28350</v>
      </c>
      <c r="BK30" s="7">
        <v>20700</v>
      </c>
      <c r="BL30" s="7">
        <v>173500</v>
      </c>
      <c r="BM30" s="7">
        <v>5330</v>
      </c>
      <c r="BN30" s="7">
        <v>9980</v>
      </c>
      <c r="BO30" s="8">
        <v>682000</v>
      </c>
      <c r="BP30" s="8">
        <v>58500</v>
      </c>
      <c r="BQ30" s="8">
        <v>7810</v>
      </c>
      <c r="BR30" s="7">
        <v>29800</v>
      </c>
      <c r="BS30" s="7">
        <v>5900</v>
      </c>
      <c r="BT30" s="7">
        <v>33300</v>
      </c>
      <c r="BU30" s="7">
        <v>9860</v>
      </c>
      <c r="BV30" s="8">
        <v>4510</v>
      </c>
    </row>
    <row r="31" spans="1:74" x14ac:dyDescent="0.4">
      <c r="A31" s="11">
        <v>41437</v>
      </c>
      <c r="B31" s="7">
        <v>325500</v>
      </c>
      <c r="C31" s="7">
        <v>138500</v>
      </c>
      <c r="D31" s="7">
        <v>41550</v>
      </c>
      <c r="E31" s="7">
        <v>54100</v>
      </c>
      <c r="F31" s="7">
        <v>257500</v>
      </c>
      <c r="G31" s="8">
        <v>83500</v>
      </c>
      <c r="H31" s="8">
        <v>16950</v>
      </c>
      <c r="I31" s="8">
        <v>15100</v>
      </c>
      <c r="J31" s="8">
        <v>19300</v>
      </c>
      <c r="K31" s="8">
        <v>12200</v>
      </c>
      <c r="L31" s="7">
        <v>34800</v>
      </c>
      <c r="M31" s="7">
        <v>46000</v>
      </c>
      <c r="N31" s="7">
        <v>12350</v>
      </c>
      <c r="O31" s="7">
        <v>19950</v>
      </c>
      <c r="P31" s="7">
        <v>26300</v>
      </c>
      <c r="Q31" s="8">
        <v>154000</v>
      </c>
      <c r="R31" s="8">
        <v>588000</v>
      </c>
      <c r="S31" s="8">
        <v>199500</v>
      </c>
      <c r="T31" s="8">
        <v>32350</v>
      </c>
      <c r="U31" s="8">
        <v>36500</v>
      </c>
      <c r="V31" s="7">
        <v>70000</v>
      </c>
      <c r="W31" s="7">
        <v>1101000</v>
      </c>
      <c r="X31" s="7">
        <v>43800</v>
      </c>
      <c r="Y31" s="7">
        <v>115500</v>
      </c>
      <c r="Z31" s="7">
        <v>34900</v>
      </c>
      <c r="AA31" s="8">
        <v>27750</v>
      </c>
      <c r="AB31" s="8">
        <v>91000</v>
      </c>
      <c r="AC31" s="8">
        <v>16350</v>
      </c>
      <c r="AD31" s="8">
        <v>63900</v>
      </c>
      <c r="AE31" s="8">
        <v>314500</v>
      </c>
      <c r="AF31" s="7">
        <v>105500</v>
      </c>
      <c r="AG31" s="7">
        <v>81300</v>
      </c>
      <c r="AH31" s="7">
        <v>21450</v>
      </c>
      <c r="AI31" s="7">
        <v>136000</v>
      </c>
      <c r="AJ31" s="7">
        <v>24150</v>
      </c>
      <c r="AK31" s="8">
        <v>23700</v>
      </c>
      <c r="AL31" s="8">
        <v>57700</v>
      </c>
      <c r="AM31" s="8">
        <v>156500</v>
      </c>
      <c r="AN31" s="8">
        <v>27300</v>
      </c>
      <c r="AO31" s="8">
        <v>25450</v>
      </c>
      <c r="AP31" s="7">
        <v>5130</v>
      </c>
      <c r="AQ31" s="7">
        <v>176000</v>
      </c>
      <c r="AR31" s="7">
        <v>54200</v>
      </c>
      <c r="AS31" s="7">
        <v>11250</v>
      </c>
      <c r="AT31" s="7">
        <v>1385000</v>
      </c>
      <c r="AU31" s="8">
        <v>106500</v>
      </c>
      <c r="AV31" s="8">
        <v>292500</v>
      </c>
      <c r="AW31" s="8">
        <v>11500</v>
      </c>
      <c r="AX31" s="8">
        <v>58300</v>
      </c>
      <c r="AY31" s="8">
        <v>11800</v>
      </c>
      <c r="AZ31" s="7">
        <v>297500</v>
      </c>
      <c r="BA31" s="7">
        <v>32350</v>
      </c>
      <c r="BB31" s="7">
        <v>2625</v>
      </c>
      <c r="BC31" s="7">
        <v>58200</v>
      </c>
      <c r="BD31" s="7">
        <v>54000</v>
      </c>
      <c r="BE31" s="8">
        <v>75200</v>
      </c>
      <c r="BF31" s="8">
        <v>33000</v>
      </c>
      <c r="BG31" s="8">
        <v>30400</v>
      </c>
      <c r="BH31" s="8">
        <v>868000</v>
      </c>
      <c r="BI31" s="8">
        <v>16600</v>
      </c>
      <c r="BJ31" s="7">
        <v>28100</v>
      </c>
      <c r="BK31" s="7">
        <v>20400</v>
      </c>
      <c r="BL31" s="7">
        <v>168500</v>
      </c>
      <c r="BM31" s="7">
        <v>5640</v>
      </c>
      <c r="BN31" s="7">
        <v>10000</v>
      </c>
      <c r="BO31" s="8">
        <v>679000</v>
      </c>
      <c r="BP31" s="8">
        <v>58300</v>
      </c>
      <c r="BQ31" s="8">
        <v>7840</v>
      </c>
      <c r="BR31" s="7">
        <v>30350</v>
      </c>
      <c r="BS31" s="7">
        <v>6070</v>
      </c>
      <c r="BT31" s="7">
        <v>33700</v>
      </c>
      <c r="BU31" s="7">
        <v>10050</v>
      </c>
      <c r="BV31" s="8">
        <v>4575</v>
      </c>
    </row>
    <row r="32" spans="1:74" x14ac:dyDescent="0.4">
      <c r="A32" s="11">
        <v>41436</v>
      </c>
      <c r="B32" s="7">
        <v>322900</v>
      </c>
      <c r="C32" s="7">
        <v>138500</v>
      </c>
      <c r="D32" s="7">
        <v>42650</v>
      </c>
      <c r="E32" s="7">
        <v>54800</v>
      </c>
      <c r="F32" s="7">
        <v>259500</v>
      </c>
      <c r="G32" s="8">
        <v>83400</v>
      </c>
      <c r="H32" s="8">
        <v>17000</v>
      </c>
      <c r="I32" s="8">
        <v>15200</v>
      </c>
      <c r="J32" s="8">
        <v>19750</v>
      </c>
      <c r="K32" s="8">
        <v>12250</v>
      </c>
      <c r="L32" s="7">
        <v>36600</v>
      </c>
      <c r="M32" s="7">
        <v>45900</v>
      </c>
      <c r="N32" s="7">
        <v>11900</v>
      </c>
      <c r="O32" s="7">
        <v>19850</v>
      </c>
      <c r="P32" s="7">
        <v>25950</v>
      </c>
      <c r="Q32" s="8">
        <v>155000</v>
      </c>
      <c r="R32" s="8">
        <v>584000</v>
      </c>
      <c r="S32" s="8">
        <v>203500</v>
      </c>
      <c r="T32" s="8">
        <v>34800</v>
      </c>
      <c r="U32" s="8">
        <v>36700</v>
      </c>
      <c r="V32" s="7">
        <v>70800</v>
      </c>
      <c r="W32" s="7">
        <v>1113000</v>
      </c>
      <c r="X32" s="7">
        <v>43250</v>
      </c>
      <c r="Y32" s="7">
        <v>116000</v>
      </c>
      <c r="Z32" s="7">
        <v>35100</v>
      </c>
      <c r="AA32" s="8">
        <v>27700</v>
      </c>
      <c r="AB32" s="8">
        <v>89900</v>
      </c>
      <c r="AC32" s="8">
        <v>16300</v>
      </c>
      <c r="AD32" s="8">
        <v>64100</v>
      </c>
      <c r="AE32" s="8">
        <v>316000</v>
      </c>
      <c r="AF32" s="7">
        <v>105500</v>
      </c>
      <c r="AG32" s="7">
        <v>82200</v>
      </c>
      <c r="AH32" s="7">
        <v>21350</v>
      </c>
      <c r="AI32" s="7">
        <v>137000</v>
      </c>
      <c r="AJ32" s="7">
        <v>24850</v>
      </c>
      <c r="AK32" s="8">
        <v>22989</v>
      </c>
      <c r="AL32" s="8">
        <v>58300</v>
      </c>
      <c r="AM32" s="8">
        <v>157000</v>
      </c>
      <c r="AN32" s="8">
        <v>28000</v>
      </c>
      <c r="AO32" s="8">
        <v>25450</v>
      </c>
      <c r="AP32" s="7">
        <v>5160</v>
      </c>
      <c r="AQ32" s="7">
        <v>177500</v>
      </c>
      <c r="AR32" s="7">
        <v>52200</v>
      </c>
      <c r="AS32" s="7">
        <v>11150</v>
      </c>
      <c r="AT32" s="7">
        <v>1389000</v>
      </c>
      <c r="AU32" s="8">
        <v>106500</v>
      </c>
      <c r="AV32" s="8">
        <v>301000</v>
      </c>
      <c r="AW32" s="8">
        <v>11750</v>
      </c>
      <c r="AX32" s="8">
        <v>58200</v>
      </c>
      <c r="AY32" s="8">
        <v>11300</v>
      </c>
      <c r="AZ32" s="7">
        <v>305000</v>
      </c>
      <c r="BA32" s="7">
        <v>32500</v>
      </c>
      <c r="BB32" s="7">
        <v>2575</v>
      </c>
      <c r="BC32" s="7">
        <v>58500</v>
      </c>
      <c r="BD32" s="7">
        <v>50900</v>
      </c>
      <c r="BE32" s="8">
        <v>77100</v>
      </c>
      <c r="BF32" s="8">
        <v>33150</v>
      </c>
      <c r="BG32" s="8">
        <v>30300</v>
      </c>
      <c r="BH32" s="8">
        <v>850000</v>
      </c>
      <c r="BI32" s="8">
        <v>16950</v>
      </c>
      <c r="BJ32" s="7">
        <v>28100</v>
      </c>
      <c r="BK32" s="7">
        <v>20250</v>
      </c>
      <c r="BL32" s="7">
        <v>163000</v>
      </c>
      <c r="BM32" s="7">
        <v>5650</v>
      </c>
      <c r="BN32" s="7">
        <v>10350</v>
      </c>
      <c r="BO32" s="8">
        <v>677000</v>
      </c>
      <c r="BP32" s="8">
        <v>58900</v>
      </c>
      <c r="BQ32" s="8">
        <v>8110</v>
      </c>
      <c r="BR32" s="7">
        <v>30400</v>
      </c>
      <c r="BS32" s="7">
        <v>6080</v>
      </c>
      <c r="BT32" s="7">
        <v>33550</v>
      </c>
      <c r="BU32" s="7">
        <v>10250</v>
      </c>
      <c r="BV32" s="8">
        <v>4575</v>
      </c>
    </row>
    <row r="33" spans="1:74" x14ac:dyDescent="0.4">
      <c r="A33" s="11">
        <v>41435</v>
      </c>
      <c r="B33" s="7">
        <v>315000</v>
      </c>
      <c r="C33" s="7">
        <v>137500</v>
      </c>
      <c r="D33" s="7">
        <v>42600</v>
      </c>
      <c r="E33" s="7">
        <v>53100</v>
      </c>
      <c r="F33" s="7">
        <v>265000</v>
      </c>
      <c r="G33" s="8">
        <v>83600</v>
      </c>
      <c r="H33" s="8">
        <v>16500</v>
      </c>
      <c r="I33" s="8">
        <v>14750</v>
      </c>
      <c r="J33" s="8">
        <v>19550</v>
      </c>
      <c r="K33" s="8">
        <v>12400</v>
      </c>
      <c r="L33" s="7">
        <v>38050</v>
      </c>
      <c r="M33" s="7">
        <v>46600</v>
      </c>
      <c r="N33" s="7">
        <v>11600</v>
      </c>
      <c r="O33" s="7">
        <v>19000</v>
      </c>
      <c r="P33" s="7">
        <v>26000</v>
      </c>
      <c r="Q33" s="8">
        <v>160000</v>
      </c>
      <c r="R33" s="8">
        <v>605000</v>
      </c>
      <c r="S33" s="8">
        <v>204000</v>
      </c>
      <c r="T33" s="8">
        <v>33000</v>
      </c>
      <c r="U33" s="8">
        <v>37050</v>
      </c>
      <c r="V33" s="7">
        <v>71300</v>
      </c>
      <c r="W33" s="7">
        <v>1097000</v>
      </c>
      <c r="X33" s="7">
        <v>42500</v>
      </c>
      <c r="Y33" s="7">
        <v>116500</v>
      </c>
      <c r="Z33" s="7">
        <v>35350</v>
      </c>
      <c r="AA33" s="8">
        <v>25300</v>
      </c>
      <c r="AB33" s="8">
        <v>86600</v>
      </c>
      <c r="AC33" s="8">
        <v>16500</v>
      </c>
      <c r="AD33" s="8">
        <v>62700</v>
      </c>
      <c r="AE33" s="8">
        <v>316500</v>
      </c>
      <c r="AF33" s="7">
        <v>105500</v>
      </c>
      <c r="AG33" s="7">
        <v>84600</v>
      </c>
      <c r="AH33" s="7">
        <v>21300</v>
      </c>
      <c r="AI33" s="7">
        <v>138500</v>
      </c>
      <c r="AJ33" s="7">
        <v>24250</v>
      </c>
      <c r="AK33" s="8">
        <v>22515</v>
      </c>
      <c r="AL33" s="8">
        <v>58600</v>
      </c>
      <c r="AM33" s="8">
        <v>157500</v>
      </c>
      <c r="AN33" s="8">
        <v>28200</v>
      </c>
      <c r="AO33" s="8">
        <v>25900</v>
      </c>
      <c r="AP33" s="7">
        <v>5020</v>
      </c>
      <c r="AQ33" s="7">
        <v>178500</v>
      </c>
      <c r="AR33" s="7">
        <v>52100</v>
      </c>
      <c r="AS33" s="7">
        <v>11250</v>
      </c>
      <c r="AT33" s="7">
        <v>1425000</v>
      </c>
      <c r="AU33" s="8">
        <v>107000</v>
      </c>
      <c r="AV33" s="8">
        <v>295000</v>
      </c>
      <c r="AW33" s="8">
        <v>11600</v>
      </c>
      <c r="AX33" s="8">
        <v>57500</v>
      </c>
      <c r="AY33" s="8">
        <v>11400</v>
      </c>
      <c r="AZ33" s="7">
        <v>305500</v>
      </c>
      <c r="BA33" s="7">
        <v>32650</v>
      </c>
      <c r="BB33" s="7">
        <v>2600</v>
      </c>
      <c r="BC33" s="7">
        <v>59100</v>
      </c>
      <c r="BD33" s="7">
        <v>51100</v>
      </c>
      <c r="BE33" s="8">
        <v>75600</v>
      </c>
      <c r="BF33" s="8">
        <v>34000</v>
      </c>
      <c r="BG33" s="8">
        <v>29900</v>
      </c>
      <c r="BH33" s="8">
        <v>875000</v>
      </c>
      <c r="BI33" s="8">
        <v>16650</v>
      </c>
      <c r="BJ33" s="7">
        <v>28300</v>
      </c>
      <c r="BK33" s="7">
        <v>20650</v>
      </c>
      <c r="BL33" s="7">
        <v>156000</v>
      </c>
      <c r="BM33" s="7">
        <v>5600</v>
      </c>
      <c r="BN33" s="7">
        <v>10450</v>
      </c>
      <c r="BO33" s="8">
        <v>658000</v>
      </c>
      <c r="BP33" s="8">
        <v>59700</v>
      </c>
      <c r="BQ33" s="8">
        <v>8100</v>
      </c>
      <c r="BR33" s="7">
        <v>29900</v>
      </c>
      <c r="BS33" s="7">
        <v>6100</v>
      </c>
      <c r="BT33" s="7">
        <v>34300</v>
      </c>
      <c r="BU33" s="7">
        <v>10650</v>
      </c>
      <c r="BV33" s="8">
        <v>4480</v>
      </c>
    </row>
    <row r="34" spans="1:74" x14ac:dyDescent="0.4">
      <c r="A34" s="73">
        <v>41432</v>
      </c>
      <c r="B34" s="74">
        <v>302400</v>
      </c>
      <c r="C34" s="74">
        <v>140500</v>
      </c>
      <c r="D34" s="74">
        <v>41550</v>
      </c>
      <c r="E34" s="74">
        <v>50400</v>
      </c>
      <c r="F34" s="74">
        <v>265000</v>
      </c>
      <c r="G34" s="75">
        <v>83400</v>
      </c>
      <c r="H34" s="75">
        <v>16950</v>
      </c>
      <c r="I34" s="75">
        <v>14950</v>
      </c>
      <c r="J34" s="75">
        <v>18000</v>
      </c>
      <c r="K34" s="75">
        <v>12400</v>
      </c>
      <c r="L34" s="74">
        <v>38000</v>
      </c>
      <c r="M34" s="74">
        <v>45900</v>
      </c>
      <c r="N34" s="74">
        <v>11350</v>
      </c>
      <c r="O34" s="74">
        <v>18550</v>
      </c>
      <c r="P34" s="74">
        <v>25750</v>
      </c>
      <c r="Q34" s="75">
        <v>162500</v>
      </c>
      <c r="R34" s="75">
        <v>582000</v>
      </c>
      <c r="S34" s="75">
        <v>203500</v>
      </c>
      <c r="T34" s="75">
        <v>34400</v>
      </c>
      <c r="U34" s="75">
        <v>34800</v>
      </c>
      <c r="V34" s="74">
        <v>71400</v>
      </c>
      <c r="W34" s="74">
        <v>1091000</v>
      </c>
      <c r="X34" s="74">
        <v>40000</v>
      </c>
      <c r="Y34" s="74">
        <v>115500</v>
      </c>
      <c r="Z34" s="74">
        <v>34750</v>
      </c>
      <c r="AA34" s="75">
        <v>24900</v>
      </c>
      <c r="AB34" s="75">
        <v>87900</v>
      </c>
      <c r="AC34" s="75">
        <v>16400</v>
      </c>
      <c r="AD34" s="75">
        <v>60600</v>
      </c>
      <c r="AE34" s="75">
        <v>319000</v>
      </c>
      <c r="AF34" s="74">
        <v>102500</v>
      </c>
      <c r="AG34" s="74">
        <v>85100</v>
      </c>
      <c r="AH34" s="74">
        <v>21600</v>
      </c>
      <c r="AI34" s="74">
        <v>139500</v>
      </c>
      <c r="AJ34" s="74">
        <v>22650</v>
      </c>
      <c r="AK34" s="75">
        <v>21988</v>
      </c>
      <c r="AL34" s="75">
        <v>59000</v>
      </c>
      <c r="AM34" s="75">
        <v>152000</v>
      </c>
      <c r="AN34" s="75">
        <v>26700</v>
      </c>
      <c r="AO34" s="75">
        <v>26500</v>
      </c>
      <c r="AP34" s="74">
        <v>4900</v>
      </c>
      <c r="AQ34" s="74">
        <v>181000</v>
      </c>
      <c r="AR34" s="74">
        <v>52100</v>
      </c>
      <c r="AS34" s="74">
        <v>11350</v>
      </c>
      <c r="AT34" s="74">
        <v>1427000</v>
      </c>
      <c r="AU34" s="75">
        <v>108000</v>
      </c>
      <c r="AV34" s="75">
        <v>290000</v>
      </c>
      <c r="AW34" s="75">
        <v>11500</v>
      </c>
      <c r="AX34" s="75">
        <v>57800</v>
      </c>
      <c r="AY34" s="75">
        <v>11350</v>
      </c>
      <c r="AZ34" s="74">
        <v>311500</v>
      </c>
      <c r="BA34" s="74">
        <v>31100</v>
      </c>
      <c r="BB34" s="74">
        <v>2530</v>
      </c>
      <c r="BC34" s="74">
        <v>58900</v>
      </c>
      <c r="BD34" s="74">
        <v>48500</v>
      </c>
      <c r="BE34" s="75">
        <v>75900</v>
      </c>
      <c r="BF34" s="75">
        <v>34050</v>
      </c>
      <c r="BG34" s="75">
        <v>29200</v>
      </c>
      <c r="BH34" s="75">
        <v>866000</v>
      </c>
      <c r="BI34" s="75">
        <v>16400</v>
      </c>
      <c r="BJ34" s="74">
        <v>28350</v>
      </c>
      <c r="BK34" s="74">
        <v>20000</v>
      </c>
      <c r="BL34" s="74">
        <v>155000</v>
      </c>
      <c r="BM34" s="74">
        <v>5460</v>
      </c>
      <c r="BN34" s="74">
        <v>10000</v>
      </c>
      <c r="BO34" s="75">
        <v>647000</v>
      </c>
      <c r="BP34" s="75">
        <v>59600</v>
      </c>
      <c r="BQ34" s="75">
        <v>7890</v>
      </c>
      <c r="BR34" s="74">
        <v>28900</v>
      </c>
      <c r="BS34" s="74">
        <v>5980</v>
      </c>
      <c r="BT34" s="74">
        <v>33300</v>
      </c>
      <c r="BU34" s="74">
        <v>10500</v>
      </c>
      <c r="BV34" s="75">
        <v>4425</v>
      </c>
    </row>
    <row r="35" spans="1:74" x14ac:dyDescent="0.4">
      <c r="A35" s="11">
        <v>41430</v>
      </c>
      <c r="B35" s="7">
        <v>309200</v>
      </c>
      <c r="C35" s="7">
        <v>141000</v>
      </c>
      <c r="D35" s="7">
        <v>41350</v>
      </c>
      <c r="E35" s="7">
        <v>50300</v>
      </c>
      <c r="F35" s="7">
        <v>269000</v>
      </c>
      <c r="G35" s="8">
        <v>80000</v>
      </c>
      <c r="H35" s="8">
        <v>16300</v>
      </c>
      <c r="I35" s="8">
        <v>14500</v>
      </c>
      <c r="J35" s="8">
        <v>18600</v>
      </c>
      <c r="K35" s="8">
        <v>12550</v>
      </c>
      <c r="L35" s="7">
        <v>38750</v>
      </c>
      <c r="M35" s="7">
        <v>46500</v>
      </c>
      <c r="N35" s="7">
        <v>11100</v>
      </c>
      <c r="O35" s="7">
        <v>18450</v>
      </c>
      <c r="P35" s="7">
        <v>26100</v>
      </c>
      <c r="Q35" s="8">
        <v>165500</v>
      </c>
      <c r="R35" s="8">
        <v>576000</v>
      </c>
      <c r="S35" s="8">
        <v>203000</v>
      </c>
      <c r="T35" s="8">
        <v>35000</v>
      </c>
      <c r="U35" s="8">
        <v>34500</v>
      </c>
      <c r="V35" s="7">
        <v>72500</v>
      </c>
      <c r="W35" s="7">
        <v>1090000</v>
      </c>
      <c r="X35" s="7">
        <v>40200</v>
      </c>
      <c r="Y35" s="7">
        <v>114000</v>
      </c>
      <c r="Z35" s="7">
        <v>34000</v>
      </c>
      <c r="AA35" s="8">
        <v>25800</v>
      </c>
      <c r="AB35" s="8">
        <v>87900</v>
      </c>
      <c r="AC35" s="8">
        <v>16950</v>
      </c>
      <c r="AD35" s="8">
        <v>61000</v>
      </c>
      <c r="AE35" s="8">
        <v>320500</v>
      </c>
      <c r="AF35" s="7">
        <v>100000</v>
      </c>
      <c r="AG35" s="7">
        <v>85800</v>
      </c>
      <c r="AH35" s="7">
        <v>21950</v>
      </c>
      <c r="AI35" s="7">
        <v>137500</v>
      </c>
      <c r="AJ35" s="7">
        <v>22600</v>
      </c>
      <c r="AK35" s="8">
        <v>22120</v>
      </c>
      <c r="AL35" s="8">
        <v>59500</v>
      </c>
      <c r="AM35" s="8">
        <v>156500</v>
      </c>
      <c r="AN35" s="8">
        <v>25650</v>
      </c>
      <c r="AO35" s="8">
        <v>26750</v>
      </c>
      <c r="AP35" s="7">
        <v>5200</v>
      </c>
      <c r="AQ35" s="7">
        <v>179500</v>
      </c>
      <c r="AR35" s="7">
        <v>48700</v>
      </c>
      <c r="AS35" s="7">
        <v>11650</v>
      </c>
      <c r="AT35" s="7">
        <v>1521000</v>
      </c>
      <c r="AU35" s="8">
        <v>102000</v>
      </c>
      <c r="AV35" s="8">
        <v>296000</v>
      </c>
      <c r="AW35" s="8">
        <v>11650</v>
      </c>
      <c r="AX35" s="8">
        <v>57200</v>
      </c>
      <c r="AY35" s="8">
        <v>11800</v>
      </c>
      <c r="AZ35" s="7">
        <v>318500</v>
      </c>
      <c r="BA35" s="7">
        <v>31150</v>
      </c>
      <c r="BB35" s="7">
        <v>2640</v>
      </c>
      <c r="BC35" s="7">
        <v>60300</v>
      </c>
      <c r="BD35" s="7">
        <v>49800</v>
      </c>
      <c r="BE35" s="8">
        <v>77600</v>
      </c>
      <c r="BF35" s="8">
        <v>33800</v>
      </c>
      <c r="BG35" s="8">
        <v>28800</v>
      </c>
      <c r="BH35" s="8">
        <v>950000</v>
      </c>
      <c r="BI35" s="8">
        <v>18000</v>
      </c>
      <c r="BJ35" s="7">
        <v>27600</v>
      </c>
      <c r="BK35" s="7">
        <v>19900</v>
      </c>
      <c r="BL35" s="7">
        <v>158000</v>
      </c>
      <c r="BM35" s="7">
        <v>5630</v>
      </c>
      <c r="BN35" s="7">
        <v>9890</v>
      </c>
      <c r="BO35" s="8">
        <v>656000</v>
      </c>
      <c r="BP35" s="8">
        <v>59800</v>
      </c>
      <c r="BQ35" s="8">
        <v>8480</v>
      </c>
      <c r="BR35" s="7">
        <v>29200</v>
      </c>
      <c r="BS35" s="7">
        <v>6150</v>
      </c>
      <c r="BT35" s="7">
        <v>34500</v>
      </c>
      <c r="BU35" s="7">
        <v>10800</v>
      </c>
      <c r="BV35" s="8">
        <v>4695</v>
      </c>
    </row>
    <row r="36" spans="1:74" x14ac:dyDescent="0.4">
      <c r="A36" s="11">
        <v>41429</v>
      </c>
      <c r="B36" s="7">
        <v>316400</v>
      </c>
      <c r="C36" s="7">
        <v>141500</v>
      </c>
      <c r="D36" s="7">
        <v>43850</v>
      </c>
      <c r="E36" s="7">
        <v>50900</v>
      </c>
      <c r="F36" s="7">
        <v>272000</v>
      </c>
      <c r="G36" s="8">
        <v>81100</v>
      </c>
      <c r="H36" s="8">
        <v>16450</v>
      </c>
      <c r="I36" s="8">
        <v>15700</v>
      </c>
      <c r="J36" s="8">
        <v>18700</v>
      </c>
      <c r="K36" s="8">
        <v>12550</v>
      </c>
      <c r="L36" s="7">
        <v>38650</v>
      </c>
      <c r="M36" s="7">
        <v>46500</v>
      </c>
      <c r="N36" s="7">
        <v>11300</v>
      </c>
      <c r="O36" s="7">
        <v>19100</v>
      </c>
      <c r="P36" s="7">
        <v>26500</v>
      </c>
      <c r="Q36" s="8">
        <v>167000</v>
      </c>
      <c r="R36" s="8">
        <v>607000</v>
      </c>
      <c r="S36" s="8">
        <v>206500</v>
      </c>
      <c r="T36" s="8">
        <v>34700</v>
      </c>
      <c r="U36" s="8">
        <v>35250</v>
      </c>
      <c r="V36" s="7">
        <v>73600</v>
      </c>
      <c r="W36" s="7">
        <v>1077000</v>
      </c>
      <c r="X36" s="7">
        <v>41900</v>
      </c>
      <c r="Y36" s="7">
        <v>119000</v>
      </c>
      <c r="Z36" s="7">
        <v>34800</v>
      </c>
      <c r="AA36" s="8">
        <v>27450</v>
      </c>
      <c r="AB36" s="8">
        <v>88200</v>
      </c>
      <c r="AC36" s="8">
        <v>17500</v>
      </c>
      <c r="AD36" s="8">
        <v>62000</v>
      </c>
      <c r="AE36" s="8">
        <v>323500</v>
      </c>
      <c r="AF36" s="7">
        <v>99500</v>
      </c>
      <c r="AG36" s="7">
        <v>87200</v>
      </c>
      <c r="AH36" s="7">
        <v>22200</v>
      </c>
      <c r="AI36" s="7">
        <v>138500</v>
      </c>
      <c r="AJ36" s="7">
        <v>23800</v>
      </c>
      <c r="AK36" s="8">
        <v>21962</v>
      </c>
      <c r="AL36" s="8">
        <v>60900</v>
      </c>
      <c r="AM36" s="8">
        <v>159000</v>
      </c>
      <c r="AN36" s="8">
        <v>26950</v>
      </c>
      <c r="AO36" s="8">
        <v>27200</v>
      </c>
      <c r="AP36" s="7">
        <v>5550</v>
      </c>
      <c r="AQ36" s="7">
        <v>185500</v>
      </c>
      <c r="AR36" s="7">
        <v>50500</v>
      </c>
      <c r="AS36" s="7">
        <v>12200</v>
      </c>
      <c r="AT36" s="7">
        <v>1540000</v>
      </c>
      <c r="AU36" s="8">
        <v>109000</v>
      </c>
      <c r="AV36" s="8">
        <v>292500</v>
      </c>
      <c r="AW36" s="8">
        <v>11600</v>
      </c>
      <c r="AX36" s="8">
        <v>57100</v>
      </c>
      <c r="AY36" s="8">
        <v>12200</v>
      </c>
      <c r="AZ36" s="7">
        <v>329500</v>
      </c>
      <c r="BA36" s="7">
        <v>32250</v>
      </c>
      <c r="BB36" s="7">
        <v>2795</v>
      </c>
      <c r="BC36" s="7">
        <v>61200</v>
      </c>
      <c r="BD36" s="7">
        <v>49900</v>
      </c>
      <c r="BE36" s="8">
        <v>80300</v>
      </c>
      <c r="BF36" s="8">
        <v>35500</v>
      </c>
      <c r="BG36" s="8">
        <v>30150</v>
      </c>
      <c r="BH36" s="8">
        <v>941000</v>
      </c>
      <c r="BI36" s="8">
        <v>18900</v>
      </c>
      <c r="BJ36" s="7">
        <v>28550</v>
      </c>
      <c r="BK36" s="7">
        <v>20100</v>
      </c>
      <c r="BL36" s="7">
        <v>158000</v>
      </c>
      <c r="BM36" s="7">
        <v>5590</v>
      </c>
      <c r="BN36" s="7">
        <v>10500</v>
      </c>
      <c r="BO36" s="8">
        <v>697000</v>
      </c>
      <c r="BP36" s="8">
        <v>59800</v>
      </c>
      <c r="BQ36" s="8">
        <v>8750</v>
      </c>
      <c r="BR36" s="7">
        <v>30600</v>
      </c>
      <c r="BS36" s="7">
        <v>6260</v>
      </c>
      <c r="BT36" s="7">
        <v>35700</v>
      </c>
      <c r="BU36" s="7">
        <v>10900</v>
      </c>
      <c r="BV36" s="8">
        <v>4865</v>
      </c>
    </row>
    <row r="37" spans="1:74" x14ac:dyDescent="0.4">
      <c r="A37" s="11">
        <v>41428</v>
      </c>
      <c r="B37" s="7">
        <v>314800</v>
      </c>
      <c r="C37" s="7">
        <v>141000</v>
      </c>
      <c r="D37" s="7">
        <v>43350</v>
      </c>
      <c r="E37" s="7">
        <v>55700</v>
      </c>
      <c r="F37" s="7">
        <v>275000</v>
      </c>
      <c r="G37" s="8">
        <v>82200</v>
      </c>
      <c r="H37" s="8">
        <v>17000</v>
      </c>
      <c r="I37" s="8">
        <v>15950</v>
      </c>
      <c r="J37" s="8">
        <v>19200</v>
      </c>
      <c r="K37" s="8">
        <v>12600</v>
      </c>
      <c r="L37" s="7">
        <v>39550</v>
      </c>
      <c r="M37" s="7">
        <v>45700</v>
      </c>
      <c r="N37" s="7">
        <v>11550</v>
      </c>
      <c r="O37" s="7">
        <v>18900</v>
      </c>
      <c r="P37" s="7">
        <v>26550</v>
      </c>
      <c r="Q37" s="8">
        <v>164500</v>
      </c>
      <c r="R37" s="8">
        <v>625000</v>
      </c>
      <c r="S37" s="8">
        <v>200000</v>
      </c>
      <c r="T37" s="8">
        <v>33100</v>
      </c>
      <c r="U37" s="8">
        <v>34600</v>
      </c>
      <c r="V37" s="7">
        <v>71300</v>
      </c>
      <c r="W37" s="7">
        <v>1093000</v>
      </c>
      <c r="X37" s="7">
        <v>43250</v>
      </c>
      <c r="Y37" s="7">
        <v>121000</v>
      </c>
      <c r="Z37" s="7">
        <v>37600</v>
      </c>
      <c r="AA37" s="8">
        <v>28650</v>
      </c>
      <c r="AB37" s="8">
        <v>88200</v>
      </c>
      <c r="AC37" s="8">
        <v>17850</v>
      </c>
      <c r="AD37" s="8">
        <v>63700</v>
      </c>
      <c r="AE37" s="8">
        <v>322500</v>
      </c>
      <c r="AF37" s="7">
        <v>100500</v>
      </c>
      <c r="AG37" s="7">
        <v>87000</v>
      </c>
      <c r="AH37" s="7">
        <v>22250</v>
      </c>
      <c r="AI37" s="7">
        <v>140500</v>
      </c>
      <c r="AJ37" s="7">
        <v>24300</v>
      </c>
      <c r="AK37" s="8">
        <v>22462</v>
      </c>
      <c r="AL37" s="8">
        <v>59700</v>
      </c>
      <c r="AM37" s="8">
        <v>158500</v>
      </c>
      <c r="AN37" s="8">
        <v>27500</v>
      </c>
      <c r="AO37" s="8">
        <v>25950</v>
      </c>
      <c r="AP37" s="7">
        <v>5140</v>
      </c>
      <c r="AQ37" s="7">
        <v>183000</v>
      </c>
      <c r="AR37" s="7">
        <v>51000</v>
      </c>
      <c r="AS37" s="7">
        <v>12450</v>
      </c>
      <c r="AT37" s="7">
        <v>1532000</v>
      </c>
      <c r="AU37" s="8">
        <v>115000</v>
      </c>
      <c r="AV37" s="8">
        <v>298000</v>
      </c>
      <c r="AW37" s="8">
        <v>12000</v>
      </c>
      <c r="AX37" s="8">
        <v>60900</v>
      </c>
      <c r="AY37" s="8">
        <v>12800</v>
      </c>
      <c r="AZ37" s="7">
        <v>322000</v>
      </c>
      <c r="BA37" s="7">
        <v>31900</v>
      </c>
      <c r="BB37" s="7">
        <v>2830</v>
      </c>
      <c r="BC37" s="7">
        <v>61500</v>
      </c>
      <c r="BD37" s="7">
        <v>50300</v>
      </c>
      <c r="BE37" s="8">
        <v>81300</v>
      </c>
      <c r="BF37" s="8">
        <v>36650</v>
      </c>
      <c r="BG37" s="8">
        <v>30550</v>
      </c>
      <c r="BH37" s="8">
        <v>961000</v>
      </c>
      <c r="BI37" s="8">
        <v>18300</v>
      </c>
      <c r="BJ37" s="7">
        <v>29200</v>
      </c>
      <c r="BK37" s="7">
        <v>20000</v>
      </c>
      <c r="BL37" s="7">
        <v>168500</v>
      </c>
      <c r="BM37" s="7">
        <v>5820</v>
      </c>
      <c r="BN37" s="7">
        <v>10300</v>
      </c>
      <c r="BO37" s="8">
        <v>725000</v>
      </c>
      <c r="BP37" s="8">
        <v>59700</v>
      </c>
      <c r="BQ37" s="8">
        <v>9200</v>
      </c>
      <c r="BR37" s="7">
        <v>31850</v>
      </c>
      <c r="BS37" s="7">
        <v>6250</v>
      </c>
      <c r="BT37" s="7">
        <v>36850</v>
      </c>
      <c r="BU37" s="7">
        <v>10950</v>
      </c>
      <c r="BV37" s="8">
        <v>5030</v>
      </c>
    </row>
    <row r="38" spans="1:74" x14ac:dyDescent="0.4">
      <c r="A38" s="11">
        <v>41425</v>
      </c>
      <c r="B38" s="7">
        <v>319700</v>
      </c>
      <c r="C38" s="7">
        <v>143500</v>
      </c>
      <c r="D38" s="7">
        <v>45750</v>
      </c>
      <c r="E38" s="7">
        <v>58200</v>
      </c>
      <c r="F38" s="7">
        <v>273500</v>
      </c>
      <c r="G38" s="8">
        <v>83800</v>
      </c>
      <c r="H38" s="8">
        <v>17550</v>
      </c>
      <c r="I38" s="8">
        <v>15700</v>
      </c>
      <c r="J38" s="8">
        <v>20000</v>
      </c>
      <c r="K38" s="8">
        <v>13050</v>
      </c>
      <c r="L38" s="7">
        <v>40350</v>
      </c>
      <c r="M38" s="7">
        <v>46300</v>
      </c>
      <c r="N38" s="7">
        <v>11700</v>
      </c>
      <c r="O38" s="7">
        <v>18350</v>
      </c>
      <c r="P38" s="7">
        <v>27000</v>
      </c>
      <c r="Q38" s="8">
        <v>165500</v>
      </c>
      <c r="R38" s="8">
        <v>624000</v>
      </c>
      <c r="S38" s="8">
        <v>198000</v>
      </c>
      <c r="T38" s="8">
        <v>33250</v>
      </c>
      <c r="U38" s="8">
        <v>35500</v>
      </c>
      <c r="V38" s="7">
        <v>72100</v>
      </c>
      <c r="W38" s="7">
        <v>1088000</v>
      </c>
      <c r="X38" s="7">
        <v>43950</v>
      </c>
      <c r="Y38" s="7">
        <v>125500</v>
      </c>
      <c r="Z38" s="7">
        <v>39750</v>
      </c>
      <c r="AA38" s="8">
        <v>28950</v>
      </c>
      <c r="AB38" s="8">
        <v>89000</v>
      </c>
      <c r="AC38" s="8">
        <v>17900</v>
      </c>
      <c r="AD38" s="8">
        <v>62500</v>
      </c>
      <c r="AE38" s="8">
        <v>322000</v>
      </c>
      <c r="AF38" s="7">
        <v>105000</v>
      </c>
      <c r="AG38" s="7">
        <v>87600</v>
      </c>
      <c r="AH38" s="7">
        <v>22600</v>
      </c>
      <c r="AI38" s="7">
        <v>142000</v>
      </c>
      <c r="AJ38" s="7">
        <v>24450</v>
      </c>
      <c r="AK38" s="8">
        <v>22778</v>
      </c>
      <c r="AL38" s="8">
        <v>59300</v>
      </c>
      <c r="AM38" s="8">
        <v>157000</v>
      </c>
      <c r="AN38" s="8">
        <v>27950</v>
      </c>
      <c r="AO38" s="8">
        <v>25750</v>
      </c>
      <c r="AP38" s="7">
        <v>5390</v>
      </c>
      <c r="AQ38" s="7">
        <v>185500</v>
      </c>
      <c r="AR38" s="7">
        <v>54400</v>
      </c>
      <c r="AS38" s="7">
        <v>12450</v>
      </c>
      <c r="AT38" s="7">
        <v>1538000</v>
      </c>
      <c r="AU38" s="8">
        <v>114000</v>
      </c>
      <c r="AV38" s="8">
        <v>305000</v>
      </c>
      <c r="AW38" s="8">
        <v>11550</v>
      </c>
      <c r="AX38" s="8">
        <v>62600</v>
      </c>
      <c r="AY38" s="8">
        <v>12450</v>
      </c>
      <c r="AZ38" s="7">
        <v>327000</v>
      </c>
      <c r="BA38" s="7">
        <v>32200</v>
      </c>
      <c r="BB38" s="7">
        <v>2790</v>
      </c>
      <c r="BC38" s="7">
        <v>61400</v>
      </c>
      <c r="BD38" s="7">
        <v>52400</v>
      </c>
      <c r="BE38" s="8">
        <v>81200</v>
      </c>
      <c r="BF38" s="8">
        <v>36900</v>
      </c>
      <c r="BG38" s="8">
        <v>31200</v>
      </c>
      <c r="BH38" s="8">
        <v>990000</v>
      </c>
      <c r="BI38" s="8">
        <v>18200</v>
      </c>
      <c r="BJ38" s="7">
        <v>29800</v>
      </c>
      <c r="BK38" s="7">
        <v>19900</v>
      </c>
      <c r="BL38" s="7">
        <v>170000</v>
      </c>
      <c r="BM38" s="7">
        <v>5890</v>
      </c>
      <c r="BN38" s="7">
        <v>10550</v>
      </c>
      <c r="BO38" s="8">
        <v>738000</v>
      </c>
      <c r="BP38" s="8">
        <v>59900</v>
      </c>
      <c r="BQ38" s="8">
        <v>9640</v>
      </c>
      <c r="BR38" s="7">
        <v>32700</v>
      </c>
      <c r="BS38" s="7">
        <v>6430</v>
      </c>
      <c r="BT38" s="7">
        <v>37900</v>
      </c>
      <c r="BU38" s="7">
        <v>10900</v>
      </c>
      <c r="BV38" s="8">
        <v>5050</v>
      </c>
    </row>
    <row r="39" spans="1:74" x14ac:dyDescent="0.4">
      <c r="A39" s="73">
        <v>41424</v>
      </c>
      <c r="B39" s="74">
        <v>318000</v>
      </c>
      <c r="C39" s="74">
        <v>138000</v>
      </c>
      <c r="D39" s="74">
        <v>46600</v>
      </c>
      <c r="E39" s="74">
        <v>56900</v>
      </c>
      <c r="F39" s="74">
        <v>262500</v>
      </c>
      <c r="G39" s="75">
        <v>85100</v>
      </c>
      <c r="H39" s="75">
        <v>17700</v>
      </c>
      <c r="I39" s="75">
        <v>16000</v>
      </c>
      <c r="J39" s="75">
        <v>20800</v>
      </c>
      <c r="K39" s="75">
        <v>12850</v>
      </c>
      <c r="L39" s="74">
        <v>38600</v>
      </c>
      <c r="M39" s="74">
        <v>48250</v>
      </c>
      <c r="N39" s="74">
        <v>11550</v>
      </c>
      <c r="O39" s="74">
        <v>18300</v>
      </c>
      <c r="P39" s="74">
        <v>27600</v>
      </c>
      <c r="Q39" s="75">
        <v>162500</v>
      </c>
      <c r="R39" s="75">
        <v>643000</v>
      </c>
      <c r="S39" s="75">
        <v>197000</v>
      </c>
      <c r="T39" s="75">
        <v>34350</v>
      </c>
      <c r="U39" s="75">
        <v>34450</v>
      </c>
      <c r="V39" s="74">
        <v>73000</v>
      </c>
      <c r="W39" s="74">
        <v>1075000</v>
      </c>
      <c r="X39" s="74">
        <v>43200</v>
      </c>
      <c r="Y39" s="74">
        <v>122000</v>
      </c>
      <c r="Z39" s="74">
        <v>38750</v>
      </c>
      <c r="AA39" s="75">
        <v>28200</v>
      </c>
      <c r="AB39" s="75">
        <v>93000</v>
      </c>
      <c r="AC39" s="75">
        <v>18250</v>
      </c>
      <c r="AD39" s="75">
        <v>63000</v>
      </c>
      <c r="AE39" s="75">
        <v>324500</v>
      </c>
      <c r="AF39" s="74">
        <v>104000</v>
      </c>
      <c r="AG39" s="74">
        <v>86900</v>
      </c>
      <c r="AH39" s="74">
        <v>22700</v>
      </c>
      <c r="AI39" s="74">
        <v>141500</v>
      </c>
      <c r="AJ39" s="74">
        <v>24900</v>
      </c>
      <c r="AK39" s="75">
        <v>22884</v>
      </c>
      <c r="AL39" s="75">
        <v>59200</v>
      </c>
      <c r="AM39" s="75">
        <v>159500</v>
      </c>
      <c r="AN39" s="75">
        <v>27600</v>
      </c>
      <c r="AO39" s="75">
        <v>25150</v>
      </c>
      <c r="AP39" s="74">
        <v>5250</v>
      </c>
      <c r="AQ39" s="74">
        <v>187500</v>
      </c>
      <c r="AR39" s="74">
        <v>53700</v>
      </c>
      <c r="AS39" s="74">
        <v>12600</v>
      </c>
      <c r="AT39" s="74">
        <v>1544000</v>
      </c>
      <c r="AU39" s="75">
        <v>117500</v>
      </c>
      <c r="AV39" s="75">
        <v>307000</v>
      </c>
      <c r="AW39" s="75">
        <v>11800</v>
      </c>
      <c r="AX39" s="75">
        <v>64300</v>
      </c>
      <c r="AY39" s="75">
        <v>12550</v>
      </c>
      <c r="AZ39" s="74">
        <v>310000</v>
      </c>
      <c r="BA39" s="74">
        <v>31850</v>
      </c>
      <c r="BB39" s="74">
        <v>2795</v>
      </c>
      <c r="BC39" s="74">
        <v>61100</v>
      </c>
      <c r="BD39" s="74">
        <v>52900</v>
      </c>
      <c r="BE39" s="75">
        <v>81000</v>
      </c>
      <c r="BF39" s="75">
        <v>36150</v>
      </c>
      <c r="BG39" s="75">
        <v>30750</v>
      </c>
      <c r="BH39" s="75">
        <v>987000</v>
      </c>
      <c r="BI39" s="75">
        <v>18600</v>
      </c>
      <c r="BJ39" s="74">
        <v>30000</v>
      </c>
      <c r="BK39" s="74">
        <v>19450</v>
      </c>
      <c r="BL39" s="74">
        <v>168500</v>
      </c>
      <c r="BM39" s="74">
        <v>5760</v>
      </c>
      <c r="BN39" s="74">
        <v>10650</v>
      </c>
      <c r="BO39" s="75">
        <v>740000</v>
      </c>
      <c r="BP39" s="75">
        <v>59900</v>
      </c>
      <c r="BQ39" s="75">
        <v>9330</v>
      </c>
      <c r="BR39" s="74">
        <v>32700</v>
      </c>
      <c r="BS39" s="74">
        <v>6740</v>
      </c>
      <c r="BT39" s="74">
        <v>37300</v>
      </c>
      <c r="BU39" s="74">
        <v>11000</v>
      </c>
      <c r="BV39" s="75">
        <v>5060</v>
      </c>
    </row>
    <row r="40" spans="1:74" x14ac:dyDescent="0.4">
      <c r="A40" s="11">
        <v>41423</v>
      </c>
      <c r="B40" s="7">
        <v>322000</v>
      </c>
      <c r="C40" s="7">
        <v>136000</v>
      </c>
      <c r="D40" s="7">
        <v>47500</v>
      </c>
      <c r="E40" s="7">
        <v>57700</v>
      </c>
      <c r="F40" s="7">
        <v>259000</v>
      </c>
      <c r="G40" s="8">
        <v>82900</v>
      </c>
      <c r="H40" s="8">
        <v>18050</v>
      </c>
      <c r="I40" s="8">
        <v>16250</v>
      </c>
      <c r="J40" s="8">
        <v>21000</v>
      </c>
      <c r="K40" s="8">
        <v>13150</v>
      </c>
      <c r="L40" s="7">
        <v>39350</v>
      </c>
      <c r="M40" s="7">
        <v>49500</v>
      </c>
      <c r="N40" s="7">
        <v>11700</v>
      </c>
      <c r="O40" s="7">
        <v>18400</v>
      </c>
      <c r="P40" s="7">
        <v>28350</v>
      </c>
      <c r="Q40" s="8">
        <v>164000</v>
      </c>
      <c r="R40" s="8">
        <v>648000</v>
      </c>
      <c r="S40" s="8">
        <v>199500</v>
      </c>
      <c r="T40" s="8">
        <v>33550</v>
      </c>
      <c r="U40" s="8">
        <v>35400</v>
      </c>
      <c r="V40" s="7">
        <v>74600</v>
      </c>
      <c r="W40" s="7">
        <v>1101000</v>
      </c>
      <c r="X40" s="7">
        <v>45000</v>
      </c>
      <c r="Y40" s="7">
        <v>125000</v>
      </c>
      <c r="Z40" s="7">
        <v>39400</v>
      </c>
      <c r="AA40" s="8">
        <v>28050</v>
      </c>
      <c r="AB40" s="8">
        <v>93000</v>
      </c>
      <c r="AC40" s="8">
        <v>18700</v>
      </c>
      <c r="AD40" s="8">
        <v>63200</v>
      </c>
      <c r="AE40" s="8">
        <v>324500</v>
      </c>
      <c r="AF40" s="7">
        <v>106000</v>
      </c>
      <c r="AG40" s="7">
        <v>87500</v>
      </c>
      <c r="AH40" s="7">
        <v>23050</v>
      </c>
      <c r="AI40" s="7">
        <v>143000</v>
      </c>
      <c r="AJ40" s="7">
        <v>25700</v>
      </c>
      <c r="AK40" s="8">
        <v>22857</v>
      </c>
      <c r="AL40" s="8">
        <v>59300</v>
      </c>
      <c r="AM40" s="8">
        <v>162000</v>
      </c>
      <c r="AN40" s="8">
        <v>27900</v>
      </c>
      <c r="AO40" s="8">
        <v>25100</v>
      </c>
      <c r="AP40" s="7">
        <v>5050</v>
      </c>
      <c r="AQ40" s="7">
        <v>189500</v>
      </c>
      <c r="AR40" s="7">
        <v>54700</v>
      </c>
      <c r="AS40" s="7">
        <v>12450</v>
      </c>
      <c r="AT40" s="7">
        <v>1512000</v>
      </c>
      <c r="AU40" s="8">
        <v>118500</v>
      </c>
      <c r="AV40" s="8">
        <v>318000</v>
      </c>
      <c r="AW40" s="8">
        <v>12050</v>
      </c>
      <c r="AX40" s="8">
        <v>64500</v>
      </c>
      <c r="AY40" s="8">
        <v>13200</v>
      </c>
      <c r="AZ40" s="7">
        <v>312500</v>
      </c>
      <c r="BA40" s="7">
        <v>32000</v>
      </c>
      <c r="BB40" s="7">
        <v>2800</v>
      </c>
      <c r="BC40" s="7">
        <v>60800</v>
      </c>
      <c r="BD40" s="7">
        <v>54100</v>
      </c>
      <c r="BE40" s="8">
        <v>82300</v>
      </c>
      <c r="BF40" s="8">
        <v>37100</v>
      </c>
      <c r="BG40" s="8">
        <v>31550</v>
      </c>
      <c r="BH40" s="8">
        <v>943000</v>
      </c>
      <c r="BI40" s="8">
        <v>19200</v>
      </c>
      <c r="BJ40" s="7">
        <v>30500</v>
      </c>
      <c r="BK40" s="7">
        <v>20150</v>
      </c>
      <c r="BL40" s="7">
        <v>172500</v>
      </c>
      <c r="BM40" s="7">
        <v>5870</v>
      </c>
      <c r="BN40" s="7">
        <v>11000</v>
      </c>
      <c r="BO40" s="8">
        <v>740000</v>
      </c>
      <c r="BP40" s="8">
        <v>60300</v>
      </c>
      <c r="BQ40" s="8">
        <v>9870</v>
      </c>
      <c r="BR40" s="7">
        <v>34000</v>
      </c>
      <c r="BS40" s="7">
        <v>6820</v>
      </c>
      <c r="BT40" s="7">
        <v>39300</v>
      </c>
      <c r="BU40" s="7">
        <v>11450</v>
      </c>
      <c r="BV40" s="8">
        <v>4990</v>
      </c>
    </row>
    <row r="41" spans="1:74" x14ac:dyDescent="0.4">
      <c r="A41" s="11">
        <v>41422</v>
      </c>
      <c r="B41" s="7">
        <v>325000</v>
      </c>
      <c r="C41" s="7">
        <v>130000</v>
      </c>
      <c r="D41" s="7">
        <v>47500</v>
      </c>
      <c r="E41" s="7">
        <v>58700</v>
      </c>
      <c r="F41" s="7">
        <v>259000</v>
      </c>
      <c r="G41" s="8">
        <v>83300</v>
      </c>
      <c r="H41" s="8">
        <v>19000</v>
      </c>
      <c r="I41" s="8">
        <v>16050</v>
      </c>
      <c r="J41" s="8">
        <v>21200</v>
      </c>
      <c r="K41" s="8">
        <v>12950</v>
      </c>
      <c r="L41" s="7">
        <v>39150</v>
      </c>
      <c r="M41" s="7">
        <v>49100</v>
      </c>
      <c r="N41" s="7">
        <v>12150</v>
      </c>
      <c r="O41" s="7">
        <v>18550</v>
      </c>
      <c r="P41" s="7">
        <v>27600</v>
      </c>
      <c r="Q41" s="8">
        <v>164000</v>
      </c>
      <c r="R41" s="8">
        <v>647000</v>
      </c>
      <c r="S41" s="8">
        <v>200500</v>
      </c>
      <c r="T41" s="8">
        <v>33750</v>
      </c>
      <c r="U41" s="8">
        <v>35750</v>
      </c>
      <c r="V41" s="7">
        <v>73900</v>
      </c>
      <c r="W41" s="7">
        <v>1111000</v>
      </c>
      <c r="X41" s="7">
        <v>45400</v>
      </c>
      <c r="Y41" s="7">
        <v>124500</v>
      </c>
      <c r="Z41" s="7">
        <v>39200</v>
      </c>
      <c r="AA41" s="8">
        <v>28000</v>
      </c>
      <c r="AB41" s="8">
        <v>89000</v>
      </c>
      <c r="AC41" s="8">
        <v>18450</v>
      </c>
      <c r="AD41" s="8">
        <v>64800</v>
      </c>
      <c r="AE41" s="8">
        <v>324000</v>
      </c>
      <c r="AF41" s="7">
        <v>107500</v>
      </c>
      <c r="AG41" s="7">
        <v>87400</v>
      </c>
      <c r="AH41" s="7">
        <v>23150</v>
      </c>
      <c r="AI41" s="7">
        <v>141000</v>
      </c>
      <c r="AJ41" s="7">
        <v>25450</v>
      </c>
      <c r="AK41" s="8">
        <v>21751</v>
      </c>
      <c r="AL41" s="8">
        <v>57700</v>
      </c>
      <c r="AM41" s="8">
        <v>168500</v>
      </c>
      <c r="AN41" s="8">
        <v>27250</v>
      </c>
      <c r="AO41" s="8">
        <v>25100</v>
      </c>
      <c r="AP41" s="7">
        <v>4940</v>
      </c>
      <c r="AQ41" s="7">
        <v>187000</v>
      </c>
      <c r="AR41" s="7">
        <v>55800</v>
      </c>
      <c r="AS41" s="7">
        <v>12450</v>
      </c>
      <c r="AT41" s="7">
        <v>1484000</v>
      </c>
      <c r="AU41" s="8">
        <v>117500</v>
      </c>
      <c r="AV41" s="8">
        <v>315000</v>
      </c>
      <c r="AW41" s="8">
        <v>12050</v>
      </c>
      <c r="AX41" s="8">
        <v>64200</v>
      </c>
      <c r="AY41" s="8">
        <v>13400</v>
      </c>
      <c r="AZ41" s="7">
        <v>316000</v>
      </c>
      <c r="BA41" s="7">
        <v>31400</v>
      </c>
      <c r="BB41" s="7">
        <v>2685</v>
      </c>
      <c r="BC41" s="7">
        <v>59400</v>
      </c>
      <c r="BD41" s="7">
        <v>54300</v>
      </c>
      <c r="BE41" s="8">
        <v>81900</v>
      </c>
      <c r="BF41" s="8">
        <v>36600</v>
      </c>
      <c r="BG41" s="8">
        <v>31000</v>
      </c>
      <c r="BH41" s="8">
        <v>937000</v>
      </c>
      <c r="BI41" s="8">
        <v>19350</v>
      </c>
      <c r="BJ41" s="7">
        <v>30100</v>
      </c>
      <c r="BK41" s="7">
        <v>20000</v>
      </c>
      <c r="BL41" s="7">
        <v>173000</v>
      </c>
      <c r="BM41" s="7">
        <v>6050</v>
      </c>
      <c r="BN41" s="7">
        <v>11100</v>
      </c>
      <c r="BO41" s="8">
        <v>723000</v>
      </c>
      <c r="BP41" s="8">
        <v>60200</v>
      </c>
      <c r="BQ41" s="8">
        <v>9840</v>
      </c>
      <c r="BR41" s="7">
        <v>34200</v>
      </c>
      <c r="BS41" s="7">
        <v>6800</v>
      </c>
      <c r="BT41" s="7">
        <v>38550</v>
      </c>
      <c r="BU41" s="7">
        <v>11500</v>
      </c>
      <c r="BV41" s="8">
        <v>4815</v>
      </c>
    </row>
    <row r="42" spans="1:74" x14ac:dyDescent="0.4">
      <c r="A42" s="11">
        <v>41421</v>
      </c>
      <c r="B42" s="7">
        <v>308800</v>
      </c>
      <c r="C42" s="7">
        <v>129500</v>
      </c>
      <c r="D42" s="7">
        <v>48050</v>
      </c>
      <c r="E42" s="7">
        <v>55300</v>
      </c>
      <c r="F42" s="7">
        <v>256000</v>
      </c>
      <c r="G42" s="8">
        <v>83000</v>
      </c>
      <c r="H42" s="8">
        <v>18750</v>
      </c>
      <c r="I42" s="8">
        <v>15800</v>
      </c>
      <c r="J42" s="8">
        <v>20800</v>
      </c>
      <c r="K42" s="8">
        <v>12900</v>
      </c>
      <c r="L42" s="7">
        <v>39600</v>
      </c>
      <c r="M42" s="7">
        <v>48550</v>
      </c>
      <c r="N42" s="7">
        <v>11950</v>
      </c>
      <c r="O42" s="7">
        <v>18750</v>
      </c>
      <c r="P42" s="7">
        <v>26900</v>
      </c>
      <c r="Q42" s="8">
        <v>162000</v>
      </c>
      <c r="R42" s="8">
        <v>643000</v>
      </c>
      <c r="S42" s="8">
        <v>201000</v>
      </c>
      <c r="T42" s="8">
        <v>33850</v>
      </c>
      <c r="U42" s="8">
        <v>35850</v>
      </c>
      <c r="V42" s="7">
        <v>74100</v>
      </c>
      <c r="W42" s="7">
        <v>1105000</v>
      </c>
      <c r="X42" s="7">
        <v>45500</v>
      </c>
      <c r="Y42" s="7">
        <v>121000</v>
      </c>
      <c r="Z42" s="7">
        <v>37500</v>
      </c>
      <c r="AA42" s="8">
        <v>27200</v>
      </c>
      <c r="AB42" s="8">
        <v>87500</v>
      </c>
      <c r="AC42" s="8">
        <v>18400</v>
      </c>
      <c r="AD42" s="8">
        <v>62500</v>
      </c>
      <c r="AE42" s="8">
        <v>325000</v>
      </c>
      <c r="AF42" s="7">
        <v>103500</v>
      </c>
      <c r="AG42" s="7">
        <v>87300</v>
      </c>
      <c r="AH42" s="7">
        <v>22650</v>
      </c>
      <c r="AI42" s="7">
        <v>140000</v>
      </c>
      <c r="AJ42" s="7">
        <v>24650</v>
      </c>
      <c r="AK42" s="8">
        <v>21514</v>
      </c>
      <c r="AL42" s="8">
        <v>58400</v>
      </c>
      <c r="AM42" s="8">
        <v>169500</v>
      </c>
      <c r="AN42" s="8">
        <v>27500</v>
      </c>
      <c r="AO42" s="8">
        <v>24900</v>
      </c>
      <c r="AP42" s="7">
        <v>4890</v>
      </c>
      <c r="AQ42" s="7">
        <v>188000</v>
      </c>
      <c r="AR42" s="7">
        <v>53500</v>
      </c>
      <c r="AS42" s="7">
        <v>12450</v>
      </c>
      <c r="AT42" s="7">
        <v>1489000</v>
      </c>
      <c r="AU42" s="8">
        <v>118000</v>
      </c>
      <c r="AV42" s="8">
        <v>312000</v>
      </c>
      <c r="AW42" s="8">
        <v>12350</v>
      </c>
      <c r="AX42" s="8">
        <v>64300</v>
      </c>
      <c r="AY42" s="8">
        <v>13050</v>
      </c>
      <c r="AZ42" s="7">
        <v>310000</v>
      </c>
      <c r="BA42" s="7">
        <v>31400</v>
      </c>
      <c r="BB42" s="7">
        <v>2610</v>
      </c>
      <c r="BC42" s="7">
        <v>59400</v>
      </c>
      <c r="BD42" s="7">
        <v>52200</v>
      </c>
      <c r="BE42" s="8">
        <v>82500</v>
      </c>
      <c r="BF42" s="8">
        <v>35800</v>
      </c>
      <c r="BG42" s="8">
        <v>30700</v>
      </c>
      <c r="BH42" s="8">
        <v>936000</v>
      </c>
      <c r="BI42" s="8">
        <v>19100</v>
      </c>
      <c r="BJ42" s="7">
        <v>29000</v>
      </c>
      <c r="BK42" s="7">
        <v>20200</v>
      </c>
      <c r="BL42" s="7">
        <v>167000</v>
      </c>
      <c r="BM42" s="7">
        <v>6030</v>
      </c>
      <c r="BN42" s="7">
        <v>10600</v>
      </c>
      <c r="BO42" s="8">
        <v>705000</v>
      </c>
      <c r="BP42" s="8">
        <v>60300</v>
      </c>
      <c r="BQ42" s="8">
        <v>9860</v>
      </c>
      <c r="BR42" s="7">
        <v>33850</v>
      </c>
      <c r="BS42" s="7">
        <v>6600</v>
      </c>
      <c r="BT42" s="7">
        <v>38450</v>
      </c>
      <c r="BU42" s="7">
        <v>11450</v>
      </c>
      <c r="BV42" s="8">
        <v>4825</v>
      </c>
    </row>
    <row r="43" spans="1:74" x14ac:dyDescent="0.4">
      <c r="A43" s="11">
        <v>41418</v>
      </c>
      <c r="B43" s="7">
        <v>317000</v>
      </c>
      <c r="C43" s="7">
        <v>127000</v>
      </c>
      <c r="D43" s="7">
        <v>49100</v>
      </c>
      <c r="E43" s="7">
        <v>56200</v>
      </c>
      <c r="F43" s="7">
        <v>259500</v>
      </c>
      <c r="G43" s="8">
        <v>83700</v>
      </c>
      <c r="H43" s="8">
        <v>18050</v>
      </c>
      <c r="I43" s="8">
        <v>15700</v>
      </c>
      <c r="J43" s="8">
        <v>21000</v>
      </c>
      <c r="K43" s="8">
        <v>12950</v>
      </c>
      <c r="L43" s="7">
        <v>41250</v>
      </c>
      <c r="M43" s="7">
        <v>49050</v>
      </c>
      <c r="N43" s="7">
        <v>12100</v>
      </c>
      <c r="O43" s="7">
        <v>17400</v>
      </c>
      <c r="P43" s="7">
        <v>26350</v>
      </c>
      <c r="Q43" s="8">
        <v>164000</v>
      </c>
      <c r="R43" s="8">
        <v>634000</v>
      </c>
      <c r="S43" s="8">
        <v>200000</v>
      </c>
      <c r="T43" s="8">
        <v>33350</v>
      </c>
      <c r="U43" s="8">
        <v>34600</v>
      </c>
      <c r="V43" s="7">
        <v>74600</v>
      </c>
      <c r="W43" s="7">
        <v>1056000</v>
      </c>
      <c r="X43" s="7">
        <v>47350</v>
      </c>
      <c r="Y43" s="7">
        <v>124000</v>
      </c>
      <c r="Z43" s="7">
        <v>37750</v>
      </c>
      <c r="AA43" s="8">
        <v>27200</v>
      </c>
      <c r="AB43" s="8">
        <v>91700</v>
      </c>
      <c r="AC43" s="8">
        <v>18400</v>
      </c>
      <c r="AD43" s="8">
        <v>63000</v>
      </c>
      <c r="AE43" s="8">
        <v>326000</v>
      </c>
      <c r="AF43" s="7">
        <v>104000</v>
      </c>
      <c r="AG43" s="7">
        <v>87300</v>
      </c>
      <c r="AH43" s="7">
        <v>22800</v>
      </c>
      <c r="AI43" s="7">
        <v>139000</v>
      </c>
      <c r="AJ43" s="7">
        <v>24600</v>
      </c>
      <c r="AK43" s="8">
        <v>21198</v>
      </c>
      <c r="AL43" s="8">
        <v>57700</v>
      </c>
      <c r="AM43" s="8">
        <v>167500</v>
      </c>
      <c r="AN43" s="8">
        <v>26250</v>
      </c>
      <c r="AO43" s="8">
        <v>24200</v>
      </c>
      <c r="AP43" s="7">
        <v>4850</v>
      </c>
      <c r="AQ43" s="7">
        <v>187000</v>
      </c>
      <c r="AR43" s="7">
        <v>54000</v>
      </c>
      <c r="AS43" s="7">
        <v>12400</v>
      </c>
      <c r="AT43" s="7">
        <v>1486000</v>
      </c>
      <c r="AU43" s="8">
        <v>118500</v>
      </c>
      <c r="AV43" s="8">
        <v>313000</v>
      </c>
      <c r="AW43" s="8">
        <v>12300</v>
      </c>
      <c r="AX43" s="8">
        <v>63300</v>
      </c>
      <c r="AY43" s="8">
        <v>12900</v>
      </c>
      <c r="AZ43" s="7">
        <v>310000</v>
      </c>
      <c r="BA43" s="7">
        <v>31400</v>
      </c>
      <c r="BB43" s="7">
        <v>2560</v>
      </c>
      <c r="BC43" s="7">
        <v>59500</v>
      </c>
      <c r="BD43" s="7">
        <v>53100</v>
      </c>
      <c r="BE43" s="8">
        <v>80000</v>
      </c>
      <c r="BF43" s="8">
        <v>35350</v>
      </c>
      <c r="BG43" s="8">
        <v>30700</v>
      </c>
      <c r="BH43" s="8">
        <v>937000</v>
      </c>
      <c r="BI43" s="8">
        <v>18700</v>
      </c>
      <c r="BJ43" s="7">
        <v>29050</v>
      </c>
      <c r="BK43" s="7">
        <v>20000</v>
      </c>
      <c r="BL43" s="7">
        <v>167000</v>
      </c>
      <c r="BM43" s="7">
        <v>5950</v>
      </c>
      <c r="BN43" s="7">
        <v>10750</v>
      </c>
      <c r="BO43" s="8">
        <v>698000</v>
      </c>
      <c r="BP43" s="8">
        <v>61100</v>
      </c>
      <c r="BQ43" s="8">
        <v>9080</v>
      </c>
      <c r="BR43" s="7">
        <v>32000</v>
      </c>
      <c r="BS43" s="7">
        <v>6370</v>
      </c>
      <c r="BT43" s="7">
        <v>39500</v>
      </c>
      <c r="BU43" s="7">
        <v>11400</v>
      </c>
      <c r="BV43" s="8">
        <v>4825</v>
      </c>
    </row>
    <row r="44" spans="1:74" x14ac:dyDescent="0.4">
      <c r="A44" s="73">
        <v>41417</v>
      </c>
      <c r="B44" s="74">
        <v>318500</v>
      </c>
      <c r="C44" s="74">
        <v>126500</v>
      </c>
      <c r="D44" s="74">
        <v>49200</v>
      </c>
      <c r="E44" s="74">
        <v>56300</v>
      </c>
      <c r="F44" s="74">
        <v>265500</v>
      </c>
      <c r="G44" s="75">
        <v>83600</v>
      </c>
      <c r="H44" s="75">
        <v>17800</v>
      </c>
      <c r="I44" s="75">
        <v>15200</v>
      </c>
      <c r="J44" s="75">
        <v>20900</v>
      </c>
      <c r="K44" s="75">
        <v>13200</v>
      </c>
      <c r="L44" s="74">
        <v>40300</v>
      </c>
      <c r="M44" s="74">
        <v>48800</v>
      </c>
      <c r="N44" s="74">
        <v>12300</v>
      </c>
      <c r="O44" s="74">
        <v>16100</v>
      </c>
      <c r="P44" s="74">
        <v>26050</v>
      </c>
      <c r="Q44" s="75">
        <v>169000</v>
      </c>
      <c r="R44" s="75">
        <v>640000</v>
      </c>
      <c r="S44" s="75">
        <v>201000</v>
      </c>
      <c r="T44" s="75">
        <v>33200</v>
      </c>
      <c r="U44" s="75">
        <v>34500</v>
      </c>
      <c r="V44" s="74">
        <v>75200</v>
      </c>
      <c r="W44" s="74">
        <v>1068000</v>
      </c>
      <c r="X44" s="74">
        <v>46950</v>
      </c>
      <c r="Y44" s="74">
        <v>123500</v>
      </c>
      <c r="Z44" s="74">
        <v>38900</v>
      </c>
      <c r="AA44" s="75">
        <v>26700</v>
      </c>
      <c r="AB44" s="75">
        <v>96500</v>
      </c>
      <c r="AC44" s="75">
        <v>17800</v>
      </c>
      <c r="AD44" s="75">
        <v>62800</v>
      </c>
      <c r="AE44" s="75">
        <v>325000</v>
      </c>
      <c r="AF44" s="74">
        <v>105500</v>
      </c>
      <c r="AG44" s="74">
        <v>87700</v>
      </c>
      <c r="AH44" s="74">
        <v>22600</v>
      </c>
      <c r="AI44" s="74">
        <v>138000</v>
      </c>
      <c r="AJ44" s="74">
        <v>25000</v>
      </c>
      <c r="AK44" s="75">
        <v>20540</v>
      </c>
      <c r="AL44" s="75">
        <v>57300</v>
      </c>
      <c r="AM44" s="75">
        <v>166000</v>
      </c>
      <c r="AN44" s="75">
        <v>25400</v>
      </c>
      <c r="AO44" s="75">
        <v>24850</v>
      </c>
      <c r="AP44" s="74">
        <v>4825</v>
      </c>
      <c r="AQ44" s="74">
        <v>186000</v>
      </c>
      <c r="AR44" s="74">
        <v>56800</v>
      </c>
      <c r="AS44" s="74">
        <v>12200</v>
      </c>
      <c r="AT44" s="74">
        <v>1484000</v>
      </c>
      <c r="AU44" s="75">
        <v>115500</v>
      </c>
      <c r="AV44" s="75">
        <v>309000</v>
      </c>
      <c r="AW44" s="75">
        <v>12400</v>
      </c>
      <c r="AX44" s="75">
        <v>63400</v>
      </c>
      <c r="AY44" s="75">
        <v>12850</v>
      </c>
      <c r="AZ44" s="74">
        <v>310000</v>
      </c>
      <c r="BA44" s="74">
        <v>31400</v>
      </c>
      <c r="BB44" s="74">
        <v>2630</v>
      </c>
      <c r="BC44" s="74">
        <v>59100</v>
      </c>
      <c r="BD44" s="74">
        <v>53000</v>
      </c>
      <c r="BE44" s="75">
        <v>80400</v>
      </c>
      <c r="BF44" s="75">
        <v>35950</v>
      </c>
      <c r="BG44" s="75">
        <v>30000</v>
      </c>
      <c r="BH44" s="75">
        <v>946000</v>
      </c>
      <c r="BI44" s="75">
        <v>18450</v>
      </c>
      <c r="BJ44" s="74">
        <v>29050</v>
      </c>
      <c r="BK44" s="74">
        <v>20450</v>
      </c>
      <c r="BL44" s="74">
        <v>163500</v>
      </c>
      <c r="BM44" s="74">
        <v>5830</v>
      </c>
      <c r="BN44" s="74">
        <v>10850</v>
      </c>
      <c r="BO44" s="75">
        <v>707000</v>
      </c>
      <c r="BP44" s="75">
        <v>62000</v>
      </c>
      <c r="BQ44" s="75">
        <v>8800</v>
      </c>
      <c r="BR44" s="74">
        <v>31200</v>
      </c>
      <c r="BS44" s="74">
        <v>6370</v>
      </c>
      <c r="BT44" s="74">
        <v>36900</v>
      </c>
      <c r="BU44" s="74">
        <v>10750</v>
      </c>
      <c r="BV44" s="75">
        <v>4645</v>
      </c>
    </row>
    <row r="45" spans="1:74" x14ac:dyDescent="0.4">
      <c r="A45" s="11">
        <v>41416</v>
      </c>
      <c r="B45" s="7">
        <v>316500</v>
      </c>
      <c r="C45" s="7">
        <v>128500</v>
      </c>
      <c r="D45" s="7">
        <v>49150</v>
      </c>
      <c r="E45" s="7">
        <v>58100</v>
      </c>
      <c r="F45" s="7">
        <v>275500</v>
      </c>
      <c r="G45" s="8">
        <v>83000</v>
      </c>
      <c r="H45" s="8">
        <v>17300</v>
      </c>
      <c r="I45" s="8">
        <v>15550</v>
      </c>
      <c r="J45" s="8">
        <v>21600</v>
      </c>
      <c r="K45" s="8">
        <v>13900</v>
      </c>
      <c r="L45" s="7">
        <v>40700</v>
      </c>
      <c r="M45" s="7">
        <v>48300</v>
      </c>
      <c r="N45" s="7">
        <v>11700</v>
      </c>
      <c r="O45" s="7">
        <v>16550</v>
      </c>
      <c r="P45" s="7">
        <v>26750</v>
      </c>
      <c r="Q45" s="8">
        <v>176500</v>
      </c>
      <c r="R45" s="8">
        <v>635000</v>
      </c>
      <c r="S45" s="8">
        <v>207000</v>
      </c>
      <c r="T45" s="8">
        <v>32250</v>
      </c>
      <c r="U45" s="8">
        <v>33700</v>
      </c>
      <c r="V45" s="7">
        <v>76900</v>
      </c>
      <c r="W45" s="7">
        <v>1086000</v>
      </c>
      <c r="X45" s="7">
        <v>47000</v>
      </c>
      <c r="Y45" s="7">
        <v>122500</v>
      </c>
      <c r="Z45" s="7">
        <v>37250</v>
      </c>
      <c r="AA45" s="8">
        <v>27400</v>
      </c>
      <c r="AB45" s="8">
        <v>97900</v>
      </c>
      <c r="AC45" s="8">
        <v>18250</v>
      </c>
      <c r="AD45" s="8">
        <v>62500</v>
      </c>
      <c r="AE45" s="8">
        <v>326000</v>
      </c>
      <c r="AF45" s="7">
        <v>107000</v>
      </c>
      <c r="AG45" s="7">
        <v>88900</v>
      </c>
      <c r="AH45" s="7">
        <v>23250</v>
      </c>
      <c r="AI45" s="7">
        <v>137000</v>
      </c>
      <c r="AJ45" s="7">
        <v>25000</v>
      </c>
      <c r="AK45" s="8">
        <v>20593</v>
      </c>
      <c r="AL45" s="8">
        <v>57100</v>
      </c>
      <c r="AM45" s="8">
        <v>173500</v>
      </c>
      <c r="AN45" s="8">
        <v>25200</v>
      </c>
      <c r="AO45" s="8">
        <v>25600</v>
      </c>
      <c r="AP45" s="7">
        <v>4840</v>
      </c>
      <c r="AQ45" s="7">
        <v>188500</v>
      </c>
      <c r="AR45" s="7">
        <v>57400</v>
      </c>
      <c r="AS45" s="7">
        <v>12500</v>
      </c>
      <c r="AT45" s="7">
        <v>1509000</v>
      </c>
      <c r="AU45" s="8">
        <v>119500</v>
      </c>
      <c r="AV45" s="8">
        <v>317000</v>
      </c>
      <c r="AW45" s="8">
        <v>11750</v>
      </c>
      <c r="AX45" s="8">
        <v>63000</v>
      </c>
      <c r="AY45" s="8">
        <v>12800</v>
      </c>
      <c r="AZ45" s="7">
        <v>319500</v>
      </c>
      <c r="BA45" s="7">
        <v>31300</v>
      </c>
      <c r="BB45" s="7">
        <v>2710</v>
      </c>
      <c r="BC45" s="7">
        <v>60900</v>
      </c>
      <c r="BD45" s="7">
        <v>55300</v>
      </c>
      <c r="BE45" s="8">
        <v>83400</v>
      </c>
      <c r="BF45" s="8">
        <v>37000</v>
      </c>
      <c r="BG45" s="8">
        <v>31300</v>
      </c>
      <c r="BH45" s="8">
        <v>961000</v>
      </c>
      <c r="BI45" s="8">
        <v>19200</v>
      </c>
      <c r="BJ45" s="7">
        <v>30200</v>
      </c>
      <c r="BK45" s="7">
        <v>20500</v>
      </c>
      <c r="BL45" s="7">
        <v>165000</v>
      </c>
      <c r="BM45" s="7">
        <v>5720</v>
      </c>
      <c r="BN45" s="7">
        <v>10950</v>
      </c>
      <c r="BO45" s="8">
        <v>720000</v>
      </c>
      <c r="BP45" s="8">
        <v>63300</v>
      </c>
      <c r="BQ45" s="8">
        <v>8610</v>
      </c>
      <c r="BR45" s="7">
        <v>32950</v>
      </c>
      <c r="BS45" s="7">
        <v>6450</v>
      </c>
      <c r="BT45" s="7">
        <v>40800</v>
      </c>
      <c r="BU45" s="7">
        <v>11050</v>
      </c>
      <c r="BV45" s="8">
        <v>4700</v>
      </c>
    </row>
    <row r="46" spans="1:74" x14ac:dyDescent="0.4">
      <c r="A46" s="11">
        <v>41415</v>
      </c>
      <c r="B46" s="7">
        <v>321900</v>
      </c>
      <c r="C46" s="7">
        <v>128500</v>
      </c>
      <c r="D46" s="7">
        <v>49550</v>
      </c>
      <c r="E46" s="7">
        <v>58400</v>
      </c>
      <c r="F46" s="7">
        <v>277000</v>
      </c>
      <c r="G46" s="8">
        <v>83000</v>
      </c>
      <c r="H46" s="8">
        <v>16700</v>
      </c>
      <c r="I46" s="8">
        <v>15150</v>
      </c>
      <c r="J46" s="8">
        <v>21500</v>
      </c>
      <c r="K46" s="8">
        <v>13850</v>
      </c>
      <c r="L46" s="7">
        <v>40600</v>
      </c>
      <c r="M46" s="7">
        <v>47250</v>
      </c>
      <c r="N46" s="7">
        <v>11950</v>
      </c>
      <c r="O46" s="7">
        <v>16500</v>
      </c>
      <c r="P46" s="7">
        <v>26450</v>
      </c>
      <c r="Q46" s="8">
        <v>176000</v>
      </c>
      <c r="R46" s="8">
        <v>632000</v>
      </c>
      <c r="S46" s="8">
        <v>206000</v>
      </c>
      <c r="T46" s="8">
        <v>31800</v>
      </c>
      <c r="U46" s="8">
        <v>34350</v>
      </c>
      <c r="V46" s="7">
        <v>75600</v>
      </c>
      <c r="W46" s="7">
        <v>1093000</v>
      </c>
      <c r="X46" s="7">
        <v>52000</v>
      </c>
      <c r="Y46" s="7">
        <v>132000</v>
      </c>
      <c r="Z46" s="7">
        <v>38050</v>
      </c>
      <c r="AA46" s="8">
        <v>26850</v>
      </c>
      <c r="AB46" s="8">
        <v>93700</v>
      </c>
      <c r="AC46" s="8">
        <v>18400</v>
      </c>
      <c r="AD46" s="8">
        <v>61700</v>
      </c>
      <c r="AE46" s="8">
        <v>321000</v>
      </c>
      <c r="AF46" s="7">
        <v>105500</v>
      </c>
      <c r="AG46" s="7">
        <v>89100</v>
      </c>
      <c r="AH46" s="7">
        <v>23250</v>
      </c>
      <c r="AI46" s="7">
        <v>137500</v>
      </c>
      <c r="AJ46" s="7">
        <v>25350</v>
      </c>
      <c r="AK46" s="8">
        <v>20435</v>
      </c>
      <c r="AL46" s="8">
        <v>54600</v>
      </c>
      <c r="AM46" s="8">
        <v>178500</v>
      </c>
      <c r="AN46" s="8">
        <v>25200</v>
      </c>
      <c r="AO46" s="8">
        <v>25800</v>
      </c>
      <c r="AP46" s="7">
        <v>4840</v>
      </c>
      <c r="AQ46" s="7">
        <v>181000</v>
      </c>
      <c r="AR46" s="7">
        <v>57900</v>
      </c>
      <c r="AS46" s="7">
        <v>12400</v>
      </c>
      <c r="AT46" s="7">
        <v>1492000</v>
      </c>
      <c r="AU46" s="8">
        <v>119000</v>
      </c>
      <c r="AV46" s="8">
        <v>319000</v>
      </c>
      <c r="AW46" s="8">
        <v>11750</v>
      </c>
      <c r="AX46" s="8">
        <v>63300</v>
      </c>
      <c r="AY46" s="8">
        <v>13000</v>
      </c>
      <c r="AZ46" s="7">
        <v>322500</v>
      </c>
      <c r="BA46" s="7">
        <v>30600</v>
      </c>
      <c r="BB46" s="7">
        <v>2695</v>
      </c>
      <c r="BC46" s="7">
        <v>60800</v>
      </c>
      <c r="BD46" s="7">
        <v>55800</v>
      </c>
      <c r="BE46" s="8">
        <v>83300</v>
      </c>
      <c r="BF46" s="8">
        <v>36800</v>
      </c>
      <c r="BG46" s="8">
        <v>29000</v>
      </c>
      <c r="BH46" s="8">
        <v>971000</v>
      </c>
      <c r="BI46" s="8">
        <v>19450</v>
      </c>
      <c r="BJ46" s="7">
        <v>29800</v>
      </c>
      <c r="BK46" s="7">
        <v>20450</v>
      </c>
      <c r="BL46" s="7">
        <v>166500</v>
      </c>
      <c r="BM46" s="7">
        <v>5710</v>
      </c>
      <c r="BN46" s="7">
        <v>10750</v>
      </c>
      <c r="BO46" s="8">
        <v>752000</v>
      </c>
      <c r="BP46" s="8">
        <v>63600</v>
      </c>
      <c r="BQ46" s="8">
        <v>8620</v>
      </c>
      <c r="BR46" s="7">
        <v>33450</v>
      </c>
      <c r="BS46" s="7">
        <v>6420</v>
      </c>
      <c r="BT46" s="7">
        <v>40700</v>
      </c>
      <c r="BU46" s="7">
        <v>11050</v>
      </c>
      <c r="BV46" s="8">
        <v>4690</v>
      </c>
    </row>
    <row r="47" spans="1:74" x14ac:dyDescent="0.4">
      <c r="A47" s="11">
        <v>41414</v>
      </c>
      <c r="B47" s="7">
        <v>331400</v>
      </c>
      <c r="C47" s="7">
        <v>128500</v>
      </c>
      <c r="D47" s="7">
        <v>49800</v>
      </c>
      <c r="E47" s="7">
        <v>56200</v>
      </c>
      <c r="F47" s="7">
        <v>278000</v>
      </c>
      <c r="G47" s="8">
        <v>83700</v>
      </c>
      <c r="H47" s="8">
        <v>17000</v>
      </c>
      <c r="I47" s="8">
        <v>15550</v>
      </c>
      <c r="J47" s="8">
        <v>21850</v>
      </c>
      <c r="K47" s="8">
        <v>13900</v>
      </c>
      <c r="L47" s="7">
        <v>38850</v>
      </c>
      <c r="M47" s="7">
        <v>47400</v>
      </c>
      <c r="N47" s="7">
        <v>11650</v>
      </c>
      <c r="O47" s="7">
        <v>16050</v>
      </c>
      <c r="P47" s="7">
        <v>25900</v>
      </c>
      <c r="Q47" s="8">
        <v>177000</v>
      </c>
      <c r="R47" s="8">
        <v>627000</v>
      </c>
      <c r="S47" s="8">
        <v>205000</v>
      </c>
      <c r="T47" s="8">
        <v>32000</v>
      </c>
      <c r="U47" s="8">
        <v>34450</v>
      </c>
      <c r="V47" s="7">
        <v>75600</v>
      </c>
      <c r="W47" s="7">
        <v>1065000</v>
      </c>
      <c r="X47" s="7">
        <v>48050</v>
      </c>
      <c r="Y47" s="7">
        <v>137000</v>
      </c>
      <c r="Z47" s="7">
        <v>38850</v>
      </c>
      <c r="AA47" s="8">
        <v>27300</v>
      </c>
      <c r="AB47" s="8">
        <v>94400</v>
      </c>
      <c r="AC47" s="8">
        <v>18350</v>
      </c>
      <c r="AD47" s="8">
        <v>61000</v>
      </c>
      <c r="AE47" s="8">
        <v>323000</v>
      </c>
      <c r="AF47" s="7">
        <v>106500</v>
      </c>
      <c r="AG47" s="7">
        <v>89000</v>
      </c>
      <c r="AH47" s="7">
        <v>22950</v>
      </c>
      <c r="AI47" s="7">
        <v>138500</v>
      </c>
      <c r="AJ47" s="7">
        <v>25200</v>
      </c>
      <c r="AK47" s="8">
        <v>20145</v>
      </c>
      <c r="AL47" s="8">
        <v>54900</v>
      </c>
      <c r="AM47" s="8">
        <v>177500</v>
      </c>
      <c r="AN47" s="8">
        <v>25250</v>
      </c>
      <c r="AO47" s="8">
        <v>25750</v>
      </c>
      <c r="AP47" s="7">
        <v>4860</v>
      </c>
      <c r="AQ47" s="7">
        <v>178500</v>
      </c>
      <c r="AR47" s="7">
        <v>59100</v>
      </c>
      <c r="AS47" s="7">
        <v>12300</v>
      </c>
      <c r="AT47" s="7">
        <v>1497000</v>
      </c>
      <c r="AU47" s="8">
        <v>117000</v>
      </c>
      <c r="AV47" s="8">
        <v>313000</v>
      </c>
      <c r="AW47" s="8">
        <v>11950</v>
      </c>
      <c r="AX47" s="8">
        <v>56000</v>
      </c>
      <c r="AY47" s="8">
        <v>12900</v>
      </c>
      <c r="AZ47" s="7">
        <v>320500</v>
      </c>
      <c r="BA47" s="7">
        <v>30700</v>
      </c>
      <c r="BB47" s="7">
        <v>2640</v>
      </c>
      <c r="BC47" s="7">
        <v>60900</v>
      </c>
      <c r="BD47" s="7">
        <v>52600</v>
      </c>
      <c r="BE47" s="8">
        <v>84800</v>
      </c>
      <c r="BF47" s="8">
        <v>36700</v>
      </c>
      <c r="BG47" s="8">
        <v>25850</v>
      </c>
      <c r="BH47" s="8">
        <v>976000</v>
      </c>
      <c r="BI47" s="8">
        <v>18700</v>
      </c>
      <c r="BJ47" s="7">
        <v>29450</v>
      </c>
      <c r="BK47" s="7">
        <v>20500</v>
      </c>
      <c r="BL47" s="7">
        <v>164000</v>
      </c>
      <c r="BM47" s="7">
        <v>5450</v>
      </c>
      <c r="BN47" s="7">
        <v>10850</v>
      </c>
      <c r="BO47" s="8">
        <v>713000</v>
      </c>
      <c r="BP47" s="8">
        <v>62800</v>
      </c>
      <c r="BQ47" s="8">
        <v>8210</v>
      </c>
      <c r="BR47" s="7">
        <v>31200</v>
      </c>
      <c r="BS47" s="7">
        <v>6390</v>
      </c>
      <c r="BT47" s="7">
        <v>36050</v>
      </c>
      <c r="BU47" s="7">
        <v>11350</v>
      </c>
      <c r="BV47" s="8">
        <v>4485</v>
      </c>
    </row>
    <row r="48" spans="1:74" x14ac:dyDescent="0.4">
      <c r="A48" s="11">
        <v>41410</v>
      </c>
      <c r="B48" s="7">
        <v>342600</v>
      </c>
      <c r="C48" s="7">
        <v>127000</v>
      </c>
      <c r="D48" s="7">
        <v>49200</v>
      </c>
      <c r="E48" s="7">
        <v>57100</v>
      </c>
      <c r="F48" s="7">
        <v>275000</v>
      </c>
      <c r="G48" s="8">
        <v>83500</v>
      </c>
      <c r="H48" s="8">
        <v>16800</v>
      </c>
      <c r="I48" s="8">
        <v>15500</v>
      </c>
      <c r="J48" s="8">
        <v>21100</v>
      </c>
      <c r="K48" s="8">
        <v>14000</v>
      </c>
      <c r="L48" s="7">
        <v>39400</v>
      </c>
      <c r="M48" s="7">
        <v>46200</v>
      </c>
      <c r="N48" s="7">
        <v>11900</v>
      </c>
      <c r="O48" s="7">
        <v>15800</v>
      </c>
      <c r="P48" s="7">
        <v>26550</v>
      </c>
      <c r="Q48" s="8">
        <v>178000</v>
      </c>
      <c r="R48" s="8">
        <v>640000</v>
      </c>
      <c r="S48" s="8">
        <v>205000</v>
      </c>
      <c r="T48" s="8">
        <v>32000</v>
      </c>
      <c r="U48" s="8">
        <v>34800</v>
      </c>
      <c r="V48" s="7">
        <v>75500</v>
      </c>
      <c r="W48" s="7">
        <v>1101000</v>
      </c>
      <c r="X48" s="7">
        <v>43500</v>
      </c>
      <c r="Y48" s="7">
        <v>136500</v>
      </c>
      <c r="Z48" s="7">
        <v>38750</v>
      </c>
      <c r="AA48" s="8">
        <v>26300</v>
      </c>
      <c r="AB48" s="8">
        <v>95100</v>
      </c>
      <c r="AC48" s="8">
        <v>18250</v>
      </c>
      <c r="AD48" s="8">
        <v>58700</v>
      </c>
      <c r="AE48" s="8">
        <v>322000</v>
      </c>
      <c r="AF48" s="7">
        <v>108500</v>
      </c>
      <c r="AG48" s="7">
        <v>88200</v>
      </c>
      <c r="AH48" s="7">
        <v>23450</v>
      </c>
      <c r="AI48" s="7">
        <v>139000</v>
      </c>
      <c r="AJ48" s="7">
        <v>24000</v>
      </c>
      <c r="AK48" s="8">
        <v>20435</v>
      </c>
      <c r="AL48" s="8">
        <v>54600</v>
      </c>
      <c r="AM48" s="8">
        <v>174500</v>
      </c>
      <c r="AN48" s="8">
        <v>25750</v>
      </c>
      <c r="AO48" s="8">
        <v>25600</v>
      </c>
      <c r="AP48" s="7">
        <v>4860</v>
      </c>
      <c r="AQ48" s="7">
        <v>182000</v>
      </c>
      <c r="AR48" s="7">
        <v>57500</v>
      </c>
      <c r="AS48" s="7">
        <v>12050</v>
      </c>
      <c r="AT48" s="7">
        <v>1508000</v>
      </c>
      <c r="AU48" s="8">
        <v>118500</v>
      </c>
      <c r="AV48" s="8">
        <v>315000</v>
      </c>
      <c r="AW48" s="8">
        <v>12200</v>
      </c>
      <c r="AX48" s="8">
        <v>53700</v>
      </c>
      <c r="AY48" s="8">
        <v>12800</v>
      </c>
      <c r="AZ48" s="7">
        <v>334000</v>
      </c>
      <c r="BA48" s="7">
        <v>30050</v>
      </c>
      <c r="BB48" s="7">
        <v>2665</v>
      </c>
      <c r="BC48" s="7">
        <v>60900</v>
      </c>
      <c r="BD48" s="7">
        <v>51600</v>
      </c>
      <c r="BE48" s="8">
        <v>86100</v>
      </c>
      <c r="BF48" s="8">
        <v>36850</v>
      </c>
      <c r="BG48" s="8">
        <v>24450</v>
      </c>
      <c r="BH48" s="8">
        <v>936000</v>
      </c>
      <c r="BI48" s="8">
        <v>18900</v>
      </c>
      <c r="BJ48" s="7">
        <v>29600</v>
      </c>
      <c r="BK48" s="7">
        <v>20350</v>
      </c>
      <c r="BL48" s="7">
        <v>168000</v>
      </c>
      <c r="BM48" s="7">
        <v>4740</v>
      </c>
      <c r="BN48" s="7">
        <v>10800</v>
      </c>
      <c r="BO48" s="8">
        <v>779000</v>
      </c>
      <c r="BP48" s="8">
        <v>61700</v>
      </c>
      <c r="BQ48" s="8">
        <v>8370</v>
      </c>
      <c r="BR48" s="7">
        <v>29100</v>
      </c>
      <c r="BS48" s="7">
        <v>6310</v>
      </c>
      <c r="BT48" s="7">
        <v>33000</v>
      </c>
      <c r="BU48" s="7">
        <v>11300</v>
      </c>
      <c r="BV48" s="8">
        <v>4600</v>
      </c>
    </row>
    <row r="49" spans="1:74" x14ac:dyDescent="0.4">
      <c r="A49" s="73">
        <v>41409</v>
      </c>
      <c r="B49" s="74">
        <v>332600</v>
      </c>
      <c r="C49" s="74">
        <v>126000</v>
      </c>
      <c r="D49" s="74">
        <v>48750</v>
      </c>
      <c r="E49" s="74">
        <v>57000</v>
      </c>
      <c r="F49" s="74">
        <v>273000</v>
      </c>
      <c r="G49" s="75">
        <v>81300</v>
      </c>
      <c r="H49" s="75">
        <v>16950</v>
      </c>
      <c r="I49" s="75">
        <v>15050</v>
      </c>
      <c r="J49" s="75">
        <v>20450</v>
      </c>
      <c r="K49" s="75">
        <v>13750</v>
      </c>
      <c r="L49" s="74">
        <v>39500</v>
      </c>
      <c r="M49" s="74">
        <v>46400</v>
      </c>
      <c r="N49" s="74">
        <v>12600</v>
      </c>
      <c r="O49" s="74">
        <v>15700</v>
      </c>
      <c r="P49" s="74">
        <v>26600</v>
      </c>
      <c r="Q49" s="75">
        <v>180500</v>
      </c>
      <c r="R49" s="75">
        <v>625000</v>
      </c>
      <c r="S49" s="75">
        <v>205000</v>
      </c>
      <c r="T49" s="75">
        <v>31000</v>
      </c>
      <c r="U49" s="75">
        <v>33700</v>
      </c>
      <c r="V49" s="74">
        <v>75700</v>
      </c>
      <c r="W49" s="74">
        <v>1115000</v>
      </c>
      <c r="X49" s="74">
        <v>40000</v>
      </c>
      <c r="Y49" s="74">
        <v>134000</v>
      </c>
      <c r="Z49" s="74">
        <v>39550</v>
      </c>
      <c r="AA49" s="75">
        <v>25800</v>
      </c>
      <c r="AB49" s="75">
        <v>94900</v>
      </c>
      <c r="AC49" s="75">
        <v>18000</v>
      </c>
      <c r="AD49" s="75">
        <v>57400</v>
      </c>
      <c r="AE49" s="75">
        <v>318500</v>
      </c>
      <c r="AF49" s="74">
        <v>105000</v>
      </c>
      <c r="AG49" s="74">
        <v>87800</v>
      </c>
      <c r="AH49" s="74">
        <v>23400</v>
      </c>
      <c r="AI49" s="74">
        <v>135000</v>
      </c>
      <c r="AJ49" s="74">
        <v>22800</v>
      </c>
      <c r="AK49" s="75">
        <v>20040</v>
      </c>
      <c r="AL49" s="75">
        <v>54700</v>
      </c>
      <c r="AM49" s="75">
        <v>177000</v>
      </c>
      <c r="AN49" s="75">
        <v>26150</v>
      </c>
      <c r="AO49" s="75">
        <v>28600</v>
      </c>
      <c r="AP49" s="74">
        <v>4830</v>
      </c>
      <c r="AQ49" s="74">
        <v>173000</v>
      </c>
      <c r="AR49" s="74">
        <v>57000</v>
      </c>
      <c r="AS49" s="74">
        <v>11950</v>
      </c>
      <c r="AT49" s="74">
        <v>1500000</v>
      </c>
      <c r="AU49" s="75">
        <v>121000</v>
      </c>
      <c r="AV49" s="75">
        <v>293000</v>
      </c>
      <c r="AW49" s="75">
        <v>11950</v>
      </c>
      <c r="AX49" s="75">
        <v>50500</v>
      </c>
      <c r="AY49" s="75">
        <v>12700</v>
      </c>
      <c r="AZ49" s="74">
        <v>333000</v>
      </c>
      <c r="BA49" s="74">
        <v>29750</v>
      </c>
      <c r="BB49" s="74">
        <v>2680</v>
      </c>
      <c r="BC49" s="74">
        <v>60500</v>
      </c>
      <c r="BD49" s="74">
        <v>52700</v>
      </c>
      <c r="BE49" s="75">
        <v>85500</v>
      </c>
      <c r="BF49" s="75">
        <v>36300</v>
      </c>
      <c r="BG49" s="75">
        <v>23850</v>
      </c>
      <c r="BH49" s="75">
        <v>912000</v>
      </c>
      <c r="BI49" s="75">
        <v>19150</v>
      </c>
      <c r="BJ49" s="74">
        <v>29000</v>
      </c>
      <c r="BK49" s="74">
        <v>20250</v>
      </c>
      <c r="BL49" s="74">
        <v>169500</v>
      </c>
      <c r="BM49" s="74">
        <v>4830</v>
      </c>
      <c r="BN49" s="74">
        <v>10700</v>
      </c>
      <c r="BO49" s="75">
        <v>790000</v>
      </c>
      <c r="BP49" s="75">
        <v>60900</v>
      </c>
      <c r="BQ49" s="75">
        <v>8270</v>
      </c>
      <c r="BR49" s="74">
        <v>28000</v>
      </c>
      <c r="BS49" s="74">
        <v>6160</v>
      </c>
      <c r="BT49" s="74">
        <v>30450</v>
      </c>
      <c r="BU49" s="74">
        <v>11600</v>
      </c>
      <c r="BV49" s="75">
        <v>4645</v>
      </c>
    </row>
    <row r="50" spans="1:74" x14ac:dyDescent="0.4">
      <c r="A50" s="11">
        <v>41408</v>
      </c>
      <c r="B50" s="7">
        <v>336900</v>
      </c>
      <c r="C50" s="7">
        <v>126500</v>
      </c>
      <c r="D50" s="7">
        <v>48100</v>
      </c>
      <c r="E50" s="7">
        <v>54000</v>
      </c>
      <c r="F50" s="7">
        <v>271500</v>
      </c>
      <c r="G50" s="8">
        <v>81800</v>
      </c>
      <c r="H50" s="8">
        <v>16500</v>
      </c>
      <c r="I50" s="8">
        <v>15100</v>
      </c>
      <c r="J50" s="8">
        <v>20750</v>
      </c>
      <c r="K50" s="8">
        <v>13550</v>
      </c>
      <c r="L50" s="7">
        <v>39700</v>
      </c>
      <c r="M50" s="7">
        <v>46500</v>
      </c>
      <c r="N50" s="7">
        <v>12650</v>
      </c>
      <c r="O50" s="7">
        <v>15550</v>
      </c>
      <c r="P50" s="7">
        <v>26400</v>
      </c>
      <c r="Q50" s="8">
        <v>181000</v>
      </c>
      <c r="R50" s="8">
        <v>621000</v>
      </c>
      <c r="S50" s="8">
        <v>201000</v>
      </c>
      <c r="T50" s="8">
        <v>31000</v>
      </c>
      <c r="U50" s="8">
        <v>33550</v>
      </c>
      <c r="V50" s="7">
        <v>75300</v>
      </c>
      <c r="W50" s="7">
        <v>1101000</v>
      </c>
      <c r="X50" s="7">
        <v>38250</v>
      </c>
      <c r="Y50" s="7">
        <v>135500</v>
      </c>
      <c r="Z50" s="7">
        <v>40500</v>
      </c>
      <c r="AA50" s="8">
        <v>24800</v>
      </c>
      <c r="AB50" s="8">
        <v>94000</v>
      </c>
      <c r="AC50" s="8">
        <v>18050</v>
      </c>
      <c r="AD50" s="8">
        <v>57000</v>
      </c>
      <c r="AE50" s="8">
        <v>322500</v>
      </c>
      <c r="AF50" s="7">
        <v>105000</v>
      </c>
      <c r="AG50" s="7">
        <v>88100</v>
      </c>
      <c r="AH50" s="7">
        <v>23450</v>
      </c>
      <c r="AI50" s="7">
        <v>132500</v>
      </c>
      <c r="AJ50" s="7">
        <v>23350</v>
      </c>
      <c r="AK50" s="8">
        <v>20040</v>
      </c>
      <c r="AL50" s="8">
        <v>54500</v>
      </c>
      <c r="AM50" s="8">
        <v>171500</v>
      </c>
      <c r="AN50" s="8">
        <v>26200</v>
      </c>
      <c r="AO50" s="8">
        <v>28400</v>
      </c>
      <c r="AP50" s="7">
        <v>4830</v>
      </c>
      <c r="AQ50" s="7">
        <v>173500</v>
      </c>
      <c r="AR50" s="7">
        <v>57300</v>
      </c>
      <c r="AS50" s="7">
        <v>11950</v>
      </c>
      <c r="AT50" s="7">
        <v>1500000</v>
      </c>
      <c r="AU50" s="8">
        <v>117500</v>
      </c>
      <c r="AV50" s="8">
        <v>289000</v>
      </c>
      <c r="AW50" s="8">
        <v>12000</v>
      </c>
      <c r="AX50" s="8">
        <v>50300</v>
      </c>
      <c r="AY50" s="8">
        <v>13400</v>
      </c>
      <c r="AZ50" s="7">
        <v>342000</v>
      </c>
      <c r="BA50" s="7">
        <v>29500</v>
      </c>
      <c r="BB50" s="7">
        <v>2710</v>
      </c>
      <c r="BC50" s="7">
        <v>60700</v>
      </c>
      <c r="BD50" s="7">
        <v>52700</v>
      </c>
      <c r="BE50" s="8">
        <v>85500</v>
      </c>
      <c r="BF50" s="8">
        <v>36300</v>
      </c>
      <c r="BG50" s="8">
        <v>22700</v>
      </c>
      <c r="BH50" s="8">
        <v>913000</v>
      </c>
      <c r="BI50" s="8">
        <v>19100</v>
      </c>
      <c r="BJ50" s="7">
        <v>28600</v>
      </c>
      <c r="BK50" s="7">
        <v>20000</v>
      </c>
      <c r="BL50" s="7">
        <v>169000</v>
      </c>
      <c r="BM50" s="7">
        <v>4695</v>
      </c>
      <c r="BN50" s="7">
        <v>10750</v>
      </c>
      <c r="BO50" s="8">
        <v>776000</v>
      </c>
      <c r="BP50" s="8">
        <v>60100</v>
      </c>
      <c r="BQ50" s="8">
        <v>8410</v>
      </c>
      <c r="BR50" s="7">
        <v>26750</v>
      </c>
      <c r="BS50" s="7">
        <v>5600</v>
      </c>
      <c r="BT50" s="7">
        <v>29050</v>
      </c>
      <c r="BU50" s="7">
        <v>11050</v>
      </c>
      <c r="BV50" s="8">
        <v>4595</v>
      </c>
    </row>
    <row r="51" spans="1:74" x14ac:dyDescent="0.4">
      <c r="A51" s="11">
        <v>41407</v>
      </c>
      <c r="B51" s="7">
        <v>338000</v>
      </c>
      <c r="C51" s="7">
        <v>126500</v>
      </c>
      <c r="D51" s="7">
        <v>48900</v>
      </c>
      <c r="E51" s="7">
        <v>56300</v>
      </c>
      <c r="F51" s="7">
        <v>266500</v>
      </c>
      <c r="G51" s="8">
        <v>82500</v>
      </c>
      <c r="H51" s="8">
        <v>17600</v>
      </c>
      <c r="I51" s="8">
        <v>14300</v>
      </c>
      <c r="J51" s="8">
        <v>22150</v>
      </c>
      <c r="K51" s="8">
        <v>13350</v>
      </c>
      <c r="L51" s="7">
        <v>39150</v>
      </c>
      <c r="M51" s="7">
        <v>46200</v>
      </c>
      <c r="N51" s="7">
        <v>12300</v>
      </c>
      <c r="O51" s="7">
        <v>15150</v>
      </c>
      <c r="P51" s="7">
        <v>26500</v>
      </c>
      <c r="Q51" s="8">
        <v>176500</v>
      </c>
      <c r="R51" s="8">
        <v>625000</v>
      </c>
      <c r="S51" s="8">
        <v>199500</v>
      </c>
      <c r="T51" s="8">
        <v>29850</v>
      </c>
      <c r="U51" s="8">
        <v>33200</v>
      </c>
      <c r="V51" s="7">
        <v>74200</v>
      </c>
      <c r="W51" s="7">
        <v>1114000</v>
      </c>
      <c r="X51" s="7">
        <v>37350</v>
      </c>
      <c r="Y51" s="7">
        <v>137500</v>
      </c>
      <c r="Z51" s="7">
        <v>41450</v>
      </c>
      <c r="AA51" s="8">
        <v>24650</v>
      </c>
      <c r="AB51" s="8">
        <v>95700</v>
      </c>
      <c r="AC51" s="8">
        <v>17000</v>
      </c>
      <c r="AD51" s="8">
        <v>57300</v>
      </c>
      <c r="AE51" s="8">
        <v>321500</v>
      </c>
      <c r="AF51" s="7">
        <v>100500</v>
      </c>
      <c r="AG51" s="7">
        <v>87600</v>
      </c>
      <c r="AH51" s="7">
        <v>23700</v>
      </c>
      <c r="AI51" s="7">
        <v>131500</v>
      </c>
      <c r="AJ51" s="7">
        <v>24350</v>
      </c>
      <c r="AK51" s="8">
        <v>20224</v>
      </c>
      <c r="AL51" s="8">
        <v>52500</v>
      </c>
      <c r="AM51" s="8">
        <v>171500</v>
      </c>
      <c r="AN51" s="8">
        <v>24850</v>
      </c>
      <c r="AO51" s="8">
        <v>28000</v>
      </c>
      <c r="AP51" s="7">
        <v>4850</v>
      </c>
      <c r="AQ51" s="7">
        <v>169500</v>
      </c>
      <c r="AR51" s="7">
        <v>60000</v>
      </c>
      <c r="AS51" s="7">
        <v>11500</v>
      </c>
      <c r="AT51" s="7">
        <v>1477000</v>
      </c>
      <c r="AU51" s="8">
        <v>122000</v>
      </c>
      <c r="AV51" s="8">
        <v>292000</v>
      </c>
      <c r="AW51" s="8">
        <v>12350</v>
      </c>
      <c r="AX51" s="8">
        <v>50000</v>
      </c>
      <c r="AY51" s="8">
        <v>13950</v>
      </c>
      <c r="AZ51" s="7">
        <v>327000</v>
      </c>
      <c r="BA51" s="7">
        <v>29100</v>
      </c>
      <c r="BB51" s="7">
        <v>2710</v>
      </c>
      <c r="BC51" s="7">
        <v>59900</v>
      </c>
      <c r="BD51" s="7">
        <v>54900</v>
      </c>
      <c r="BE51" s="8">
        <v>83200</v>
      </c>
      <c r="BF51" s="8">
        <v>35500</v>
      </c>
      <c r="BG51" s="8">
        <v>22000</v>
      </c>
      <c r="BH51" s="8">
        <v>891000</v>
      </c>
      <c r="BI51" s="8">
        <v>19700</v>
      </c>
      <c r="BJ51" s="7">
        <v>29600</v>
      </c>
      <c r="BK51" s="7">
        <v>20900</v>
      </c>
      <c r="BL51" s="7">
        <v>171000</v>
      </c>
      <c r="BM51" s="7">
        <v>4605</v>
      </c>
      <c r="BN51" s="7">
        <v>11600</v>
      </c>
      <c r="BO51" s="8">
        <v>781000</v>
      </c>
      <c r="BP51" s="8">
        <v>59700</v>
      </c>
      <c r="BQ51" s="8">
        <v>8910</v>
      </c>
      <c r="BR51" s="7">
        <v>25750</v>
      </c>
      <c r="BS51" s="7">
        <v>5770</v>
      </c>
      <c r="BT51" s="7">
        <v>28250</v>
      </c>
      <c r="BU51" s="7">
        <v>11250</v>
      </c>
      <c r="BV51" s="8">
        <v>4625</v>
      </c>
    </row>
    <row r="52" spans="1:74" x14ac:dyDescent="0.4">
      <c r="A52" s="11">
        <v>41404</v>
      </c>
      <c r="B52" s="7">
        <v>341200</v>
      </c>
      <c r="C52" s="7">
        <v>126500</v>
      </c>
      <c r="D52" s="7">
        <v>48900</v>
      </c>
      <c r="E52" s="7">
        <v>60900</v>
      </c>
      <c r="F52" s="7">
        <v>266500</v>
      </c>
      <c r="G52" s="8">
        <v>81600</v>
      </c>
      <c r="H52" s="8">
        <v>17300</v>
      </c>
      <c r="I52" s="8">
        <v>14300</v>
      </c>
      <c r="J52" s="8">
        <v>22100</v>
      </c>
      <c r="K52" s="8">
        <v>13500</v>
      </c>
      <c r="L52" s="7">
        <v>39500</v>
      </c>
      <c r="M52" s="7">
        <v>46600</v>
      </c>
      <c r="N52" s="7">
        <v>12100</v>
      </c>
      <c r="O52" s="7">
        <v>15300</v>
      </c>
      <c r="P52" s="7">
        <v>26250</v>
      </c>
      <c r="Q52" s="8">
        <v>177000</v>
      </c>
      <c r="R52" s="8">
        <v>616000</v>
      </c>
      <c r="S52" s="8">
        <v>200000</v>
      </c>
      <c r="T52" s="8">
        <v>29850</v>
      </c>
      <c r="U52" s="8">
        <v>31300</v>
      </c>
      <c r="V52" s="7">
        <v>75300</v>
      </c>
      <c r="W52" s="7">
        <v>1105000</v>
      </c>
      <c r="X52" s="7">
        <v>37250</v>
      </c>
      <c r="Y52" s="7">
        <v>139500</v>
      </c>
      <c r="Z52" s="7">
        <v>40000</v>
      </c>
      <c r="AA52" s="8">
        <v>24650</v>
      </c>
      <c r="AB52" s="8">
        <v>96500</v>
      </c>
      <c r="AC52" s="8">
        <v>17300</v>
      </c>
      <c r="AD52" s="8">
        <v>58000</v>
      </c>
      <c r="AE52" s="8">
        <v>319500</v>
      </c>
      <c r="AF52" s="7">
        <v>99900</v>
      </c>
      <c r="AG52" s="7">
        <v>87700</v>
      </c>
      <c r="AH52" s="7">
        <v>23000</v>
      </c>
      <c r="AI52" s="7">
        <v>130500</v>
      </c>
      <c r="AJ52" s="7">
        <v>23900</v>
      </c>
      <c r="AK52" s="8">
        <v>20540</v>
      </c>
      <c r="AL52" s="8">
        <v>52100</v>
      </c>
      <c r="AM52" s="8">
        <v>166000</v>
      </c>
      <c r="AN52" s="8">
        <v>25650</v>
      </c>
      <c r="AO52" s="8">
        <v>27950</v>
      </c>
      <c r="AP52" s="7">
        <v>4800</v>
      </c>
      <c r="AQ52" s="7">
        <v>171000</v>
      </c>
      <c r="AR52" s="7">
        <v>59300</v>
      </c>
      <c r="AS52" s="7">
        <v>11650</v>
      </c>
      <c r="AT52" s="7">
        <v>1476000</v>
      </c>
      <c r="AU52" s="8">
        <v>119000</v>
      </c>
      <c r="AV52" s="8">
        <v>290500</v>
      </c>
      <c r="AW52" s="8">
        <v>12350</v>
      </c>
      <c r="AX52" s="8">
        <v>49000</v>
      </c>
      <c r="AY52" s="8">
        <v>13200</v>
      </c>
      <c r="AZ52" s="7">
        <v>340500</v>
      </c>
      <c r="BA52" s="7">
        <v>29100</v>
      </c>
      <c r="BB52" s="7">
        <v>2600</v>
      </c>
      <c r="BC52" s="7">
        <v>60000</v>
      </c>
      <c r="BD52" s="7">
        <v>54000</v>
      </c>
      <c r="BE52" s="8">
        <v>83300</v>
      </c>
      <c r="BF52" s="8">
        <v>35950</v>
      </c>
      <c r="BG52" s="8">
        <v>21550</v>
      </c>
      <c r="BH52" s="8">
        <v>880000</v>
      </c>
      <c r="BI52" s="8">
        <v>20150</v>
      </c>
      <c r="BJ52" s="7">
        <v>28850</v>
      </c>
      <c r="BK52" s="7">
        <v>21200</v>
      </c>
      <c r="BL52" s="7">
        <v>173000</v>
      </c>
      <c r="BM52" s="7">
        <v>4635</v>
      </c>
      <c r="BN52" s="7">
        <v>11700</v>
      </c>
      <c r="BO52" s="8">
        <v>800000</v>
      </c>
      <c r="BP52" s="8">
        <v>58900</v>
      </c>
      <c r="BQ52" s="8">
        <v>9160</v>
      </c>
      <c r="BR52" s="7">
        <v>25800</v>
      </c>
      <c r="BS52" s="7">
        <v>5650</v>
      </c>
      <c r="BT52" s="7">
        <v>28250</v>
      </c>
      <c r="BU52" s="7">
        <v>11150</v>
      </c>
      <c r="BV52" s="8">
        <v>4765</v>
      </c>
    </row>
    <row r="53" spans="1:74" x14ac:dyDescent="0.4">
      <c r="A53" s="11">
        <v>41403</v>
      </c>
      <c r="B53" s="7">
        <v>342500</v>
      </c>
      <c r="C53" s="7">
        <v>128500</v>
      </c>
      <c r="D53" s="7">
        <v>49700</v>
      </c>
      <c r="E53" s="7">
        <v>62600</v>
      </c>
      <c r="F53" s="7">
        <v>268500</v>
      </c>
      <c r="G53" s="8">
        <v>79500</v>
      </c>
      <c r="H53" s="8">
        <v>17950</v>
      </c>
      <c r="I53" s="8">
        <v>14300</v>
      </c>
      <c r="J53" s="8">
        <v>22450</v>
      </c>
      <c r="K53" s="8">
        <v>13700</v>
      </c>
      <c r="L53" s="7">
        <v>40400</v>
      </c>
      <c r="M53" s="7">
        <v>46750</v>
      </c>
      <c r="N53" s="7">
        <v>11800</v>
      </c>
      <c r="O53" s="7">
        <v>16200</v>
      </c>
      <c r="P53" s="7">
        <v>25450</v>
      </c>
      <c r="Q53" s="8">
        <v>177000</v>
      </c>
      <c r="R53" s="8">
        <v>627000</v>
      </c>
      <c r="S53" s="8">
        <v>203500</v>
      </c>
      <c r="T53" s="8">
        <v>31550</v>
      </c>
      <c r="U53" s="8">
        <v>31750</v>
      </c>
      <c r="V53" s="7">
        <v>78100</v>
      </c>
      <c r="W53" s="7">
        <v>1148000</v>
      </c>
      <c r="X53" s="7">
        <v>37250</v>
      </c>
      <c r="Y53" s="7">
        <v>138000</v>
      </c>
      <c r="Z53" s="7">
        <v>40200</v>
      </c>
      <c r="AA53" s="8">
        <v>22700</v>
      </c>
      <c r="AB53" s="8">
        <v>97900</v>
      </c>
      <c r="AC53" s="8">
        <v>17600</v>
      </c>
      <c r="AD53" s="8">
        <v>57400</v>
      </c>
      <c r="AE53" s="8">
        <v>323500</v>
      </c>
      <c r="AF53" s="7">
        <v>98900</v>
      </c>
      <c r="AG53" s="7">
        <v>88800</v>
      </c>
      <c r="AH53" s="7">
        <v>27050</v>
      </c>
      <c r="AI53" s="7">
        <v>131000</v>
      </c>
      <c r="AJ53" s="7">
        <v>23700</v>
      </c>
      <c r="AK53" s="8">
        <v>21040</v>
      </c>
      <c r="AL53" s="8">
        <v>53900</v>
      </c>
      <c r="AM53" s="8">
        <v>166000</v>
      </c>
      <c r="AN53" s="8">
        <v>25500</v>
      </c>
      <c r="AO53" s="8">
        <v>28400</v>
      </c>
      <c r="AP53" s="7">
        <v>4820</v>
      </c>
      <c r="AQ53" s="7">
        <v>179000</v>
      </c>
      <c r="AR53" s="7">
        <v>58500</v>
      </c>
      <c r="AS53" s="7">
        <v>12000</v>
      </c>
      <c r="AT53" s="7">
        <v>1515000</v>
      </c>
      <c r="AU53" s="8">
        <v>125000</v>
      </c>
      <c r="AV53" s="8">
        <v>288500</v>
      </c>
      <c r="AW53" s="8">
        <v>12600</v>
      </c>
      <c r="AX53" s="8">
        <v>48650</v>
      </c>
      <c r="AY53" s="8">
        <v>13700</v>
      </c>
      <c r="AZ53" s="7">
        <v>354500</v>
      </c>
      <c r="BA53" s="7">
        <v>29050</v>
      </c>
      <c r="BB53" s="7">
        <v>2575</v>
      </c>
      <c r="BC53" s="7">
        <v>61200</v>
      </c>
      <c r="BD53" s="7">
        <v>52600</v>
      </c>
      <c r="BE53" s="8">
        <v>84200</v>
      </c>
      <c r="BF53" s="8">
        <v>36600</v>
      </c>
      <c r="BG53" s="8">
        <v>21250</v>
      </c>
      <c r="BH53" s="8">
        <v>890000</v>
      </c>
      <c r="BI53" s="8">
        <v>21400</v>
      </c>
      <c r="BJ53" s="7">
        <v>30650</v>
      </c>
      <c r="BK53" s="7">
        <v>21200</v>
      </c>
      <c r="BL53" s="7">
        <v>172000</v>
      </c>
      <c r="BM53" s="7">
        <v>4390</v>
      </c>
      <c r="BN53" s="7">
        <v>11800</v>
      </c>
      <c r="BO53" s="8">
        <v>825000</v>
      </c>
      <c r="BP53" s="8">
        <v>58900</v>
      </c>
      <c r="BQ53" s="8">
        <v>9300</v>
      </c>
      <c r="BR53" s="7">
        <v>26000</v>
      </c>
      <c r="BS53" s="7">
        <v>5500</v>
      </c>
      <c r="BT53" s="7">
        <v>28350</v>
      </c>
      <c r="BU53" s="7">
        <v>11000</v>
      </c>
      <c r="BV53" s="8">
        <v>4935</v>
      </c>
    </row>
    <row r="54" spans="1:74" x14ac:dyDescent="0.4">
      <c r="A54" s="73">
        <v>41402</v>
      </c>
      <c r="B54" s="74">
        <v>345300</v>
      </c>
      <c r="C54" s="74">
        <v>127500</v>
      </c>
      <c r="D54" s="74">
        <v>53600</v>
      </c>
      <c r="E54" s="74">
        <v>62800</v>
      </c>
      <c r="F54" s="74">
        <v>262500</v>
      </c>
      <c r="G54" s="75">
        <v>78500</v>
      </c>
      <c r="H54" s="75">
        <v>18200</v>
      </c>
      <c r="I54" s="75">
        <v>13350</v>
      </c>
      <c r="J54" s="75">
        <v>22200</v>
      </c>
      <c r="K54" s="75">
        <v>13400</v>
      </c>
      <c r="L54" s="74">
        <v>40700</v>
      </c>
      <c r="M54" s="74">
        <v>46600</v>
      </c>
      <c r="N54" s="74">
        <v>12000</v>
      </c>
      <c r="O54" s="74">
        <v>16150</v>
      </c>
      <c r="P54" s="74">
        <v>24500</v>
      </c>
      <c r="Q54" s="75">
        <v>168000</v>
      </c>
      <c r="R54" s="75">
        <v>612000</v>
      </c>
      <c r="S54" s="75">
        <v>194000</v>
      </c>
      <c r="T54" s="75">
        <v>32100</v>
      </c>
      <c r="U54" s="75">
        <v>30100</v>
      </c>
      <c r="V54" s="74">
        <v>76100</v>
      </c>
      <c r="W54" s="74">
        <v>1122000</v>
      </c>
      <c r="X54" s="74">
        <v>37250</v>
      </c>
      <c r="Y54" s="74">
        <v>141000</v>
      </c>
      <c r="Z54" s="74">
        <v>40600</v>
      </c>
      <c r="AA54" s="75">
        <v>23250</v>
      </c>
      <c r="AB54" s="75">
        <v>98000</v>
      </c>
      <c r="AC54" s="75">
        <v>17700</v>
      </c>
      <c r="AD54" s="75">
        <v>58400</v>
      </c>
      <c r="AE54" s="75">
        <v>320500</v>
      </c>
      <c r="AF54" s="74">
        <v>100500</v>
      </c>
      <c r="AG54" s="74">
        <v>87500</v>
      </c>
      <c r="AH54" s="74">
        <v>26800</v>
      </c>
      <c r="AI54" s="74">
        <v>129000</v>
      </c>
      <c r="AJ54" s="74">
        <v>23300</v>
      </c>
      <c r="AK54" s="75">
        <v>20909</v>
      </c>
      <c r="AL54" s="75">
        <v>53800</v>
      </c>
      <c r="AM54" s="75">
        <v>167500</v>
      </c>
      <c r="AN54" s="75">
        <v>25500</v>
      </c>
      <c r="AO54" s="75">
        <v>26950</v>
      </c>
      <c r="AP54" s="74">
        <v>4890</v>
      </c>
      <c r="AQ54" s="74">
        <v>180000</v>
      </c>
      <c r="AR54" s="74">
        <v>57300</v>
      </c>
      <c r="AS54" s="74">
        <v>11850</v>
      </c>
      <c r="AT54" s="74">
        <v>1488000</v>
      </c>
      <c r="AU54" s="75">
        <v>129500</v>
      </c>
      <c r="AV54" s="75">
        <v>300500</v>
      </c>
      <c r="AW54" s="75">
        <v>12650</v>
      </c>
      <c r="AX54" s="75">
        <v>50100</v>
      </c>
      <c r="AY54" s="75">
        <v>13800</v>
      </c>
      <c r="AZ54" s="74">
        <v>350000</v>
      </c>
      <c r="BA54" s="74">
        <v>28550</v>
      </c>
      <c r="BB54" s="74">
        <v>2450</v>
      </c>
      <c r="BC54" s="74">
        <v>59800</v>
      </c>
      <c r="BD54" s="74">
        <v>53200</v>
      </c>
      <c r="BE54" s="75">
        <v>82700</v>
      </c>
      <c r="BF54" s="75">
        <v>36050</v>
      </c>
      <c r="BG54" s="75">
        <v>20600</v>
      </c>
      <c r="BH54" s="75">
        <v>881000</v>
      </c>
      <c r="BI54" s="75">
        <v>21700</v>
      </c>
      <c r="BJ54" s="74">
        <v>31300</v>
      </c>
      <c r="BK54" s="74">
        <v>21200</v>
      </c>
      <c r="BL54" s="74">
        <v>177500</v>
      </c>
      <c r="BM54" s="74">
        <v>4480</v>
      </c>
      <c r="BN54" s="74">
        <v>11650</v>
      </c>
      <c r="BO54" s="75">
        <v>812000</v>
      </c>
      <c r="BP54" s="75">
        <v>58200</v>
      </c>
      <c r="BQ54" s="75">
        <v>9350</v>
      </c>
      <c r="BR54" s="74">
        <v>25700</v>
      </c>
      <c r="BS54" s="74">
        <v>5490</v>
      </c>
      <c r="BT54" s="74">
        <v>27650</v>
      </c>
      <c r="BU54" s="74">
        <v>11150</v>
      </c>
      <c r="BV54" s="75">
        <v>4930</v>
      </c>
    </row>
    <row r="55" spans="1:74" x14ac:dyDescent="0.4">
      <c r="A55" s="11">
        <v>41401</v>
      </c>
      <c r="B55" s="7">
        <v>340000</v>
      </c>
      <c r="C55" s="7">
        <v>127500</v>
      </c>
      <c r="D55" s="7">
        <v>63000</v>
      </c>
      <c r="E55" s="7">
        <v>61900</v>
      </c>
      <c r="F55" s="7">
        <v>261500</v>
      </c>
      <c r="G55" s="8">
        <v>78000</v>
      </c>
      <c r="H55" s="8">
        <v>18650</v>
      </c>
      <c r="I55" s="8">
        <v>13400</v>
      </c>
      <c r="J55" s="8">
        <v>22250</v>
      </c>
      <c r="K55" s="8">
        <v>12850</v>
      </c>
      <c r="L55" s="7">
        <v>41600</v>
      </c>
      <c r="M55" s="7">
        <v>44800</v>
      </c>
      <c r="N55" s="7">
        <v>11950</v>
      </c>
      <c r="O55" s="7">
        <v>16400</v>
      </c>
      <c r="P55" s="7">
        <v>23800</v>
      </c>
      <c r="Q55" s="8">
        <v>167500</v>
      </c>
      <c r="R55" s="8">
        <v>612000</v>
      </c>
      <c r="S55" s="8">
        <v>195000</v>
      </c>
      <c r="T55" s="8">
        <v>31650</v>
      </c>
      <c r="U55" s="8">
        <v>30100</v>
      </c>
      <c r="V55" s="7">
        <v>76000</v>
      </c>
      <c r="W55" s="7">
        <v>1137000</v>
      </c>
      <c r="X55" s="7">
        <v>36300</v>
      </c>
      <c r="Y55" s="7">
        <v>137000</v>
      </c>
      <c r="Z55" s="7">
        <v>41400</v>
      </c>
      <c r="AA55" s="8">
        <v>23300</v>
      </c>
      <c r="AB55" s="8">
        <v>99800</v>
      </c>
      <c r="AC55" s="8">
        <v>17850</v>
      </c>
      <c r="AD55" s="8">
        <v>59100</v>
      </c>
      <c r="AE55" s="8">
        <v>319000</v>
      </c>
      <c r="AF55" s="7">
        <v>98900</v>
      </c>
      <c r="AG55" s="7">
        <v>88100</v>
      </c>
      <c r="AH55" s="7">
        <v>27250</v>
      </c>
      <c r="AI55" s="7">
        <v>127500</v>
      </c>
      <c r="AJ55" s="7">
        <v>23650</v>
      </c>
      <c r="AK55" s="8">
        <v>20514</v>
      </c>
      <c r="AL55" s="8">
        <v>54700</v>
      </c>
      <c r="AM55" s="8">
        <v>169000</v>
      </c>
      <c r="AN55" s="8">
        <v>25700</v>
      </c>
      <c r="AO55" s="8">
        <v>26950</v>
      </c>
      <c r="AP55" s="7">
        <v>4985</v>
      </c>
      <c r="AQ55" s="7">
        <v>182500</v>
      </c>
      <c r="AR55" s="7">
        <v>57100</v>
      </c>
      <c r="AS55" s="7">
        <v>11800</v>
      </c>
      <c r="AT55" s="7">
        <v>1493000</v>
      </c>
      <c r="AU55" s="8">
        <v>127000</v>
      </c>
      <c r="AV55" s="8">
        <v>296000</v>
      </c>
      <c r="AW55" s="8">
        <v>12450</v>
      </c>
      <c r="AX55" s="8">
        <v>50800</v>
      </c>
      <c r="AY55" s="8">
        <v>13050</v>
      </c>
      <c r="AZ55" s="7">
        <v>342000</v>
      </c>
      <c r="BA55" s="7">
        <v>28600</v>
      </c>
      <c r="BB55" s="7">
        <v>2440</v>
      </c>
      <c r="BC55" s="7">
        <v>59500</v>
      </c>
      <c r="BD55" s="7">
        <v>51400</v>
      </c>
      <c r="BE55" s="8">
        <v>84600</v>
      </c>
      <c r="BF55" s="8">
        <v>36550</v>
      </c>
      <c r="BG55" s="8">
        <v>20200</v>
      </c>
      <c r="BH55" s="8">
        <v>872000</v>
      </c>
      <c r="BI55" s="8">
        <v>21200</v>
      </c>
      <c r="BJ55" s="7">
        <v>31000</v>
      </c>
      <c r="BK55" s="7">
        <v>21550</v>
      </c>
      <c r="BL55" s="7">
        <v>176500</v>
      </c>
      <c r="BM55" s="7">
        <v>4185</v>
      </c>
      <c r="BN55" s="7">
        <v>11450</v>
      </c>
      <c r="BO55" s="8">
        <v>825000</v>
      </c>
      <c r="BP55" s="8">
        <v>58900</v>
      </c>
      <c r="BQ55" s="8">
        <v>9120</v>
      </c>
      <c r="BR55" s="7">
        <v>26650</v>
      </c>
      <c r="BS55" s="7">
        <v>5440</v>
      </c>
      <c r="BT55" s="7">
        <v>27200</v>
      </c>
      <c r="BU55" s="7">
        <v>10500</v>
      </c>
      <c r="BV55" s="8">
        <v>4805</v>
      </c>
    </row>
    <row r="56" spans="1:74" x14ac:dyDescent="0.4">
      <c r="A56" s="11">
        <v>41400</v>
      </c>
      <c r="B56" s="7">
        <v>322000</v>
      </c>
      <c r="C56" s="7">
        <v>128000</v>
      </c>
      <c r="D56" s="7">
        <v>63000</v>
      </c>
      <c r="E56" s="7">
        <v>62000</v>
      </c>
      <c r="F56" s="7">
        <v>261500</v>
      </c>
      <c r="G56" s="8">
        <v>77400</v>
      </c>
      <c r="H56" s="8">
        <v>18100</v>
      </c>
      <c r="I56" s="8">
        <v>13550</v>
      </c>
      <c r="J56" s="8">
        <v>22050</v>
      </c>
      <c r="K56" s="8">
        <v>12400</v>
      </c>
      <c r="L56" s="7">
        <v>39900</v>
      </c>
      <c r="M56" s="7">
        <v>44600</v>
      </c>
      <c r="N56" s="7">
        <v>11550</v>
      </c>
      <c r="O56" s="7">
        <v>16800</v>
      </c>
      <c r="P56" s="7">
        <v>23950</v>
      </c>
      <c r="Q56" s="8">
        <v>169000</v>
      </c>
      <c r="R56" s="8">
        <v>613000</v>
      </c>
      <c r="S56" s="8">
        <v>196000</v>
      </c>
      <c r="T56" s="8">
        <v>30900</v>
      </c>
      <c r="U56" s="8">
        <v>29250</v>
      </c>
      <c r="V56" s="7">
        <v>76300</v>
      </c>
      <c r="W56" s="7">
        <v>1138000</v>
      </c>
      <c r="X56" s="7">
        <v>35750</v>
      </c>
      <c r="Y56" s="7">
        <v>136000</v>
      </c>
      <c r="Z56" s="7">
        <v>41600</v>
      </c>
      <c r="AA56" s="8">
        <v>22900</v>
      </c>
      <c r="AB56" s="8">
        <v>100500</v>
      </c>
      <c r="AC56" s="8">
        <v>17400</v>
      </c>
      <c r="AD56" s="8">
        <v>58700</v>
      </c>
      <c r="AE56" s="8">
        <v>319000</v>
      </c>
      <c r="AF56" s="7">
        <v>98500</v>
      </c>
      <c r="AG56" s="7">
        <v>88000</v>
      </c>
      <c r="AH56" s="7">
        <v>27650</v>
      </c>
      <c r="AI56" s="7">
        <v>126000</v>
      </c>
      <c r="AJ56" s="7">
        <v>23650</v>
      </c>
      <c r="AK56" s="8">
        <v>20013</v>
      </c>
      <c r="AL56" s="8">
        <v>55800</v>
      </c>
      <c r="AM56" s="8">
        <v>172000</v>
      </c>
      <c r="AN56" s="8">
        <v>25350</v>
      </c>
      <c r="AO56" s="8">
        <v>26900</v>
      </c>
      <c r="AP56" s="7">
        <v>4995</v>
      </c>
      <c r="AQ56" s="7">
        <v>187000</v>
      </c>
      <c r="AR56" s="7">
        <v>54000</v>
      </c>
      <c r="AS56" s="7">
        <v>12150</v>
      </c>
      <c r="AT56" s="7">
        <v>1514000</v>
      </c>
      <c r="AU56" s="8">
        <v>127500</v>
      </c>
      <c r="AV56" s="8">
        <v>297000</v>
      </c>
      <c r="AW56" s="8">
        <v>12600</v>
      </c>
      <c r="AX56" s="8">
        <v>50100</v>
      </c>
      <c r="AY56" s="8">
        <v>13050</v>
      </c>
      <c r="AZ56" s="7">
        <v>344000</v>
      </c>
      <c r="BA56" s="7">
        <v>28900</v>
      </c>
      <c r="BB56" s="7">
        <v>2395</v>
      </c>
      <c r="BC56" s="7">
        <v>60000</v>
      </c>
      <c r="BD56" s="7">
        <v>52000</v>
      </c>
      <c r="BE56" s="8">
        <v>85300</v>
      </c>
      <c r="BF56" s="8">
        <v>36000</v>
      </c>
      <c r="BG56" s="8">
        <v>19800</v>
      </c>
      <c r="BH56" s="8">
        <v>895000</v>
      </c>
      <c r="BI56" s="8">
        <v>21650</v>
      </c>
      <c r="BJ56" s="7">
        <v>30750</v>
      </c>
      <c r="BK56" s="7">
        <v>21850</v>
      </c>
      <c r="BL56" s="7">
        <v>173000</v>
      </c>
      <c r="BM56" s="7">
        <v>4305</v>
      </c>
      <c r="BN56" s="7">
        <v>11300</v>
      </c>
      <c r="BO56" s="8">
        <v>834000</v>
      </c>
      <c r="BP56" s="8">
        <v>59100</v>
      </c>
      <c r="BQ56" s="8">
        <v>9150</v>
      </c>
      <c r="BR56" s="7">
        <v>26900</v>
      </c>
      <c r="BS56" s="7">
        <v>5480</v>
      </c>
      <c r="BT56" s="7">
        <v>27300</v>
      </c>
      <c r="BU56" s="7">
        <v>10300</v>
      </c>
      <c r="BV56" s="8">
        <v>4800</v>
      </c>
    </row>
    <row r="57" spans="1:74" x14ac:dyDescent="0.4">
      <c r="A57" s="11">
        <v>41397</v>
      </c>
      <c r="B57" s="7">
        <v>322000</v>
      </c>
      <c r="C57" s="7">
        <v>128000</v>
      </c>
      <c r="D57" s="7">
        <v>60600</v>
      </c>
      <c r="E57" s="7">
        <v>63000</v>
      </c>
      <c r="F57" s="7">
        <v>257000</v>
      </c>
      <c r="G57" s="8">
        <v>78000</v>
      </c>
      <c r="H57" s="8">
        <v>18100</v>
      </c>
      <c r="I57" s="8">
        <v>13600</v>
      </c>
      <c r="J57" s="8">
        <v>22400</v>
      </c>
      <c r="K57" s="8">
        <v>12450</v>
      </c>
      <c r="L57" s="7">
        <v>39500</v>
      </c>
      <c r="M57" s="7">
        <v>44750</v>
      </c>
      <c r="N57" s="7">
        <v>11800</v>
      </c>
      <c r="O57" s="7">
        <v>16800</v>
      </c>
      <c r="P57" s="7">
        <v>23000</v>
      </c>
      <c r="Q57" s="8">
        <v>160000</v>
      </c>
      <c r="R57" s="8">
        <v>608000</v>
      </c>
      <c r="S57" s="8">
        <v>197000</v>
      </c>
      <c r="T57" s="8">
        <v>30600</v>
      </c>
      <c r="U57" s="8">
        <v>29850</v>
      </c>
      <c r="V57" s="7">
        <v>74900</v>
      </c>
      <c r="W57" s="7">
        <v>1115000</v>
      </c>
      <c r="X57" s="7">
        <v>36650</v>
      </c>
      <c r="Y57" s="7">
        <v>138500</v>
      </c>
      <c r="Z57" s="7">
        <v>40750</v>
      </c>
      <c r="AA57" s="8">
        <v>23250</v>
      </c>
      <c r="AB57" s="8">
        <v>101500</v>
      </c>
      <c r="AC57" s="8">
        <v>17600</v>
      </c>
      <c r="AD57" s="8">
        <v>55900</v>
      </c>
      <c r="AE57" s="8">
        <v>316500</v>
      </c>
      <c r="AF57" s="7">
        <v>99600</v>
      </c>
      <c r="AG57" s="7">
        <v>86900</v>
      </c>
      <c r="AH57" s="7">
        <v>27000</v>
      </c>
      <c r="AI57" s="7">
        <v>122500</v>
      </c>
      <c r="AJ57" s="7">
        <v>22500</v>
      </c>
      <c r="AK57" s="8">
        <v>20119</v>
      </c>
      <c r="AL57" s="8">
        <v>56600</v>
      </c>
      <c r="AM57" s="8">
        <v>174000</v>
      </c>
      <c r="AN57" s="8">
        <v>24500</v>
      </c>
      <c r="AO57" s="8">
        <v>26250</v>
      </c>
      <c r="AP57" s="7">
        <v>5000</v>
      </c>
      <c r="AQ57" s="7">
        <v>189500</v>
      </c>
      <c r="AR57" s="7">
        <v>55900</v>
      </c>
      <c r="AS57" s="7">
        <v>12100</v>
      </c>
      <c r="AT57" s="7">
        <v>1535000</v>
      </c>
      <c r="AU57" s="8">
        <v>129000</v>
      </c>
      <c r="AV57" s="8">
        <v>299000</v>
      </c>
      <c r="AW57" s="8">
        <v>12750</v>
      </c>
      <c r="AX57" s="8">
        <v>49400</v>
      </c>
      <c r="AY57" s="8">
        <v>12100</v>
      </c>
      <c r="AZ57" s="7">
        <v>341000</v>
      </c>
      <c r="BA57" s="7">
        <v>29550</v>
      </c>
      <c r="BB57" s="7">
        <v>2365</v>
      </c>
      <c r="BC57" s="7">
        <v>58700</v>
      </c>
      <c r="BD57" s="7">
        <v>52400</v>
      </c>
      <c r="BE57" s="8">
        <v>84800</v>
      </c>
      <c r="BF57" s="8">
        <v>34950</v>
      </c>
      <c r="BG57" s="8">
        <v>19400</v>
      </c>
      <c r="BH57" s="8">
        <v>881000</v>
      </c>
      <c r="BI57" s="8">
        <v>21850</v>
      </c>
      <c r="BJ57" s="7">
        <v>30700</v>
      </c>
      <c r="BK57" s="7">
        <v>22500</v>
      </c>
      <c r="BL57" s="7">
        <v>180000</v>
      </c>
      <c r="BM57" s="7">
        <v>4110</v>
      </c>
      <c r="BN57" s="7">
        <v>11000</v>
      </c>
      <c r="BO57" s="8">
        <v>836000</v>
      </c>
      <c r="BP57" s="8">
        <v>58900</v>
      </c>
      <c r="BQ57" s="8">
        <v>9030</v>
      </c>
      <c r="BR57" s="7">
        <v>26450</v>
      </c>
      <c r="BS57" s="7">
        <v>5350</v>
      </c>
      <c r="BT57" s="7">
        <v>26750</v>
      </c>
      <c r="BU57" s="7">
        <v>10350</v>
      </c>
      <c r="BV57" s="8">
        <v>4855</v>
      </c>
    </row>
    <row r="58" spans="1:74" x14ac:dyDescent="0.4">
      <c r="A58" s="11">
        <v>41396</v>
      </c>
      <c r="B58" s="7">
        <v>324000</v>
      </c>
      <c r="C58" s="7">
        <v>128000</v>
      </c>
      <c r="D58" s="7">
        <v>60900</v>
      </c>
      <c r="E58" s="7">
        <v>60700</v>
      </c>
      <c r="F58" s="7">
        <v>256000</v>
      </c>
      <c r="G58" s="8">
        <v>77300</v>
      </c>
      <c r="H58" s="8">
        <v>17450</v>
      </c>
      <c r="I58" s="8">
        <v>13900</v>
      </c>
      <c r="J58" s="8">
        <v>22700</v>
      </c>
      <c r="K58" s="8">
        <v>12650</v>
      </c>
      <c r="L58" s="7">
        <v>39250</v>
      </c>
      <c r="M58" s="7">
        <v>44550</v>
      </c>
      <c r="N58" s="7">
        <v>11950</v>
      </c>
      <c r="O58" s="7">
        <v>16450</v>
      </c>
      <c r="P58" s="7">
        <v>21900</v>
      </c>
      <c r="Q58" s="8">
        <v>159500</v>
      </c>
      <c r="R58" s="8">
        <v>623000</v>
      </c>
      <c r="S58" s="8">
        <v>198000</v>
      </c>
      <c r="T58" s="8">
        <v>29750</v>
      </c>
      <c r="U58" s="8">
        <v>29800</v>
      </c>
      <c r="V58" s="7">
        <v>74900</v>
      </c>
      <c r="W58" s="7">
        <v>1125000</v>
      </c>
      <c r="X58" s="7">
        <v>38000</v>
      </c>
      <c r="Y58" s="7">
        <v>141500</v>
      </c>
      <c r="Z58" s="7">
        <v>41050</v>
      </c>
      <c r="AA58" s="8">
        <v>22300</v>
      </c>
      <c r="AB58" s="8">
        <v>103000</v>
      </c>
      <c r="AC58" s="8">
        <v>17750</v>
      </c>
      <c r="AD58" s="8">
        <v>56400</v>
      </c>
      <c r="AE58" s="8">
        <v>314000</v>
      </c>
      <c r="AF58" s="7">
        <v>98500</v>
      </c>
      <c r="AG58" s="7">
        <v>87100</v>
      </c>
      <c r="AH58" s="7">
        <v>26900</v>
      </c>
      <c r="AI58" s="7">
        <v>122000</v>
      </c>
      <c r="AJ58" s="7">
        <v>22550</v>
      </c>
      <c r="AK58" s="8">
        <v>20171</v>
      </c>
      <c r="AL58" s="8">
        <v>55200</v>
      </c>
      <c r="AM58" s="8">
        <v>163000</v>
      </c>
      <c r="AN58" s="8">
        <v>23900</v>
      </c>
      <c r="AO58" s="8">
        <v>26000</v>
      </c>
      <c r="AP58" s="7">
        <v>4920</v>
      </c>
      <c r="AQ58" s="7">
        <v>187500</v>
      </c>
      <c r="AR58" s="7">
        <v>57500</v>
      </c>
      <c r="AS58" s="7">
        <v>12000</v>
      </c>
      <c r="AT58" s="7">
        <v>1528000</v>
      </c>
      <c r="AU58" s="8">
        <v>130500</v>
      </c>
      <c r="AV58" s="8">
        <v>300000</v>
      </c>
      <c r="AW58" s="8">
        <v>12450</v>
      </c>
      <c r="AX58" s="8">
        <v>48700</v>
      </c>
      <c r="AY58" s="8">
        <v>11850</v>
      </c>
      <c r="AZ58" s="7">
        <v>324000</v>
      </c>
      <c r="BA58" s="7">
        <v>29450</v>
      </c>
      <c r="BB58" s="7">
        <v>2365</v>
      </c>
      <c r="BC58" s="7">
        <v>58100</v>
      </c>
      <c r="BD58" s="7">
        <v>49200</v>
      </c>
      <c r="BE58" s="8">
        <v>85100</v>
      </c>
      <c r="BF58" s="8">
        <v>35150</v>
      </c>
      <c r="BG58" s="8">
        <v>19300</v>
      </c>
      <c r="BH58" s="8">
        <v>870000</v>
      </c>
      <c r="BI58" s="8">
        <v>21200</v>
      </c>
      <c r="BJ58" s="7">
        <v>30950</v>
      </c>
      <c r="BK58" s="7">
        <v>22650</v>
      </c>
      <c r="BL58" s="7">
        <v>165000</v>
      </c>
      <c r="BM58" s="7">
        <v>4085</v>
      </c>
      <c r="BN58" s="7">
        <v>10900</v>
      </c>
      <c r="BO58" s="8">
        <v>836000</v>
      </c>
      <c r="BP58" s="8">
        <v>58900</v>
      </c>
      <c r="BQ58" s="8">
        <v>8900</v>
      </c>
      <c r="BR58" s="7">
        <v>26350</v>
      </c>
      <c r="BS58" s="7">
        <v>5360</v>
      </c>
      <c r="BT58" s="7">
        <v>26200</v>
      </c>
      <c r="BU58" s="7">
        <v>10300</v>
      </c>
      <c r="BV58" s="8">
        <v>4900</v>
      </c>
    </row>
    <row r="59" spans="1:74" x14ac:dyDescent="0.4">
      <c r="A59" s="73">
        <v>41394</v>
      </c>
      <c r="B59" s="74">
        <v>327300</v>
      </c>
      <c r="C59" s="74">
        <v>128500</v>
      </c>
      <c r="D59" s="74">
        <v>60100</v>
      </c>
      <c r="E59" s="74">
        <v>61300</v>
      </c>
      <c r="F59" s="74">
        <v>260000</v>
      </c>
      <c r="G59" s="75">
        <v>78100</v>
      </c>
      <c r="H59" s="75">
        <v>18300</v>
      </c>
      <c r="I59" s="75">
        <v>14500</v>
      </c>
      <c r="J59" s="75">
        <v>21650</v>
      </c>
      <c r="K59" s="75">
        <v>13050</v>
      </c>
      <c r="L59" s="74">
        <v>42350</v>
      </c>
      <c r="M59" s="74">
        <v>45950</v>
      </c>
      <c r="N59" s="74">
        <v>10400</v>
      </c>
      <c r="O59" s="74">
        <v>16400</v>
      </c>
      <c r="P59" s="74">
        <v>22600</v>
      </c>
      <c r="Q59" s="75">
        <v>162500</v>
      </c>
      <c r="R59" s="75">
        <v>619000</v>
      </c>
      <c r="S59" s="75">
        <v>201000</v>
      </c>
      <c r="T59" s="75">
        <v>29750</v>
      </c>
      <c r="U59" s="75">
        <v>29800</v>
      </c>
      <c r="V59" s="74">
        <v>76200</v>
      </c>
      <c r="W59" s="74">
        <v>1165000</v>
      </c>
      <c r="X59" s="74">
        <v>39100</v>
      </c>
      <c r="Y59" s="74">
        <v>144500</v>
      </c>
      <c r="Z59" s="74">
        <v>42550</v>
      </c>
      <c r="AA59" s="75">
        <v>23100</v>
      </c>
      <c r="AB59" s="75">
        <v>107000</v>
      </c>
      <c r="AC59" s="75">
        <v>17400</v>
      </c>
      <c r="AD59" s="75">
        <v>58200</v>
      </c>
      <c r="AE59" s="75">
        <v>314000</v>
      </c>
      <c r="AF59" s="74">
        <v>98500</v>
      </c>
      <c r="AG59" s="74">
        <v>88500</v>
      </c>
      <c r="AH59" s="74">
        <v>28250</v>
      </c>
      <c r="AI59" s="74">
        <v>123000</v>
      </c>
      <c r="AJ59" s="74">
        <v>22850</v>
      </c>
      <c r="AK59" s="75">
        <v>20777</v>
      </c>
      <c r="AL59" s="75">
        <v>54800</v>
      </c>
      <c r="AM59" s="75">
        <v>166000</v>
      </c>
      <c r="AN59" s="75">
        <v>23650</v>
      </c>
      <c r="AO59" s="75">
        <v>26450</v>
      </c>
      <c r="AP59" s="74">
        <v>4930</v>
      </c>
      <c r="AQ59" s="74">
        <v>185000</v>
      </c>
      <c r="AR59" s="74">
        <v>56300</v>
      </c>
      <c r="AS59" s="74">
        <v>11850</v>
      </c>
      <c r="AT59" s="74">
        <v>1520000</v>
      </c>
      <c r="AU59" s="75">
        <v>137000</v>
      </c>
      <c r="AV59" s="75">
        <v>296000</v>
      </c>
      <c r="AW59" s="75">
        <v>12600</v>
      </c>
      <c r="AX59" s="75">
        <v>48700</v>
      </c>
      <c r="AY59" s="75">
        <v>11950</v>
      </c>
      <c r="AZ59" s="74">
        <v>315500</v>
      </c>
      <c r="BA59" s="74">
        <v>29900</v>
      </c>
      <c r="BB59" s="74">
        <v>2380</v>
      </c>
      <c r="BC59" s="74">
        <v>59000</v>
      </c>
      <c r="BD59" s="74">
        <v>49750</v>
      </c>
      <c r="BE59" s="75">
        <v>88100</v>
      </c>
      <c r="BF59" s="75">
        <v>35300</v>
      </c>
      <c r="BG59" s="75">
        <v>19150</v>
      </c>
      <c r="BH59" s="75">
        <v>871000</v>
      </c>
      <c r="BI59" s="75">
        <v>21850</v>
      </c>
      <c r="BJ59" s="74">
        <v>32750</v>
      </c>
      <c r="BK59" s="74">
        <v>22600</v>
      </c>
      <c r="BL59" s="74">
        <v>162500</v>
      </c>
      <c r="BM59" s="74">
        <v>4170</v>
      </c>
      <c r="BN59" s="74">
        <v>11150</v>
      </c>
      <c r="BO59" s="75">
        <v>880000</v>
      </c>
      <c r="BP59" s="75">
        <v>59300</v>
      </c>
      <c r="BQ59" s="75">
        <v>8910</v>
      </c>
      <c r="BR59" s="74">
        <v>27350</v>
      </c>
      <c r="BS59" s="74">
        <v>5360</v>
      </c>
      <c r="BT59" s="74">
        <v>26150</v>
      </c>
      <c r="BU59" s="74">
        <v>9940</v>
      </c>
      <c r="BV59" s="75">
        <v>4830</v>
      </c>
    </row>
    <row r="60" spans="1:74" x14ac:dyDescent="0.4">
      <c r="A60" s="11">
        <v>41393</v>
      </c>
      <c r="B60" s="7">
        <v>323800</v>
      </c>
      <c r="C60" s="7">
        <v>124000</v>
      </c>
      <c r="D60" s="7">
        <v>61400</v>
      </c>
      <c r="E60" s="7">
        <v>59900</v>
      </c>
      <c r="F60" s="7">
        <v>250500</v>
      </c>
      <c r="G60" s="8">
        <v>79400</v>
      </c>
      <c r="H60" s="8">
        <v>19050</v>
      </c>
      <c r="I60" s="8">
        <v>14250</v>
      </c>
      <c r="J60" s="8">
        <v>21700</v>
      </c>
      <c r="K60" s="8">
        <v>12950</v>
      </c>
      <c r="L60" s="7">
        <v>46400</v>
      </c>
      <c r="M60" s="7">
        <v>44950</v>
      </c>
      <c r="N60" s="7">
        <v>9830</v>
      </c>
      <c r="O60" s="7">
        <v>16250</v>
      </c>
      <c r="P60" s="7">
        <v>22600</v>
      </c>
      <c r="Q60" s="8">
        <v>159500</v>
      </c>
      <c r="R60" s="8">
        <v>615000</v>
      </c>
      <c r="S60" s="8">
        <v>199000</v>
      </c>
      <c r="T60" s="8">
        <v>30200</v>
      </c>
      <c r="U60" s="8">
        <v>29950</v>
      </c>
      <c r="V60" s="7">
        <v>73000</v>
      </c>
      <c r="W60" s="7">
        <v>1157000</v>
      </c>
      <c r="X60" s="7">
        <v>39100</v>
      </c>
      <c r="Y60" s="7">
        <v>146500</v>
      </c>
      <c r="Z60" s="7">
        <v>42150</v>
      </c>
      <c r="AA60" s="8">
        <v>23900</v>
      </c>
      <c r="AB60" s="8">
        <v>106000</v>
      </c>
      <c r="AC60" s="8">
        <v>17050</v>
      </c>
      <c r="AD60" s="8">
        <v>57200</v>
      </c>
      <c r="AE60" s="8">
        <v>312500</v>
      </c>
      <c r="AF60" s="7">
        <v>97700</v>
      </c>
      <c r="AG60" s="7">
        <v>87700</v>
      </c>
      <c r="AH60" s="7">
        <v>28250</v>
      </c>
      <c r="AI60" s="7">
        <v>123000</v>
      </c>
      <c r="AJ60" s="7">
        <v>23550</v>
      </c>
      <c r="AK60" s="8">
        <v>20645</v>
      </c>
      <c r="AL60" s="8">
        <v>54200</v>
      </c>
      <c r="AM60" s="8">
        <v>163000</v>
      </c>
      <c r="AN60" s="8">
        <v>22950</v>
      </c>
      <c r="AO60" s="8">
        <v>25300</v>
      </c>
      <c r="AP60" s="7">
        <v>4840</v>
      </c>
      <c r="AQ60" s="7">
        <v>181000</v>
      </c>
      <c r="AR60" s="7">
        <v>57600</v>
      </c>
      <c r="AS60" s="7">
        <v>11750</v>
      </c>
      <c r="AT60" s="7">
        <v>1481000</v>
      </c>
      <c r="AU60" s="8">
        <v>136500</v>
      </c>
      <c r="AV60" s="8">
        <v>287000</v>
      </c>
      <c r="AW60" s="8">
        <v>12450</v>
      </c>
      <c r="AX60" s="8">
        <v>48000</v>
      </c>
      <c r="AY60" s="8">
        <v>12200</v>
      </c>
      <c r="AZ60" s="7">
        <v>309500</v>
      </c>
      <c r="BA60" s="7">
        <v>29550</v>
      </c>
      <c r="BB60" s="7">
        <v>2380</v>
      </c>
      <c r="BC60" s="7">
        <v>58000</v>
      </c>
      <c r="BD60" s="7">
        <v>49550</v>
      </c>
      <c r="BE60" s="8">
        <v>88500</v>
      </c>
      <c r="BF60" s="8">
        <v>34300</v>
      </c>
      <c r="BG60" s="8">
        <v>18900</v>
      </c>
      <c r="BH60" s="8">
        <v>868000</v>
      </c>
      <c r="BI60" s="8">
        <v>21850</v>
      </c>
      <c r="BJ60" s="7">
        <v>32800</v>
      </c>
      <c r="BK60" s="7">
        <v>22300</v>
      </c>
      <c r="BL60" s="7">
        <v>163500</v>
      </c>
      <c r="BM60" s="7">
        <v>4300</v>
      </c>
      <c r="BN60" s="7">
        <v>11300</v>
      </c>
      <c r="BO60" s="8">
        <v>878000</v>
      </c>
      <c r="BP60" s="8">
        <v>59000</v>
      </c>
      <c r="BQ60" s="8">
        <v>9080</v>
      </c>
      <c r="BR60" s="7">
        <v>27200</v>
      </c>
      <c r="BS60" s="7">
        <v>5420</v>
      </c>
      <c r="BT60" s="7">
        <v>25650</v>
      </c>
      <c r="BU60" s="7">
        <v>9790</v>
      </c>
      <c r="BV60" s="8">
        <v>4660</v>
      </c>
    </row>
    <row r="61" spans="1:74" x14ac:dyDescent="0.4">
      <c r="A61" s="11">
        <v>41390</v>
      </c>
      <c r="B61" s="7">
        <v>317300</v>
      </c>
      <c r="C61" s="7">
        <v>124000</v>
      </c>
      <c r="D61" s="7">
        <v>60700</v>
      </c>
      <c r="E61" s="7">
        <v>59700</v>
      </c>
      <c r="F61" s="7">
        <v>254000</v>
      </c>
      <c r="G61" s="8">
        <v>79000</v>
      </c>
      <c r="H61" s="8">
        <v>18650</v>
      </c>
      <c r="I61" s="8">
        <v>14350</v>
      </c>
      <c r="J61" s="8">
        <v>20700</v>
      </c>
      <c r="K61" s="8">
        <v>12650</v>
      </c>
      <c r="L61" s="7">
        <v>47000</v>
      </c>
      <c r="M61" s="7">
        <v>44900</v>
      </c>
      <c r="N61" s="7">
        <v>9430</v>
      </c>
      <c r="O61" s="7">
        <v>16450</v>
      </c>
      <c r="P61" s="7">
        <v>23400</v>
      </c>
      <c r="Q61" s="8">
        <v>166500</v>
      </c>
      <c r="R61" s="8">
        <v>610000</v>
      </c>
      <c r="S61" s="8">
        <v>202000</v>
      </c>
      <c r="T61" s="8">
        <v>30600</v>
      </c>
      <c r="U61" s="8">
        <v>30500</v>
      </c>
      <c r="V61" s="7">
        <v>72700</v>
      </c>
      <c r="W61" s="7">
        <v>1124000</v>
      </c>
      <c r="X61" s="7">
        <v>38000</v>
      </c>
      <c r="Y61" s="7">
        <v>143500</v>
      </c>
      <c r="Z61" s="7">
        <v>40000</v>
      </c>
      <c r="AA61" s="8">
        <v>22550</v>
      </c>
      <c r="AB61" s="8">
        <v>101500</v>
      </c>
      <c r="AC61" s="8">
        <v>17400</v>
      </c>
      <c r="AD61" s="8">
        <v>58000</v>
      </c>
      <c r="AE61" s="8">
        <v>316000</v>
      </c>
      <c r="AF61" s="7">
        <v>97700</v>
      </c>
      <c r="AG61" s="7">
        <v>88600</v>
      </c>
      <c r="AH61" s="7">
        <v>28500</v>
      </c>
      <c r="AI61" s="7">
        <v>123000</v>
      </c>
      <c r="AJ61" s="7">
        <v>23250</v>
      </c>
      <c r="AK61" s="8">
        <v>20435</v>
      </c>
      <c r="AL61" s="8">
        <v>52600</v>
      </c>
      <c r="AM61" s="8">
        <v>165500</v>
      </c>
      <c r="AN61" s="8">
        <v>23100</v>
      </c>
      <c r="AO61" s="8">
        <v>26150</v>
      </c>
      <c r="AP61" s="7">
        <v>4750</v>
      </c>
      <c r="AQ61" s="7">
        <v>184500</v>
      </c>
      <c r="AR61" s="7">
        <v>54300</v>
      </c>
      <c r="AS61" s="7">
        <v>11950</v>
      </c>
      <c r="AT61" s="7">
        <v>1486000</v>
      </c>
      <c r="AU61" s="8">
        <v>135000</v>
      </c>
      <c r="AV61" s="8">
        <v>286500</v>
      </c>
      <c r="AW61" s="8">
        <v>11800</v>
      </c>
      <c r="AX61" s="8">
        <v>47000</v>
      </c>
      <c r="AY61" s="8">
        <v>11350</v>
      </c>
      <c r="AZ61" s="7">
        <v>309000</v>
      </c>
      <c r="BA61" s="7">
        <v>29450</v>
      </c>
      <c r="BB61" s="7">
        <v>2375</v>
      </c>
      <c r="BC61" s="7">
        <v>57700</v>
      </c>
      <c r="BD61" s="7">
        <v>45850</v>
      </c>
      <c r="BE61" s="8">
        <v>89700</v>
      </c>
      <c r="BF61" s="8">
        <v>35200</v>
      </c>
      <c r="BG61" s="8">
        <v>18900</v>
      </c>
      <c r="BH61" s="8">
        <v>879000</v>
      </c>
      <c r="BI61" s="8">
        <v>22200</v>
      </c>
      <c r="BJ61" s="7">
        <v>32600</v>
      </c>
      <c r="BK61" s="7">
        <v>22600</v>
      </c>
      <c r="BL61" s="7">
        <v>159500</v>
      </c>
      <c r="BM61" s="7">
        <v>4215</v>
      </c>
      <c r="BN61" s="7">
        <v>11100</v>
      </c>
      <c r="BO61" s="8">
        <v>870000</v>
      </c>
      <c r="BP61" s="8">
        <v>59300</v>
      </c>
      <c r="BQ61" s="8">
        <v>9340</v>
      </c>
      <c r="BR61" s="7">
        <v>27550</v>
      </c>
      <c r="BS61" s="7">
        <v>5510</v>
      </c>
      <c r="BT61" s="7">
        <v>25600</v>
      </c>
      <c r="BU61" s="7">
        <v>9950</v>
      </c>
      <c r="BV61" s="8">
        <v>4705</v>
      </c>
    </row>
    <row r="62" spans="1:74" x14ac:dyDescent="0.4">
      <c r="A62" s="11">
        <v>41389</v>
      </c>
      <c r="B62" s="7">
        <v>313000</v>
      </c>
      <c r="C62" s="7">
        <v>125000</v>
      </c>
      <c r="D62" s="7">
        <v>62000</v>
      </c>
      <c r="E62" s="7">
        <v>59200</v>
      </c>
      <c r="F62" s="7">
        <v>257500</v>
      </c>
      <c r="G62" s="8">
        <v>76100</v>
      </c>
      <c r="H62" s="8">
        <v>18450</v>
      </c>
      <c r="I62" s="8">
        <v>14650</v>
      </c>
      <c r="J62" s="8">
        <v>20200</v>
      </c>
      <c r="K62" s="8">
        <v>12700</v>
      </c>
      <c r="L62" s="7">
        <v>47400</v>
      </c>
      <c r="M62" s="7">
        <v>44950</v>
      </c>
      <c r="N62" s="7">
        <v>9310</v>
      </c>
      <c r="O62" s="7">
        <v>16500</v>
      </c>
      <c r="P62" s="7">
        <v>24550</v>
      </c>
      <c r="Q62" s="8">
        <v>169500</v>
      </c>
      <c r="R62" s="8">
        <v>609000</v>
      </c>
      <c r="S62" s="8">
        <v>203500</v>
      </c>
      <c r="T62" s="8">
        <v>30000</v>
      </c>
      <c r="U62" s="8">
        <v>30250</v>
      </c>
      <c r="V62" s="7">
        <v>73000</v>
      </c>
      <c r="W62" s="7">
        <v>1124000</v>
      </c>
      <c r="X62" s="7">
        <v>36100</v>
      </c>
      <c r="Y62" s="7">
        <v>143500</v>
      </c>
      <c r="Z62" s="7">
        <v>38700</v>
      </c>
      <c r="AA62" s="8">
        <v>21700</v>
      </c>
      <c r="AB62" s="8">
        <v>102000</v>
      </c>
      <c r="AC62" s="8">
        <v>17050</v>
      </c>
      <c r="AD62" s="8">
        <v>56900</v>
      </c>
      <c r="AE62" s="8">
        <v>322500</v>
      </c>
      <c r="AF62" s="7">
        <v>94300</v>
      </c>
      <c r="AG62" s="7">
        <v>89000</v>
      </c>
      <c r="AH62" s="7">
        <v>28750</v>
      </c>
      <c r="AI62" s="7">
        <v>123000</v>
      </c>
      <c r="AJ62" s="7">
        <v>23000</v>
      </c>
      <c r="AK62" s="8">
        <v>19882</v>
      </c>
      <c r="AL62" s="8">
        <v>52500</v>
      </c>
      <c r="AM62" s="8">
        <v>166500</v>
      </c>
      <c r="AN62" s="8">
        <v>23250</v>
      </c>
      <c r="AO62" s="8">
        <v>26100</v>
      </c>
      <c r="AP62" s="7">
        <v>4650</v>
      </c>
      <c r="AQ62" s="7">
        <v>182500</v>
      </c>
      <c r="AR62" s="7">
        <v>53900</v>
      </c>
      <c r="AS62" s="7">
        <v>11650</v>
      </c>
      <c r="AT62" s="7">
        <v>1494000</v>
      </c>
      <c r="AU62" s="8">
        <v>132500</v>
      </c>
      <c r="AV62" s="8">
        <v>289500</v>
      </c>
      <c r="AW62" s="8">
        <v>11900</v>
      </c>
      <c r="AX62" s="8">
        <v>45300</v>
      </c>
      <c r="AY62" s="8">
        <v>11350</v>
      </c>
      <c r="AZ62" s="7">
        <v>309500</v>
      </c>
      <c r="BA62" s="7">
        <v>29500</v>
      </c>
      <c r="BB62" s="7">
        <v>2370</v>
      </c>
      <c r="BC62" s="7">
        <v>59700</v>
      </c>
      <c r="BD62" s="7">
        <v>41500</v>
      </c>
      <c r="BE62" s="8">
        <v>88500</v>
      </c>
      <c r="BF62" s="8">
        <v>35700</v>
      </c>
      <c r="BG62" s="8">
        <v>19200</v>
      </c>
      <c r="BH62" s="8">
        <v>877000</v>
      </c>
      <c r="BI62" s="8">
        <v>21750</v>
      </c>
      <c r="BJ62" s="7">
        <v>32600</v>
      </c>
      <c r="BK62" s="7">
        <v>22300</v>
      </c>
      <c r="BL62" s="7">
        <v>159500</v>
      </c>
      <c r="BM62" s="7">
        <v>4220</v>
      </c>
      <c r="BN62" s="7">
        <v>11400</v>
      </c>
      <c r="BO62" s="8">
        <v>857000</v>
      </c>
      <c r="BP62" s="8">
        <v>58700</v>
      </c>
      <c r="BQ62" s="8">
        <v>9190</v>
      </c>
      <c r="BR62" s="7">
        <v>27100</v>
      </c>
      <c r="BS62" s="7">
        <v>5370</v>
      </c>
      <c r="BT62" s="7">
        <v>25250</v>
      </c>
      <c r="BU62" s="7">
        <v>9990</v>
      </c>
      <c r="BV62" s="8">
        <v>4570</v>
      </c>
    </row>
    <row r="63" spans="1:74" x14ac:dyDescent="0.4">
      <c r="A63" s="11">
        <v>41388</v>
      </c>
      <c r="B63" s="7">
        <v>317800</v>
      </c>
      <c r="C63" s="7">
        <v>124500</v>
      </c>
      <c r="D63" s="7">
        <v>64000</v>
      </c>
      <c r="E63" s="7">
        <v>60400</v>
      </c>
      <c r="F63" s="7">
        <v>253500</v>
      </c>
      <c r="G63" s="8">
        <v>72000</v>
      </c>
      <c r="H63" s="8">
        <v>18550</v>
      </c>
      <c r="I63" s="8">
        <v>14800</v>
      </c>
      <c r="J63" s="8">
        <v>21850</v>
      </c>
      <c r="K63" s="8">
        <v>12600</v>
      </c>
      <c r="L63" s="7">
        <v>49150</v>
      </c>
      <c r="M63" s="7">
        <v>44250</v>
      </c>
      <c r="N63" s="7">
        <v>9400</v>
      </c>
      <c r="O63" s="7">
        <v>16150</v>
      </c>
      <c r="P63" s="7">
        <v>23700</v>
      </c>
      <c r="Q63" s="8">
        <v>165000</v>
      </c>
      <c r="R63" s="8">
        <v>603000</v>
      </c>
      <c r="S63" s="8">
        <v>200000</v>
      </c>
      <c r="T63" s="8">
        <v>28950</v>
      </c>
      <c r="U63" s="8">
        <v>31300</v>
      </c>
      <c r="V63" s="7">
        <v>70000</v>
      </c>
      <c r="W63" s="7">
        <v>1168000</v>
      </c>
      <c r="X63" s="7">
        <v>35400</v>
      </c>
      <c r="Y63" s="7">
        <v>144000</v>
      </c>
      <c r="Z63" s="7">
        <v>39800</v>
      </c>
      <c r="AA63" s="8">
        <v>21600</v>
      </c>
      <c r="AB63" s="8">
        <v>106500</v>
      </c>
      <c r="AC63" s="8">
        <v>17150</v>
      </c>
      <c r="AD63" s="8">
        <v>57400</v>
      </c>
      <c r="AE63" s="8">
        <v>319500</v>
      </c>
      <c r="AF63" s="7">
        <v>94600</v>
      </c>
      <c r="AG63" s="7">
        <v>87000</v>
      </c>
      <c r="AH63" s="7">
        <v>28850</v>
      </c>
      <c r="AI63" s="7">
        <v>123000</v>
      </c>
      <c r="AJ63" s="7">
        <v>23600</v>
      </c>
      <c r="AK63" s="8">
        <v>20198</v>
      </c>
      <c r="AL63" s="8">
        <v>50300</v>
      </c>
      <c r="AM63" s="8">
        <v>165500</v>
      </c>
      <c r="AN63" s="8">
        <v>23900</v>
      </c>
      <c r="AO63" s="8">
        <v>26000</v>
      </c>
      <c r="AP63" s="7">
        <v>4660</v>
      </c>
      <c r="AQ63" s="7">
        <v>176000</v>
      </c>
      <c r="AR63" s="7">
        <v>56000</v>
      </c>
      <c r="AS63" s="7">
        <v>11350</v>
      </c>
      <c r="AT63" s="7">
        <v>1486000</v>
      </c>
      <c r="AU63" s="8">
        <v>136000</v>
      </c>
      <c r="AV63" s="8">
        <v>289000</v>
      </c>
      <c r="AW63" s="8">
        <v>11650</v>
      </c>
      <c r="AX63" s="8">
        <v>44450</v>
      </c>
      <c r="AY63" s="8">
        <v>11250</v>
      </c>
      <c r="AZ63" s="7">
        <v>301000</v>
      </c>
      <c r="BA63" s="7">
        <v>29100</v>
      </c>
      <c r="BB63" s="7">
        <v>2360</v>
      </c>
      <c r="BC63" s="7">
        <v>59800</v>
      </c>
      <c r="BD63" s="7">
        <v>40000</v>
      </c>
      <c r="BE63" s="8">
        <v>90000</v>
      </c>
      <c r="BF63" s="8">
        <v>35700</v>
      </c>
      <c r="BG63" s="8">
        <v>18900</v>
      </c>
      <c r="BH63" s="8">
        <v>880000</v>
      </c>
      <c r="BI63" s="8">
        <v>21550</v>
      </c>
      <c r="BJ63" s="7">
        <v>32700</v>
      </c>
      <c r="BK63" s="7">
        <v>22350</v>
      </c>
      <c r="BL63" s="7">
        <v>158500</v>
      </c>
      <c r="BM63" s="7">
        <v>4145</v>
      </c>
      <c r="BN63" s="7">
        <v>11550</v>
      </c>
      <c r="BO63" s="8">
        <v>833000</v>
      </c>
      <c r="BP63" s="8">
        <v>57400</v>
      </c>
      <c r="BQ63" s="8">
        <v>9250</v>
      </c>
      <c r="BR63" s="7">
        <v>27850</v>
      </c>
      <c r="BS63" s="7">
        <v>5260</v>
      </c>
      <c r="BT63" s="7">
        <v>24850</v>
      </c>
      <c r="BU63" s="7">
        <v>9670</v>
      </c>
      <c r="BV63" s="8">
        <v>4670</v>
      </c>
    </row>
    <row r="64" spans="1:74" x14ac:dyDescent="0.4">
      <c r="A64" s="73">
        <v>41387</v>
      </c>
      <c r="B64" s="74">
        <v>317900</v>
      </c>
      <c r="C64" s="74">
        <v>122500</v>
      </c>
      <c r="D64" s="74">
        <v>63700</v>
      </c>
      <c r="E64" s="74">
        <v>61700</v>
      </c>
      <c r="F64" s="74">
        <v>250000</v>
      </c>
      <c r="G64" s="75">
        <v>72400</v>
      </c>
      <c r="H64" s="75">
        <v>19000</v>
      </c>
      <c r="I64" s="75">
        <v>14350</v>
      </c>
      <c r="J64" s="75">
        <v>22050</v>
      </c>
      <c r="K64" s="75">
        <v>12400</v>
      </c>
      <c r="L64" s="74">
        <v>50100</v>
      </c>
      <c r="M64" s="74">
        <v>44200</v>
      </c>
      <c r="N64" s="74">
        <v>9410</v>
      </c>
      <c r="O64" s="74">
        <v>16000</v>
      </c>
      <c r="P64" s="74">
        <v>22700</v>
      </c>
      <c r="Q64" s="75">
        <v>165000</v>
      </c>
      <c r="R64" s="75">
        <v>607000</v>
      </c>
      <c r="S64" s="75">
        <v>197000</v>
      </c>
      <c r="T64" s="75">
        <v>29300</v>
      </c>
      <c r="U64" s="75">
        <v>30850</v>
      </c>
      <c r="V64" s="74">
        <v>68900</v>
      </c>
      <c r="W64" s="74">
        <v>1175000</v>
      </c>
      <c r="X64" s="74">
        <v>34400</v>
      </c>
      <c r="Y64" s="74">
        <v>146500</v>
      </c>
      <c r="Z64" s="74">
        <v>39450</v>
      </c>
      <c r="AA64" s="75">
        <v>20750</v>
      </c>
      <c r="AB64" s="75">
        <v>105500</v>
      </c>
      <c r="AC64" s="75">
        <v>16900</v>
      </c>
      <c r="AD64" s="75">
        <v>59600</v>
      </c>
      <c r="AE64" s="75">
        <v>319500</v>
      </c>
      <c r="AF64" s="74">
        <v>95900</v>
      </c>
      <c r="AG64" s="74">
        <v>86600</v>
      </c>
      <c r="AH64" s="74">
        <v>28050</v>
      </c>
      <c r="AI64" s="74">
        <v>121500</v>
      </c>
      <c r="AJ64" s="74">
        <v>24000</v>
      </c>
      <c r="AK64" s="75">
        <v>19487</v>
      </c>
      <c r="AL64" s="75">
        <v>49550</v>
      </c>
      <c r="AM64" s="75">
        <v>168000</v>
      </c>
      <c r="AN64" s="75">
        <v>23350</v>
      </c>
      <c r="AO64" s="75">
        <v>25600</v>
      </c>
      <c r="AP64" s="74">
        <v>4700</v>
      </c>
      <c r="AQ64" s="74">
        <v>173000</v>
      </c>
      <c r="AR64" s="74">
        <v>57000</v>
      </c>
      <c r="AS64" s="74">
        <v>11150</v>
      </c>
      <c r="AT64" s="74">
        <v>1483000</v>
      </c>
      <c r="AU64" s="75">
        <v>135500</v>
      </c>
      <c r="AV64" s="75">
        <v>291000</v>
      </c>
      <c r="AW64" s="75">
        <v>11650</v>
      </c>
      <c r="AX64" s="75">
        <v>44150</v>
      </c>
      <c r="AY64" s="75">
        <v>11100</v>
      </c>
      <c r="AZ64" s="74">
        <v>287000</v>
      </c>
      <c r="BA64" s="74">
        <v>28850</v>
      </c>
      <c r="BB64" s="74">
        <v>2310</v>
      </c>
      <c r="BC64" s="74">
        <v>58100</v>
      </c>
      <c r="BD64" s="74">
        <v>38300</v>
      </c>
      <c r="BE64" s="75">
        <v>90400</v>
      </c>
      <c r="BF64" s="75">
        <v>33500</v>
      </c>
      <c r="BG64" s="75">
        <v>18650</v>
      </c>
      <c r="BH64" s="75">
        <v>880000</v>
      </c>
      <c r="BI64" s="75">
        <v>21800</v>
      </c>
      <c r="BJ64" s="74">
        <v>31850</v>
      </c>
      <c r="BK64" s="74">
        <v>21900</v>
      </c>
      <c r="BL64" s="74">
        <v>161000</v>
      </c>
      <c r="BM64" s="74">
        <v>4170</v>
      </c>
      <c r="BN64" s="74">
        <v>11450</v>
      </c>
      <c r="BO64" s="75">
        <v>821000</v>
      </c>
      <c r="BP64" s="75">
        <v>56700</v>
      </c>
      <c r="BQ64" s="75">
        <v>8950</v>
      </c>
      <c r="BR64" s="74">
        <v>27850</v>
      </c>
      <c r="BS64" s="74">
        <v>5280</v>
      </c>
      <c r="BT64" s="74">
        <v>24150</v>
      </c>
      <c r="BU64" s="74">
        <v>9830</v>
      </c>
      <c r="BV64" s="75">
        <v>4685</v>
      </c>
    </row>
    <row r="65" spans="1:74" x14ac:dyDescent="0.4">
      <c r="A65" s="11">
        <v>41386</v>
      </c>
      <c r="B65" s="7">
        <v>309500</v>
      </c>
      <c r="C65" s="7">
        <v>124000</v>
      </c>
      <c r="D65" s="7">
        <v>63800</v>
      </c>
      <c r="E65" s="7">
        <v>59300</v>
      </c>
      <c r="F65" s="7">
        <v>254500</v>
      </c>
      <c r="G65" s="8">
        <v>73000</v>
      </c>
      <c r="H65" s="8">
        <v>19000</v>
      </c>
      <c r="I65" s="8">
        <v>14800</v>
      </c>
      <c r="J65" s="8">
        <v>21550</v>
      </c>
      <c r="K65" s="8">
        <v>12600</v>
      </c>
      <c r="L65" s="7">
        <v>49200</v>
      </c>
      <c r="M65" s="7">
        <v>44750</v>
      </c>
      <c r="N65" s="7">
        <v>9330</v>
      </c>
      <c r="O65" s="7">
        <v>15050</v>
      </c>
      <c r="P65" s="7">
        <v>22850</v>
      </c>
      <c r="Q65" s="8">
        <v>167500</v>
      </c>
      <c r="R65" s="8">
        <v>600000</v>
      </c>
      <c r="S65" s="8">
        <v>198000</v>
      </c>
      <c r="T65" s="8">
        <v>28950</v>
      </c>
      <c r="U65" s="8">
        <v>30950</v>
      </c>
      <c r="V65" s="7">
        <v>71700</v>
      </c>
      <c r="W65" s="7">
        <v>1207000</v>
      </c>
      <c r="X65" s="7">
        <v>34100</v>
      </c>
      <c r="Y65" s="7">
        <v>145000</v>
      </c>
      <c r="Z65" s="7">
        <v>39550</v>
      </c>
      <c r="AA65" s="8">
        <v>20450</v>
      </c>
      <c r="AB65" s="8">
        <v>104000</v>
      </c>
      <c r="AC65" s="8">
        <v>16500</v>
      </c>
      <c r="AD65" s="8">
        <v>59200</v>
      </c>
      <c r="AE65" s="8">
        <v>320500</v>
      </c>
      <c r="AF65" s="7">
        <v>95300</v>
      </c>
      <c r="AG65" s="7">
        <v>87000</v>
      </c>
      <c r="AH65" s="7">
        <v>28350</v>
      </c>
      <c r="AI65" s="7">
        <v>121500</v>
      </c>
      <c r="AJ65" s="7">
        <v>23150</v>
      </c>
      <c r="AK65" s="8">
        <v>19302</v>
      </c>
      <c r="AL65" s="8">
        <v>49650</v>
      </c>
      <c r="AM65" s="8">
        <v>167000</v>
      </c>
      <c r="AN65" s="8">
        <v>22750</v>
      </c>
      <c r="AO65" s="8">
        <v>25250</v>
      </c>
      <c r="AP65" s="7">
        <v>4775</v>
      </c>
      <c r="AQ65" s="7">
        <v>170000</v>
      </c>
      <c r="AR65" s="7">
        <v>55400</v>
      </c>
      <c r="AS65" s="7">
        <v>11350</v>
      </c>
      <c r="AT65" s="7">
        <v>1503000</v>
      </c>
      <c r="AU65" s="8">
        <v>132500</v>
      </c>
      <c r="AV65" s="8">
        <v>289000</v>
      </c>
      <c r="AW65" s="8">
        <v>11350</v>
      </c>
      <c r="AX65" s="8">
        <v>43800</v>
      </c>
      <c r="AY65" s="8">
        <v>11300</v>
      </c>
      <c r="AZ65" s="7">
        <v>286500</v>
      </c>
      <c r="BA65" s="7">
        <v>29000</v>
      </c>
      <c r="BB65" s="7">
        <v>2340</v>
      </c>
      <c r="BC65" s="7">
        <v>58200</v>
      </c>
      <c r="BD65" s="7">
        <v>39850</v>
      </c>
      <c r="BE65" s="8">
        <v>89900</v>
      </c>
      <c r="BF65" s="8">
        <v>33500</v>
      </c>
      <c r="BG65" s="8">
        <v>18600</v>
      </c>
      <c r="BH65" s="8">
        <v>870000</v>
      </c>
      <c r="BI65" s="8">
        <v>22300</v>
      </c>
      <c r="BJ65" s="7">
        <v>32350</v>
      </c>
      <c r="BK65" s="7">
        <v>22200</v>
      </c>
      <c r="BL65" s="7">
        <v>160500</v>
      </c>
      <c r="BM65" s="7">
        <v>4290</v>
      </c>
      <c r="BN65" s="7">
        <v>11300</v>
      </c>
      <c r="BO65" s="8">
        <v>843000</v>
      </c>
      <c r="BP65" s="8">
        <v>56800</v>
      </c>
      <c r="BQ65" s="8">
        <v>8240</v>
      </c>
      <c r="BR65" s="7">
        <v>28200</v>
      </c>
      <c r="BS65" s="7">
        <v>5300</v>
      </c>
      <c r="BT65" s="7">
        <v>24100</v>
      </c>
      <c r="BU65" s="7">
        <v>9690</v>
      </c>
      <c r="BV65" s="8">
        <v>4600</v>
      </c>
    </row>
    <row r="66" spans="1:74" x14ac:dyDescent="0.4">
      <c r="A66" s="11">
        <v>41383</v>
      </c>
      <c r="B66" s="7">
        <v>310000</v>
      </c>
      <c r="C66" s="7">
        <v>123500</v>
      </c>
      <c r="D66" s="7">
        <v>61700</v>
      </c>
      <c r="E66" s="7">
        <v>58900</v>
      </c>
      <c r="F66" s="7">
        <v>251000</v>
      </c>
      <c r="G66" s="8">
        <v>71100</v>
      </c>
      <c r="H66" s="8">
        <v>18350</v>
      </c>
      <c r="I66" s="8">
        <v>14700</v>
      </c>
      <c r="J66" s="8">
        <v>21200</v>
      </c>
      <c r="K66" s="8">
        <v>12500</v>
      </c>
      <c r="L66" s="7">
        <v>48450</v>
      </c>
      <c r="M66" s="7">
        <v>43300</v>
      </c>
      <c r="N66" s="7">
        <v>9270</v>
      </c>
      <c r="O66" s="7">
        <v>15000</v>
      </c>
      <c r="P66" s="7">
        <v>22100</v>
      </c>
      <c r="Q66" s="8">
        <v>164000</v>
      </c>
      <c r="R66" s="8">
        <v>590000</v>
      </c>
      <c r="S66" s="8">
        <v>195000</v>
      </c>
      <c r="T66" s="8">
        <v>29000</v>
      </c>
      <c r="U66" s="8">
        <v>29050</v>
      </c>
      <c r="V66" s="7">
        <v>72000</v>
      </c>
      <c r="W66" s="7">
        <v>1182000</v>
      </c>
      <c r="X66" s="7">
        <v>34000</v>
      </c>
      <c r="Y66" s="7">
        <v>146500</v>
      </c>
      <c r="Z66" s="7">
        <v>38100</v>
      </c>
      <c r="AA66" s="8">
        <v>20000</v>
      </c>
      <c r="AB66" s="8">
        <v>103500</v>
      </c>
      <c r="AC66" s="8">
        <v>17200</v>
      </c>
      <c r="AD66" s="8">
        <v>58500</v>
      </c>
      <c r="AE66" s="8">
        <v>320500</v>
      </c>
      <c r="AF66" s="7">
        <v>94200</v>
      </c>
      <c r="AG66" s="7">
        <v>87600</v>
      </c>
      <c r="AH66" s="7">
        <v>28200</v>
      </c>
      <c r="AI66" s="7">
        <v>120500</v>
      </c>
      <c r="AJ66" s="7">
        <v>22650</v>
      </c>
      <c r="AK66" s="8">
        <v>19381</v>
      </c>
      <c r="AL66" s="8">
        <v>50400</v>
      </c>
      <c r="AM66" s="8">
        <v>166000</v>
      </c>
      <c r="AN66" s="8">
        <v>22000</v>
      </c>
      <c r="AO66" s="8">
        <v>24700</v>
      </c>
      <c r="AP66" s="7">
        <v>4840</v>
      </c>
      <c r="AQ66" s="7">
        <v>165500</v>
      </c>
      <c r="AR66" s="7">
        <v>54300</v>
      </c>
      <c r="AS66" s="7">
        <v>11350</v>
      </c>
      <c r="AT66" s="7">
        <v>1475000</v>
      </c>
      <c r="AU66" s="8">
        <v>130500</v>
      </c>
      <c r="AV66" s="8">
        <v>291000</v>
      </c>
      <c r="AW66" s="8">
        <v>11150</v>
      </c>
      <c r="AX66" s="8">
        <v>42650</v>
      </c>
      <c r="AY66" s="8">
        <v>11050</v>
      </c>
      <c r="AZ66" s="7">
        <v>284500</v>
      </c>
      <c r="BA66" s="7">
        <v>28800</v>
      </c>
      <c r="BB66" s="7">
        <v>2320</v>
      </c>
      <c r="BC66" s="7">
        <v>59200</v>
      </c>
      <c r="BD66" s="7">
        <v>39750</v>
      </c>
      <c r="BE66" s="8">
        <v>87900</v>
      </c>
      <c r="BF66" s="8">
        <v>33700</v>
      </c>
      <c r="BG66" s="8">
        <v>18650</v>
      </c>
      <c r="BH66" s="8">
        <v>867000</v>
      </c>
      <c r="BI66" s="8">
        <v>21400</v>
      </c>
      <c r="BJ66" s="7">
        <v>30650</v>
      </c>
      <c r="BK66" s="7">
        <v>22450</v>
      </c>
      <c r="BL66" s="7">
        <v>155000</v>
      </c>
      <c r="BM66" s="7">
        <v>4105</v>
      </c>
      <c r="BN66" s="7">
        <v>10400</v>
      </c>
      <c r="BO66" s="8">
        <v>840000</v>
      </c>
      <c r="BP66" s="8">
        <v>56800</v>
      </c>
      <c r="BQ66" s="8">
        <v>7810</v>
      </c>
      <c r="BR66" s="7">
        <v>27500</v>
      </c>
      <c r="BS66" s="7">
        <v>5100</v>
      </c>
      <c r="BT66" s="7">
        <v>24100</v>
      </c>
      <c r="BU66" s="7">
        <v>9500</v>
      </c>
      <c r="BV66" s="8">
        <v>4600</v>
      </c>
    </row>
    <row r="67" spans="1:74" x14ac:dyDescent="0.4">
      <c r="A67" s="11">
        <v>41382</v>
      </c>
      <c r="B67" s="7">
        <v>313300</v>
      </c>
      <c r="C67" s="7">
        <v>122500</v>
      </c>
      <c r="D67" s="7">
        <v>64700</v>
      </c>
      <c r="E67" s="7">
        <v>58800</v>
      </c>
      <c r="F67" s="7">
        <v>245500</v>
      </c>
      <c r="G67" s="8">
        <v>72000</v>
      </c>
      <c r="H67" s="8">
        <v>18600</v>
      </c>
      <c r="I67" s="8">
        <v>14800</v>
      </c>
      <c r="J67" s="8">
        <v>22000</v>
      </c>
      <c r="K67" s="8">
        <v>12100</v>
      </c>
      <c r="L67" s="7">
        <v>48450</v>
      </c>
      <c r="M67" s="7">
        <v>44050</v>
      </c>
      <c r="N67" s="7">
        <v>9030</v>
      </c>
      <c r="O67" s="7">
        <v>15150</v>
      </c>
      <c r="P67" s="7">
        <v>22750</v>
      </c>
      <c r="Q67" s="8">
        <v>162500</v>
      </c>
      <c r="R67" s="8">
        <v>587000</v>
      </c>
      <c r="S67" s="8">
        <v>191000</v>
      </c>
      <c r="T67" s="8">
        <v>28700</v>
      </c>
      <c r="U67" s="8">
        <v>28800</v>
      </c>
      <c r="V67" s="7">
        <v>70400</v>
      </c>
      <c r="W67" s="7">
        <v>1164000</v>
      </c>
      <c r="X67" s="7">
        <v>34050</v>
      </c>
      <c r="Y67" s="7">
        <v>147500</v>
      </c>
      <c r="Z67" s="7">
        <v>39300</v>
      </c>
      <c r="AA67" s="8">
        <v>20150</v>
      </c>
      <c r="AB67" s="8">
        <v>101500</v>
      </c>
      <c r="AC67" s="8">
        <v>17250</v>
      </c>
      <c r="AD67" s="8">
        <v>56300</v>
      </c>
      <c r="AE67" s="8">
        <v>315500</v>
      </c>
      <c r="AF67" s="7">
        <v>94100</v>
      </c>
      <c r="AG67" s="7">
        <v>88100</v>
      </c>
      <c r="AH67" s="7">
        <v>27950</v>
      </c>
      <c r="AI67" s="7">
        <v>120500</v>
      </c>
      <c r="AJ67" s="7">
        <v>22700</v>
      </c>
      <c r="AK67" s="8">
        <v>20013</v>
      </c>
      <c r="AL67" s="8">
        <v>51000</v>
      </c>
      <c r="AM67" s="8">
        <v>157000</v>
      </c>
      <c r="AN67" s="8">
        <v>22550</v>
      </c>
      <c r="AO67" s="8">
        <v>24200</v>
      </c>
      <c r="AP67" s="7">
        <v>4780</v>
      </c>
      <c r="AQ67" s="7">
        <v>167000</v>
      </c>
      <c r="AR67" s="7">
        <v>53700</v>
      </c>
      <c r="AS67" s="7">
        <v>10950</v>
      </c>
      <c r="AT67" s="7">
        <v>1483000</v>
      </c>
      <c r="AU67" s="8">
        <v>132000</v>
      </c>
      <c r="AV67" s="8">
        <v>290000</v>
      </c>
      <c r="AW67" s="8">
        <v>11100</v>
      </c>
      <c r="AX67" s="8">
        <v>43000</v>
      </c>
      <c r="AY67" s="8">
        <v>11150</v>
      </c>
      <c r="AZ67" s="7">
        <v>267500</v>
      </c>
      <c r="BA67" s="7">
        <v>27900</v>
      </c>
      <c r="BB67" s="7">
        <v>2285</v>
      </c>
      <c r="BC67" s="7">
        <v>59000</v>
      </c>
      <c r="BD67" s="7">
        <v>39200</v>
      </c>
      <c r="BE67" s="8">
        <v>86000</v>
      </c>
      <c r="BF67" s="8">
        <v>31900</v>
      </c>
      <c r="BG67" s="8">
        <v>18550</v>
      </c>
      <c r="BH67" s="8">
        <v>875000</v>
      </c>
      <c r="BI67" s="8">
        <v>22100</v>
      </c>
      <c r="BJ67" s="7">
        <v>31750</v>
      </c>
      <c r="BK67" s="7">
        <v>23000</v>
      </c>
      <c r="BL67" s="7">
        <v>161000</v>
      </c>
      <c r="BM67" s="7">
        <v>4045</v>
      </c>
      <c r="BN67" s="7">
        <v>10400</v>
      </c>
      <c r="BO67" s="8">
        <v>860000</v>
      </c>
      <c r="BP67" s="8">
        <v>56800</v>
      </c>
      <c r="BQ67" s="8">
        <v>8020</v>
      </c>
      <c r="BR67" s="7">
        <v>26000</v>
      </c>
      <c r="BS67" s="7">
        <v>4840</v>
      </c>
      <c r="BT67" s="7">
        <v>24000</v>
      </c>
      <c r="BU67" s="7">
        <v>9520</v>
      </c>
      <c r="BV67" s="8">
        <v>4725</v>
      </c>
    </row>
    <row r="68" spans="1:74" x14ac:dyDescent="0.4">
      <c r="A68" s="11">
        <v>41381</v>
      </c>
      <c r="B68" s="7">
        <v>309000</v>
      </c>
      <c r="C68" s="7">
        <v>126500</v>
      </c>
      <c r="D68" s="7">
        <v>65100</v>
      </c>
      <c r="E68" s="7">
        <v>57700</v>
      </c>
      <c r="F68" s="7">
        <v>243000</v>
      </c>
      <c r="G68" s="8">
        <v>72300</v>
      </c>
      <c r="H68" s="8">
        <v>18550</v>
      </c>
      <c r="I68" s="8">
        <v>14700</v>
      </c>
      <c r="J68" s="8">
        <v>21900</v>
      </c>
      <c r="K68" s="8">
        <v>11950</v>
      </c>
      <c r="L68" s="7">
        <v>50600</v>
      </c>
      <c r="M68" s="7">
        <v>44850</v>
      </c>
      <c r="N68" s="7">
        <v>9360</v>
      </c>
      <c r="O68" s="7">
        <v>14600</v>
      </c>
      <c r="P68" s="7">
        <v>22750</v>
      </c>
      <c r="Q68" s="8">
        <v>162500</v>
      </c>
      <c r="R68" s="8">
        <v>575000</v>
      </c>
      <c r="S68" s="8">
        <v>193000</v>
      </c>
      <c r="T68" s="8">
        <v>28950</v>
      </c>
      <c r="U68" s="8">
        <v>29700</v>
      </c>
      <c r="V68" s="7">
        <v>71200</v>
      </c>
      <c r="W68" s="7">
        <v>1190000</v>
      </c>
      <c r="X68" s="7">
        <v>34100</v>
      </c>
      <c r="Y68" s="7">
        <v>151500</v>
      </c>
      <c r="Z68" s="7">
        <v>39950</v>
      </c>
      <c r="AA68" s="8">
        <v>20000</v>
      </c>
      <c r="AB68" s="8">
        <v>101500</v>
      </c>
      <c r="AC68" s="8">
        <v>17300</v>
      </c>
      <c r="AD68" s="8">
        <v>57000</v>
      </c>
      <c r="AE68" s="8">
        <v>320000</v>
      </c>
      <c r="AF68" s="7">
        <v>94300</v>
      </c>
      <c r="AG68" s="7">
        <v>88200</v>
      </c>
      <c r="AH68" s="7">
        <v>28800</v>
      </c>
      <c r="AI68" s="7">
        <v>122000</v>
      </c>
      <c r="AJ68" s="7">
        <v>22500</v>
      </c>
      <c r="AK68" s="8">
        <v>20487</v>
      </c>
      <c r="AL68" s="8">
        <v>52000</v>
      </c>
      <c r="AM68" s="8">
        <v>153000</v>
      </c>
      <c r="AN68" s="8">
        <v>22600</v>
      </c>
      <c r="AO68" s="8">
        <v>24700</v>
      </c>
      <c r="AP68" s="7">
        <v>4670</v>
      </c>
      <c r="AQ68" s="7">
        <v>166000</v>
      </c>
      <c r="AR68" s="7">
        <v>54000</v>
      </c>
      <c r="AS68" s="7">
        <v>11100</v>
      </c>
      <c r="AT68" s="7">
        <v>1518000</v>
      </c>
      <c r="AU68" s="8">
        <v>137000</v>
      </c>
      <c r="AV68" s="8">
        <v>296000</v>
      </c>
      <c r="AW68" s="8">
        <v>11050</v>
      </c>
      <c r="AX68" s="8">
        <v>42850</v>
      </c>
      <c r="AY68" s="8">
        <v>11350</v>
      </c>
      <c r="AZ68" s="7">
        <v>266500</v>
      </c>
      <c r="BA68" s="7">
        <v>28750</v>
      </c>
      <c r="BB68" s="7">
        <v>2310</v>
      </c>
      <c r="BC68" s="7">
        <v>61000</v>
      </c>
      <c r="BD68" s="7">
        <v>39900</v>
      </c>
      <c r="BE68" s="8">
        <v>86400</v>
      </c>
      <c r="BF68" s="8">
        <v>31600</v>
      </c>
      <c r="BG68" s="8">
        <v>18450</v>
      </c>
      <c r="BH68" s="8">
        <v>890000</v>
      </c>
      <c r="BI68" s="8">
        <v>22850</v>
      </c>
      <c r="BJ68" s="7">
        <v>32750</v>
      </c>
      <c r="BK68" s="7">
        <v>23500</v>
      </c>
      <c r="BL68" s="7">
        <v>160000</v>
      </c>
      <c r="BM68" s="7">
        <v>4040</v>
      </c>
      <c r="BN68" s="7">
        <v>10500</v>
      </c>
      <c r="BO68" s="8">
        <v>858000</v>
      </c>
      <c r="BP68" s="8">
        <v>57400</v>
      </c>
      <c r="BQ68" s="8">
        <v>8030</v>
      </c>
      <c r="BR68" s="7">
        <v>26400</v>
      </c>
      <c r="BS68" s="7">
        <v>4740</v>
      </c>
      <c r="BT68" s="7">
        <v>24100</v>
      </c>
      <c r="BU68" s="7">
        <v>9410</v>
      </c>
      <c r="BV68" s="8">
        <v>4625</v>
      </c>
    </row>
    <row r="69" spans="1:74" x14ac:dyDescent="0.4">
      <c r="A69" s="73">
        <v>41380</v>
      </c>
      <c r="B69" s="74">
        <v>305000</v>
      </c>
      <c r="C69" s="74">
        <v>127000</v>
      </c>
      <c r="D69" s="74">
        <v>68400</v>
      </c>
      <c r="E69" s="74">
        <v>59300</v>
      </c>
      <c r="F69" s="74">
        <v>239500</v>
      </c>
      <c r="G69" s="75">
        <v>73000</v>
      </c>
      <c r="H69" s="75">
        <v>18150</v>
      </c>
      <c r="I69" s="75">
        <v>14600</v>
      </c>
      <c r="J69" s="75">
        <v>21600</v>
      </c>
      <c r="K69" s="75">
        <v>12450</v>
      </c>
      <c r="L69" s="74">
        <v>49100</v>
      </c>
      <c r="M69" s="74">
        <v>44000</v>
      </c>
      <c r="N69" s="74">
        <v>8910</v>
      </c>
      <c r="O69" s="74">
        <v>14550</v>
      </c>
      <c r="P69" s="74">
        <v>22600</v>
      </c>
      <c r="Q69" s="75">
        <v>159500</v>
      </c>
      <c r="R69" s="75">
        <v>571000</v>
      </c>
      <c r="S69" s="75">
        <v>192000</v>
      </c>
      <c r="T69" s="75">
        <v>28950</v>
      </c>
      <c r="U69" s="75">
        <v>28900</v>
      </c>
      <c r="V69" s="74">
        <v>72300</v>
      </c>
      <c r="W69" s="74">
        <v>1214000</v>
      </c>
      <c r="X69" s="74">
        <v>33500</v>
      </c>
      <c r="Y69" s="74">
        <v>147500</v>
      </c>
      <c r="Z69" s="74">
        <v>40250</v>
      </c>
      <c r="AA69" s="75">
        <v>20050</v>
      </c>
      <c r="AB69" s="75">
        <v>98800</v>
      </c>
      <c r="AC69" s="75">
        <v>17050</v>
      </c>
      <c r="AD69" s="75">
        <v>54200</v>
      </c>
      <c r="AE69" s="75">
        <v>320500</v>
      </c>
      <c r="AF69" s="74">
        <v>92500</v>
      </c>
      <c r="AG69" s="74">
        <v>89000</v>
      </c>
      <c r="AH69" s="74">
        <v>27700</v>
      </c>
      <c r="AI69" s="74">
        <v>123000</v>
      </c>
      <c r="AJ69" s="74">
        <v>22450</v>
      </c>
      <c r="AK69" s="75">
        <v>19855</v>
      </c>
      <c r="AL69" s="75">
        <v>51500</v>
      </c>
      <c r="AM69" s="75">
        <v>144500</v>
      </c>
      <c r="AN69" s="75">
        <v>22900</v>
      </c>
      <c r="AO69" s="75">
        <v>23600</v>
      </c>
      <c r="AP69" s="74">
        <v>4520</v>
      </c>
      <c r="AQ69" s="74">
        <v>156500</v>
      </c>
      <c r="AR69" s="74">
        <v>54200</v>
      </c>
      <c r="AS69" s="74">
        <v>11250</v>
      </c>
      <c r="AT69" s="74">
        <v>1528000</v>
      </c>
      <c r="AU69" s="75">
        <v>128000</v>
      </c>
      <c r="AV69" s="75">
        <v>304500</v>
      </c>
      <c r="AW69" s="75">
        <v>10950</v>
      </c>
      <c r="AX69" s="75">
        <v>43750</v>
      </c>
      <c r="AY69" s="75">
        <v>11350</v>
      </c>
      <c r="AZ69" s="74">
        <v>271000</v>
      </c>
      <c r="BA69" s="74">
        <v>29100</v>
      </c>
      <c r="BB69" s="74">
        <v>2350</v>
      </c>
      <c r="BC69" s="74">
        <v>62400</v>
      </c>
      <c r="BD69" s="74">
        <v>40350</v>
      </c>
      <c r="BE69" s="75">
        <v>86100</v>
      </c>
      <c r="BF69" s="75">
        <v>33050</v>
      </c>
      <c r="BG69" s="75">
        <v>18000</v>
      </c>
      <c r="BH69" s="75">
        <v>884000</v>
      </c>
      <c r="BI69" s="75">
        <v>23050</v>
      </c>
      <c r="BJ69" s="74">
        <v>31550</v>
      </c>
      <c r="BK69" s="74">
        <v>23500</v>
      </c>
      <c r="BL69" s="74">
        <v>162000</v>
      </c>
      <c r="BM69" s="74">
        <v>3955</v>
      </c>
      <c r="BN69" s="74">
        <v>10750</v>
      </c>
      <c r="BO69" s="75">
        <v>837000</v>
      </c>
      <c r="BP69" s="75">
        <v>57700</v>
      </c>
      <c r="BQ69" s="75">
        <v>8170</v>
      </c>
      <c r="BR69" s="74">
        <v>26150</v>
      </c>
      <c r="BS69" s="74">
        <v>4750</v>
      </c>
      <c r="BT69" s="74">
        <v>24100</v>
      </c>
      <c r="BU69" s="74">
        <v>9970</v>
      </c>
      <c r="BV69" s="75">
        <v>4600</v>
      </c>
    </row>
    <row r="70" spans="1:74" x14ac:dyDescent="0.4">
      <c r="A70" s="11">
        <v>41379</v>
      </c>
      <c r="B70" s="7">
        <v>302000</v>
      </c>
      <c r="C70" s="7">
        <v>127000</v>
      </c>
      <c r="D70" s="7">
        <v>66100</v>
      </c>
      <c r="E70" s="7">
        <v>60600</v>
      </c>
      <c r="F70" s="7">
        <v>242000</v>
      </c>
      <c r="G70" s="8">
        <v>73400</v>
      </c>
      <c r="H70" s="8">
        <v>17900</v>
      </c>
      <c r="I70" s="8">
        <v>14400</v>
      </c>
      <c r="J70" s="8">
        <v>21950</v>
      </c>
      <c r="K70" s="8">
        <v>12650</v>
      </c>
      <c r="L70" s="7">
        <v>49750</v>
      </c>
      <c r="M70" s="7">
        <v>42800</v>
      </c>
      <c r="N70" s="7">
        <v>8730</v>
      </c>
      <c r="O70" s="7">
        <v>15100</v>
      </c>
      <c r="P70" s="7">
        <v>22100</v>
      </c>
      <c r="Q70" s="8">
        <v>162500</v>
      </c>
      <c r="R70" s="8">
        <v>568000</v>
      </c>
      <c r="S70" s="8">
        <v>191000</v>
      </c>
      <c r="T70" s="8">
        <v>29000</v>
      </c>
      <c r="U70" s="8">
        <v>29300</v>
      </c>
      <c r="V70" s="7">
        <v>74200</v>
      </c>
      <c r="W70" s="7">
        <v>1204000</v>
      </c>
      <c r="X70" s="7">
        <v>32750</v>
      </c>
      <c r="Y70" s="7">
        <v>143000</v>
      </c>
      <c r="Z70" s="7">
        <v>39450</v>
      </c>
      <c r="AA70" s="8">
        <v>19450</v>
      </c>
      <c r="AB70" s="8">
        <v>97000</v>
      </c>
      <c r="AC70" s="8">
        <v>17500</v>
      </c>
      <c r="AD70" s="8">
        <v>54900</v>
      </c>
      <c r="AE70" s="8">
        <v>324000</v>
      </c>
      <c r="AF70" s="7">
        <v>88200</v>
      </c>
      <c r="AG70" s="7">
        <v>89100</v>
      </c>
      <c r="AH70" s="7">
        <v>27950</v>
      </c>
      <c r="AI70" s="7">
        <v>126000</v>
      </c>
      <c r="AJ70" s="7">
        <v>22500</v>
      </c>
      <c r="AK70" s="8">
        <v>19381</v>
      </c>
      <c r="AL70" s="8">
        <v>51400</v>
      </c>
      <c r="AM70" s="8">
        <v>147500</v>
      </c>
      <c r="AN70" s="8">
        <v>23100</v>
      </c>
      <c r="AO70" s="8">
        <v>24200</v>
      </c>
      <c r="AP70" s="7">
        <v>4435</v>
      </c>
      <c r="AQ70" s="7">
        <v>159500</v>
      </c>
      <c r="AR70" s="7">
        <v>53200</v>
      </c>
      <c r="AS70" s="7">
        <v>11850</v>
      </c>
      <c r="AT70" s="7">
        <v>1523000</v>
      </c>
      <c r="AU70" s="8">
        <v>126000</v>
      </c>
      <c r="AV70" s="8">
        <v>287500</v>
      </c>
      <c r="AW70" s="8">
        <v>11350</v>
      </c>
      <c r="AX70" s="8">
        <v>44800</v>
      </c>
      <c r="AY70" s="8">
        <v>11350</v>
      </c>
      <c r="AZ70" s="7">
        <v>285000</v>
      </c>
      <c r="BA70" s="7">
        <v>29150</v>
      </c>
      <c r="BB70" s="7">
        <v>2345</v>
      </c>
      <c r="BC70" s="7">
        <v>62800</v>
      </c>
      <c r="BD70" s="7">
        <v>41300</v>
      </c>
      <c r="BE70" s="8">
        <v>85000</v>
      </c>
      <c r="BF70" s="8">
        <v>35550</v>
      </c>
      <c r="BG70" s="8">
        <v>18200</v>
      </c>
      <c r="BH70" s="8">
        <v>882000</v>
      </c>
      <c r="BI70" s="8">
        <v>22950</v>
      </c>
      <c r="BJ70" s="7">
        <v>32300</v>
      </c>
      <c r="BK70" s="7">
        <v>23500</v>
      </c>
      <c r="BL70" s="7">
        <v>164000</v>
      </c>
      <c r="BM70" s="7">
        <v>3440</v>
      </c>
      <c r="BN70" s="7">
        <v>10600</v>
      </c>
      <c r="BO70" s="8">
        <v>835000</v>
      </c>
      <c r="BP70" s="8">
        <v>57800</v>
      </c>
      <c r="BQ70" s="8">
        <v>8200</v>
      </c>
      <c r="BR70" s="7">
        <v>25650</v>
      </c>
      <c r="BS70" s="7">
        <v>4820</v>
      </c>
      <c r="BT70" s="7">
        <v>24700</v>
      </c>
      <c r="BU70" s="7">
        <v>10100</v>
      </c>
      <c r="BV70" s="8">
        <v>4455</v>
      </c>
    </row>
    <row r="71" spans="1:74" x14ac:dyDescent="0.4">
      <c r="A71" s="11">
        <v>41376</v>
      </c>
      <c r="B71" s="7">
        <v>290000</v>
      </c>
      <c r="C71" s="7">
        <v>125000</v>
      </c>
      <c r="D71" s="7">
        <v>70800</v>
      </c>
      <c r="E71" s="7">
        <v>60500</v>
      </c>
      <c r="F71" s="7">
        <v>243500</v>
      </c>
      <c r="G71" s="8">
        <v>75000</v>
      </c>
      <c r="H71" s="8">
        <v>16500</v>
      </c>
      <c r="I71" s="8">
        <v>14950</v>
      </c>
      <c r="J71" s="8">
        <v>21550</v>
      </c>
      <c r="K71" s="8">
        <v>13700</v>
      </c>
      <c r="L71" s="7">
        <v>47100</v>
      </c>
      <c r="M71" s="7">
        <v>42150</v>
      </c>
      <c r="N71" s="7">
        <v>8480</v>
      </c>
      <c r="O71" s="7">
        <v>15050</v>
      </c>
      <c r="P71" s="7">
        <v>22100</v>
      </c>
      <c r="Q71" s="8">
        <v>164000</v>
      </c>
      <c r="R71" s="8">
        <v>579000</v>
      </c>
      <c r="S71" s="8">
        <v>188000</v>
      </c>
      <c r="T71" s="8">
        <v>28850</v>
      </c>
      <c r="U71" s="8">
        <v>29450</v>
      </c>
      <c r="V71" s="7">
        <v>75500</v>
      </c>
      <c r="W71" s="7">
        <v>1191000</v>
      </c>
      <c r="X71" s="7">
        <v>32300</v>
      </c>
      <c r="Y71" s="7">
        <v>142000</v>
      </c>
      <c r="Z71" s="7">
        <v>39450</v>
      </c>
      <c r="AA71" s="8">
        <v>17700</v>
      </c>
      <c r="AB71" s="8">
        <v>97500</v>
      </c>
      <c r="AC71" s="8">
        <v>17300</v>
      </c>
      <c r="AD71" s="8">
        <v>55200</v>
      </c>
      <c r="AE71" s="8">
        <v>320500</v>
      </c>
      <c r="AF71" s="7">
        <v>85500</v>
      </c>
      <c r="AG71" s="7">
        <v>88000</v>
      </c>
      <c r="AH71" s="7">
        <v>27100</v>
      </c>
      <c r="AI71" s="7">
        <v>127000</v>
      </c>
      <c r="AJ71" s="7">
        <v>21800</v>
      </c>
      <c r="AK71" s="8">
        <v>18723</v>
      </c>
      <c r="AL71" s="8">
        <v>52100</v>
      </c>
      <c r="AM71" s="8">
        <v>146500</v>
      </c>
      <c r="AN71" s="8">
        <v>23400</v>
      </c>
      <c r="AO71" s="8">
        <v>24500</v>
      </c>
      <c r="AP71" s="7">
        <v>4400</v>
      </c>
      <c r="AQ71" s="7">
        <v>171500</v>
      </c>
      <c r="AR71" s="7">
        <v>52100</v>
      </c>
      <c r="AS71" s="7">
        <v>11750</v>
      </c>
      <c r="AT71" s="7">
        <v>1517000</v>
      </c>
      <c r="AU71" s="8">
        <v>127500</v>
      </c>
      <c r="AV71" s="8">
        <v>292000</v>
      </c>
      <c r="AW71" s="8">
        <v>11350</v>
      </c>
      <c r="AX71" s="8">
        <v>45000</v>
      </c>
      <c r="AY71" s="8">
        <v>11350</v>
      </c>
      <c r="AZ71" s="7">
        <v>331500</v>
      </c>
      <c r="BA71" s="7">
        <v>28800</v>
      </c>
      <c r="BB71" s="7">
        <v>2355</v>
      </c>
      <c r="BC71" s="7">
        <v>62700</v>
      </c>
      <c r="BD71" s="7">
        <v>42500</v>
      </c>
      <c r="BE71" s="8">
        <v>85200</v>
      </c>
      <c r="BF71" s="8">
        <v>37100</v>
      </c>
      <c r="BG71" s="8">
        <v>18400</v>
      </c>
      <c r="BH71" s="8">
        <v>889000</v>
      </c>
      <c r="BI71" s="8">
        <v>22350</v>
      </c>
      <c r="BJ71" s="7">
        <v>32600</v>
      </c>
      <c r="BK71" s="7">
        <v>23000</v>
      </c>
      <c r="BL71" s="7">
        <v>163000</v>
      </c>
      <c r="BM71" s="7">
        <v>3270</v>
      </c>
      <c r="BN71" s="7">
        <v>10050</v>
      </c>
      <c r="BO71" s="8">
        <v>809000</v>
      </c>
      <c r="BP71" s="8">
        <v>58300</v>
      </c>
      <c r="BQ71" s="8">
        <v>7920</v>
      </c>
      <c r="BR71" s="7">
        <v>24900</v>
      </c>
      <c r="BS71" s="7">
        <v>4890</v>
      </c>
      <c r="BT71" s="7">
        <v>25200</v>
      </c>
      <c r="BU71" s="7">
        <v>10100</v>
      </c>
      <c r="BV71" s="8">
        <v>4455</v>
      </c>
    </row>
    <row r="72" spans="1:74" x14ac:dyDescent="0.4">
      <c r="A72" s="11">
        <v>41375</v>
      </c>
      <c r="B72" s="7">
        <v>280900</v>
      </c>
      <c r="C72" s="7">
        <v>128000</v>
      </c>
      <c r="D72" s="7">
        <v>75600</v>
      </c>
      <c r="E72" s="7">
        <v>57700</v>
      </c>
      <c r="F72" s="7">
        <v>254500</v>
      </c>
      <c r="G72" s="8">
        <v>73500</v>
      </c>
      <c r="H72" s="8">
        <v>16100</v>
      </c>
      <c r="I72" s="8">
        <v>14850</v>
      </c>
      <c r="J72" s="8">
        <v>21550</v>
      </c>
      <c r="K72" s="8">
        <v>14000</v>
      </c>
      <c r="L72" s="7">
        <v>46850</v>
      </c>
      <c r="M72" s="7">
        <v>41200</v>
      </c>
      <c r="N72" s="7">
        <v>8490</v>
      </c>
      <c r="O72" s="7">
        <v>15400</v>
      </c>
      <c r="P72" s="7">
        <v>23250</v>
      </c>
      <c r="Q72" s="8">
        <v>175500</v>
      </c>
      <c r="R72" s="8">
        <v>590000</v>
      </c>
      <c r="S72" s="8">
        <v>200000</v>
      </c>
      <c r="T72" s="8">
        <v>28600</v>
      </c>
      <c r="U72" s="8">
        <v>29000</v>
      </c>
      <c r="V72" s="7">
        <v>76700</v>
      </c>
      <c r="W72" s="7">
        <v>1176000</v>
      </c>
      <c r="X72" s="7">
        <v>32000</v>
      </c>
      <c r="Y72" s="7">
        <v>139500</v>
      </c>
      <c r="Z72" s="7">
        <v>36700</v>
      </c>
      <c r="AA72" s="8">
        <v>17750</v>
      </c>
      <c r="AB72" s="8">
        <v>96100</v>
      </c>
      <c r="AC72" s="8">
        <v>17800</v>
      </c>
      <c r="AD72" s="8">
        <v>54800</v>
      </c>
      <c r="AE72" s="8">
        <v>322000</v>
      </c>
      <c r="AF72" s="7">
        <v>86900</v>
      </c>
      <c r="AG72" s="7">
        <v>89600</v>
      </c>
      <c r="AH72" s="7">
        <v>27100</v>
      </c>
      <c r="AI72" s="7">
        <v>128500</v>
      </c>
      <c r="AJ72" s="7">
        <v>20900</v>
      </c>
      <c r="AK72" s="8">
        <v>18591</v>
      </c>
      <c r="AL72" s="8">
        <v>53200</v>
      </c>
      <c r="AM72" s="8">
        <v>147500</v>
      </c>
      <c r="AN72" s="8">
        <v>23800</v>
      </c>
      <c r="AO72" s="8">
        <v>26550</v>
      </c>
      <c r="AP72" s="7">
        <v>4580</v>
      </c>
      <c r="AQ72" s="7">
        <v>173000</v>
      </c>
      <c r="AR72" s="7">
        <v>50000</v>
      </c>
      <c r="AS72" s="7">
        <v>12150</v>
      </c>
      <c r="AT72" s="7">
        <v>1540000</v>
      </c>
      <c r="AU72" s="8">
        <v>125500</v>
      </c>
      <c r="AV72" s="8">
        <v>280000</v>
      </c>
      <c r="AW72" s="8">
        <v>11300</v>
      </c>
      <c r="AX72" s="8">
        <v>43650</v>
      </c>
      <c r="AY72" s="8">
        <v>11550</v>
      </c>
      <c r="AZ72" s="7">
        <v>341000</v>
      </c>
      <c r="BA72" s="7">
        <v>29000</v>
      </c>
      <c r="BB72" s="7">
        <v>2325</v>
      </c>
      <c r="BC72" s="7">
        <v>63700</v>
      </c>
      <c r="BD72" s="7">
        <v>41500</v>
      </c>
      <c r="BE72" s="8">
        <v>86600</v>
      </c>
      <c r="BF72" s="8">
        <v>37300</v>
      </c>
      <c r="BG72" s="8">
        <v>18750</v>
      </c>
      <c r="BH72" s="8">
        <v>899000</v>
      </c>
      <c r="BI72" s="8">
        <v>22300</v>
      </c>
      <c r="BJ72" s="7">
        <v>32650</v>
      </c>
      <c r="BK72" s="7">
        <v>22850</v>
      </c>
      <c r="BL72" s="7">
        <v>163500</v>
      </c>
      <c r="BM72" s="7">
        <v>3355</v>
      </c>
      <c r="BN72" s="7">
        <v>10100</v>
      </c>
      <c r="BO72" s="8">
        <v>801000</v>
      </c>
      <c r="BP72" s="8">
        <v>58900</v>
      </c>
      <c r="BQ72" s="8">
        <v>8090</v>
      </c>
      <c r="BR72" s="7">
        <v>24800</v>
      </c>
      <c r="BS72" s="7">
        <v>4890</v>
      </c>
      <c r="BT72" s="7">
        <v>26050</v>
      </c>
      <c r="BU72" s="7">
        <v>10450</v>
      </c>
      <c r="BV72" s="8">
        <v>4415</v>
      </c>
    </row>
    <row r="73" spans="1:74" x14ac:dyDescent="0.4">
      <c r="A73" s="11">
        <v>41374</v>
      </c>
      <c r="B73" s="7">
        <v>278900</v>
      </c>
      <c r="C73" s="7">
        <v>126500</v>
      </c>
      <c r="D73" s="7">
        <v>73100</v>
      </c>
      <c r="E73" s="7">
        <v>57200</v>
      </c>
      <c r="F73" s="7">
        <v>253500</v>
      </c>
      <c r="G73" s="8">
        <v>73800</v>
      </c>
      <c r="H73" s="8">
        <v>16250</v>
      </c>
      <c r="I73" s="8">
        <v>14400</v>
      </c>
      <c r="J73" s="8">
        <v>20950</v>
      </c>
      <c r="K73" s="8">
        <v>14100</v>
      </c>
      <c r="L73" s="7">
        <v>44550</v>
      </c>
      <c r="M73" s="7">
        <v>40300</v>
      </c>
      <c r="N73" s="7">
        <v>8080</v>
      </c>
      <c r="O73" s="7">
        <v>15400</v>
      </c>
      <c r="P73" s="7">
        <v>23150</v>
      </c>
      <c r="Q73" s="8">
        <v>182000</v>
      </c>
      <c r="R73" s="8">
        <v>580000</v>
      </c>
      <c r="S73" s="8">
        <v>201500</v>
      </c>
      <c r="T73" s="8">
        <v>29000</v>
      </c>
      <c r="U73" s="8">
        <v>28150</v>
      </c>
      <c r="V73" s="7">
        <v>77700</v>
      </c>
      <c r="W73" s="7">
        <v>1120000</v>
      </c>
      <c r="X73" s="7">
        <v>31200</v>
      </c>
      <c r="Y73" s="7">
        <v>135500</v>
      </c>
      <c r="Z73" s="7">
        <v>37950</v>
      </c>
      <c r="AA73" s="8">
        <v>17350</v>
      </c>
      <c r="AB73" s="8">
        <v>98000</v>
      </c>
      <c r="AC73" s="8">
        <v>17400</v>
      </c>
      <c r="AD73" s="8">
        <v>54700</v>
      </c>
      <c r="AE73" s="8">
        <v>320000</v>
      </c>
      <c r="AF73" s="7">
        <v>83500</v>
      </c>
      <c r="AG73" s="7">
        <v>89200</v>
      </c>
      <c r="AH73" s="7">
        <v>26050</v>
      </c>
      <c r="AI73" s="7">
        <v>128000</v>
      </c>
      <c r="AJ73" s="7">
        <v>20500</v>
      </c>
      <c r="AK73" s="8">
        <v>18670</v>
      </c>
      <c r="AL73" s="8">
        <v>52400</v>
      </c>
      <c r="AM73" s="8">
        <v>146500</v>
      </c>
      <c r="AN73" s="8">
        <v>24100</v>
      </c>
      <c r="AO73" s="8">
        <v>26900</v>
      </c>
      <c r="AP73" s="7">
        <v>4375</v>
      </c>
      <c r="AQ73" s="7">
        <v>173000</v>
      </c>
      <c r="AR73" s="7">
        <v>48000</v>
      </c>
      <c r="AS73" s="7">
        <v>11700</v>
      </c>
      <c r="AT73" s="7">
        <v>1521000</v>
      </c>
      <c r="AU73" s="8">
        <v>124500</v>
      </c>
      <c r="AV73" s="8">
        <v>272000</v>
      </c>
      <c r="AW73" s="8">
        <v>11350</v>
      </c>
      <c r="AX73" s="8">
        <v>42800</v>
      </c>
      <c r="AY73" s="8">
        <v>11650</v>
      </c>
      <c r="AZ73" s="7">
        <v>341500</v>
      </c>
      <c r="BA73" s="7">
        <v>27950</v>
      </c>
      <c r="BB73" s="7">
        <v>2455</v>
      </c>
      <c r="BC73" s="7">
        <v>65800</v>
      </c>
      <c r="BD73" s="7">
        <v>40100</v>
      </c>
      <c r="BE73" s="8">
        <v>85000</v>
      </c>
      <c r="BF73" s="8">
        <v>37350</v>
      </c>
      <c r="BG73" s="8">
        <v>20250</v>
      </c>
      <c r="BH73" s="8">
        <v>886000</v>
      </c>
      <c r="BI73" s="8">
        <v>21950</v>
      </c>
      <c r="BJ73" s="7">
        <v>32800</v>
      </c>
      <c r="BK73" s="7">
        <v>22250</v>
      </c>
      <c r="BL73" s="7">
        <v>154000</v>
      </c>
      <c r="BM73" s="7">
        <v>3170</v>
      </c>
      <c r="BN73" s="7">
        <v>9740</v>
      </c>
      <c r="BO73" s="8">
        <v>790000</v>
      </c>
      <c r="BP73" s="8">
        <v>58900</v>
      </c>
      <c r="BQ73" s="8">
        <v>7990</v>
      </c>
      <c r="BR73" s="7">
        <v>24350</v>
      </c>
      <c r="BS73" s="7">
        <v>4910</v>
      </c>
      <c r="BT73" s="7">
        <v>25900</v>
      </c>
      <c r="BU73" s="7">
        <v>10050</v>
      </c>
      <c r="BV73" s="8">
        <v>4220</v>
      </c>
    </row>
    <row r="74" spans="1:74" x14ac:dyDescent="0.4">
      <c r="A74" s="73">
        <v>41373</v>
      </c>
      <c r="B74" s="74">
        <v>286200</v>
      </c>
      <c r="C74" s="74">
        <v>125000</v>
      </c>
      <c r="D74" s="74">
        <v>71700</v>
      </c>
      <c r="E74" s="74">
        <v>55400</v>
      </c>
      <c r="F74" s="74">
        <v>245500</v>
      </c>
      <c r="G74" s="75">
        <v>74200</v>
      </c>
      <c r="H74" s="75">
        <v>15900</v>
      </c>
      <c r="I74" s="75">
        <v>14300</v>
      </c>
      <c r="J74" s="75">
        <v>20000</v>
      </c>
      <c r="K74" s="75">
        <v>13850</v>
      </c>
      <c r="L74" s="74">
        <v>45000</v>
      </c>
      <c r="M74" s="74">
        <v>40200</v>
      </c>
      <c r="N74" s="74">
        <v>8510</v>
      </c>
      <c r="O74" s="74">
        <v>14800</v>
      </c>
      <c r="P74" s="74">
        <v>23750</v>
      </c>
      <c r="Q74" s="75">
        <v>180000</v>
      </c>
      <c r="R74" s="75">
        <v>576000</v>
      </c>
      <c r="S74" s="75">
        <v>198000</v>
      </c>
      <c r="T74" s="75">
        <v>28250</v>
      </c>
      <c r="U74" s="75">
        <v>28100</v>
      </c>
      <c r="V74" s="74">
        <v>75100</v>
      </c>
      <c r="W74" s="74">
        <v>1090000</v>
      </c>
      <c r="X74" s="74">
        <v>32000</v>
      </c>
      <c r="Y74" s="74">
        <v>141500</v>
      </c>
      <c r="Z74" s="74">
        <v>38500</v>
      </c>
      <c r="AA74" s="75">
        <v>17600</v>
      </c>
      <c r="AB74" s="75">
        <v>98000</v>
      </c>
      <c r="AC74" s="75">
        <v>17300</v>
      </c>
      <c r="AD74" s="75">
        <v>53000</v>
      </c>
      <c r="AE74" s="75">
        <v>312000</v>
      </c>
      <c r="AF74" s="74">
        <v>84300</v>
      </c>
      <c r="AG74" s="74">
        <v>89000</v>
      </c>
      <c r="AH74" s="74">
        <v>26450</v>
      </c>
      <c r="AI74" s="74">
        <v>126500</v>
      </c>
      <c r="AJ74" s="74">
        <v>20550</v>
      </c>
      <c r="AK74" s="75">
        <v>18328</v>
      </c>
      <c r="AL74" s="75">
        <v>51600</v>
      </c>
      <c r="AM74" s="75">
        <v>145500</v>
      </c>
      <c r="AN74" s="75">
        <v>23800</v>
      </c>
      <c r="AO74" s="75">
        <v>26500</v>
      </c>
      <c r="AP74" s="74">
        <v>4350</v>
      </c>
      <c r="AQ74" s="74">
        <v>174500</v>
      </c>
      <c r="AR74" s="74">
        <v>48400</v>
      </c>
      <c r="AS74" s="74">
        <v>11950</v>
      </c>
      <c r="AT74" s="74">
        <v>1528000</v>
      </c>
      <c r="AU74" s="75">
        <v>122000</v>
      </c>
      <c r="AV74" s="75">
        <v>277000</v>
      </c>
      <c r="AW74" s="75">
        <v>10750</v>
      </c>
      <c r="AX74" s="75">
        <v>42250</v>
      </c>
      <c r="AY74" s="75">
        <v>11750</v>
      </c>
      <c r="AZ74" s="74">
        <v>328000</v>
      </c>
      <c r="BA74" s="74">
        <v>27800</v>
      </c>
      <c r="BB74" s="74">
        <v>2420</v>
      </c>
      <c r="BC74" s="74">
        <v>67000</v>
      </c>
      <c r="BD74" s="74">
        <v>40900</v>
      </c>
      <c r="BE74" s="75">
        <v>80800</v>
      </c>
      <c r="BF74" s="75">
        <v>36700</v>
      </c>
      <c r="BG74" s="75">
        <v>19750</v>
      </c>
      <c r="BH74" s="75">
        <v>883000</v>
      </c>
      <c r="BI74" s="75">
        <v>20950</v>
      </c>
      <c r="BJ74" s="74">
        <v>31300</v>
      </c>
      <c r="BK74" s="74">
        <v>22450</v>
      </c>
      <c r="BL74" s="74">
        <v>154000</v>
      </c>
      <c r="BM74" s="74">
        <v>3070</v>
      </c>
      <c r="BN74" s="74">
        <v>9200</v>
      </c>
      <c r="BO74" s="75">
        <v>785000</v>
      </c>
      <c r="BP74" s="75">
        <v>59000</v>
      </c>
      <c r="BQ74" s="75">
        <v>7600</v>
      </c>
      <c r="BR74" s="74">
        <v>22900</v>
      </c>
      <c r="BS74" s="74">
        <v>4845</v>
      </c>
      <c r="BT74" s="74">
        <v>25050</v>
      </c>
      <c r="BU74" s="74">
        <v>10200</v>
      </c>
      <c r="BV74" s="75">
        <v>4115</v>
      </c>
    </row>
    <row r="75" spans="1:74" x14ac:dyDescent="0.4">
      <c r="A75" s="11">
        <v>41372</v>
      </c>
      <c r="B75" s="7">
        <v>286000</v>
      </c>
      <c r="C75" s="7">
        <v>125500</v>
      </c>
      <c r="D75" s="7">
        <v>69700</v>
      </c>
      <c r="E75" s="7">
        <v>54300</v>
      </c>
      <c r="F75" s="7">
        <v>244000</v>
      </c>
      <c r="G75" s="8">
        <v>72400</v>
      </c>
      <c r="H75" s="8">
        <v>16350</v>
      </c>
      <c r="I75" s="8">
        <v>14600</v>
      </c>
      <c r="J75" s="8">
        <v>19300</v>
      </c>
      <c r="K75" s="8">
        <v>13750</v>
      </c>
      <c r="L75" s="7">
        <v>45150</v>
      </c>
      <c r="M75" s="7">
        <v>40000</v>
      </c>
      <c r="N75" s="7">
        <v>8580</v>
      </c>
      <c r="O75" s="7">
        <v>15350</v>
      </c>
      <c r="P75" s="7">
        <v>23850</v>
      </c>
      <c r="Q75" s="8">
        <v>183000</v>
      </c>
      <c r="R75" s="8">
        <v>557000</v>
      </c>
      <c r="S75" s="8">
        <v>198500</v>
      </c>
      <c r="T75" s="8">
        <v>27200</v>
      </c>
      <c r="U75" s="8">
        <v>28200</v>
      </c>
      <c r="V75" s="7">
        <v>74200</v>
      </c>
      <c r="W75" s="7">
        <v>1070000</v>
      </c>
      <c r="X75" s="7">
        <v>31950</v>
      </c>
      <c r="Y75" s="7">
        <v>137500</v>
      </c>
      <c r="Z75" s="7">
        <v>38700</v>
      </c>
      <c r="AA75" s="8">
        <v>17000</v>
      </c>
      <c r="AB75" s="8">
        <v>98400</v>
      </c>
      <c r="AC75" s="8">
        <v>17700</v>
      </c>
      <c r="AD75" s="8">
        <v>51500</v>
      </c>
      <c r="AE75" s="8">
        <v>311500</v>
      </c>
      <c r="AF75" s="7">
        <v>84800</v>
      </c>
      <c r="AG75" s="7">
        <v>89500</v>
      </c>
      <c r="AH75" s="7">
        <v>25800</v>
      </c>
      <c r="AI75" s="7">
        <v>127000</v>
      </c>
      <c r="AJ75" s="7">
        <v>20100</v>
      </c>
      <c r="AK75" s="8">
        <v>18460</v>
      </c>
      <c r="AL75" s="8">
        <v>50700</v>
      </c>
      <c r="AM75" s="8">
        <v>146500</v>
      </c>
      <c r="AN75" s="8">
        <v>23250</v>
      </c>
      <c r="AO75" s="8">
        <v>26750</v>
      </c>
      <c r="AP75" s="7">
        <v>4380</v>
      </c>
      <c r="AQ75" s="7">
        <v>173000</v>
      </c>
      <c r="AR75" s="7">
        <v>47250</v>
      </c>
      <c r="AS75" s="7">
        <v>11900</v>
      </c>
      <c r="AT75" s="7">
        <v>1520000</v>
      </c>
      <c r="AU75" s="8">
        <v>119000</v>
      </c>
      <c r="AV75" s="8">
        <v>277500</v>
      </c>
      <c r="AW75" s="8">
        <v>11100</v>
      </c>
      <c r="AX75" s="8">
        <v>42700</v>
      </c>
      <c r="AY75" s="8">
        <v>11600</v>
      </c>
      <c r="AZ75" s="7">
        <v>334500</v>
      </c>
      <c r="BA75" s="7">
        <v>27900</v>
      </c>
      <c r="BB75" s="7">
        <v>2540</v>
      </c>
      <c r="BC75" s="7">
        <v>66900</v>
      </c>
      <c r="BD75" s="7">
        <v>40900</v>
      </c>
      <c r="BE75" s="8">
        <v>78200</v>
      </c>
      <c r="BF75" s="8">
        <v>37400</v>
      </c>
      <c r="BG75" s="8">
        <v>19900</v>
      </c>
      <c r="BH75" s="8">
        <v>868000</v>
      </c>
      <c r="BI75" s="8">
        <v>21100</v>
      </c>
      <c r="BJ75" s="7">
        <v>29900</v>
      </c>
      <c r="BK75" s="7">
        <v>22500</v>
      </c>
      <c r="BL75" s="7">
        <v>151500</v>
      </c>
      <c r="BM75" s="7">
        <v>3080</v>
      </c>
      <c r="BN75" s="7">
        <v>9110</v>
      </c>
      <c r="BO75" s="8">
        <v>769000</v>
      </c>
      <c r="BP75" s="8">
        <v>59000</v>
      </c>
      <c r="BQ75" s="8">
        <v>7200</v>
      </c>
      <c r="BR75" s="7">
        <v>22350</v>
      </c>
      <c r="BS75" s="7">
        <v>4800</v>
      </c>
      <c r="BT75" s="7">
        <v>25350</v>
      </c>
      <c r="BU75" s="7">
        <v>10300</v>
      </c>
      <c r="BV75" s="8">
        <v>4135</v>
      </c>
    </row>
    <row r="76" spans="1:74" x14ac:dyDescent="0.4">
      <c r="A76" s="11">
        <v>41369</v>
      </c>
      <c r="B76" s="7">
        <v>302500</v>
      </c>
      <c r="C76" s="7">
        <v>127000</v>
      </c>
      <c r="D76" s="7">
        <v>72800</v>
      </c>
      <c r="E76" s="7">
        <v>57100</v>
      </c>
      <c r="F76" s="7">
        <v>239000</v>
      </c>
      <c r="G76" s="8">
        <v>72900</v>
      </c>
      <c r="H76" s="8">
        <v>16400</v>
      </c>
      <c r="I76" s="8">
        <v>14650</v>
      </c>
      <c r="J76" s="8">
        <v>20400</v>
      </c>
      <c r="K76" s="8">
        <v>14600</v>
      </c>
      <c r="L76" s="7">
        <v>49000</v>
      </c>
      <c r="M76" s="7">
        <v>41550</v>
      </c>
      <c r="N76" s="7">
        <v>8340</v>
      </c>
      <c r="O76" s="7">
        <v>15350</v>
      </c>
      <c r="P76" s="7">
        <v>23250</v>
      </c>
      <c r="Q76" s="8">
        <v>177500</v>
      </c>
      <c r="R76" s="8">
        <v>591000</v>
      </c>
      <c r="S76" s="8">
        <v>197000</v>
      </c>
      <c r="T76" s="8">
        <v>27900</v>
      </c>
      <c r="U76" s="8">
        <v>28800</v>
      </c>
      <c r="V76" s="7">
        <v>74600</v>
      </c>
      <c r="W76" s="7">
        <v>1100000</v>
      </c>
      <c r="X76" s="7">
        <v>32500</v>
      </c>
      <c r="Y76" s="7">
        <v>144000</v>
      </c>
      <c r="Z76" s="7">
        <v>39000</v>
      </c>
      <c r="AA76" s="8">
        <v>17800</v>
      </c>
      <c r="AB76" s="8">
        <v>100500</v>
      </c>
      <c r="AC76" s="8">
        <v>18100</v>
      </c>
      <c r="AD76" s="8">
        <v>52800</v>
      </c>
      <c r="AE76" s="8">
        <v>312500</v>
      </c>
      <c r="AF76" s="7">
        <v>86100</v>
      </c>
      <c r="AG76" s="7">
        <v>88700</v>
      </c>
      <c r="AH76" s="7">
        <v>26750</v>
      </c>
      <c r="AI76" s="7">
        <v>127000</v>
      </c>
      <c r="AJ76" s="7">
        <v>21050</v>
      </c>
      <c r="AK76" s="8">
        <v>19013</v>
      </c>
      <c r="AL76" s="8">
        <v>50800</v>
      </c>
      <c r="AM76" s="8">
        <v>152500</v>
      </c>
      <c r="AN76" s="8">
        <v>23850</v>
      </c>
      <c r="AO76" s="8">
        <v>25800</v>
      </c>
      <c r="AP76" s="7">
        <v>4405</v>
      </c>
      <c r="AQ76" s="7">
        <v>175000</v>
      </c>
      <c r="AR76" s="7">
        <v>49100</v>
      </c>
      <c r="AS76" s="7">
        <v>11850</v>
      </c>
      <c r="AT76" s="7">
        <v>1505000</v>
      </c>
      <c r="AU76" s="8">
        <v>127500</v>
      </c>
      <c r="AV76" s="8">
        <v>286000</v>
      </c>
      <c r="AW76" s="8">
        <v>11400</v>
      </c>
      <c r="AX76" s="8">
        <v>42250</v>
      </c>
      <c r="AY76" s="8">
        <v>11600</v>
      </c>
      <c r="AZ76" s="7">
        <v>325000</v>
      </c>
      <c r="BA76" s="7">
        <v>28550</v>
      </c>
      <c r="BB76" s="7">
        <v>2595</v>
      </c>
      <c r="BC76" s="7">
        <v>66200</v>
      </c>
      <c r="BD76" s="7">
        <v>41100</v>
      </c>
      <c r="BE76" s="8">
        <v>78200</v>
      </c>
      <c r="BF76" s="8">
        <v>38150</v>
      </c>
      <c r="BG76" s="8">
        <v>19900</v>
      </c>
      <c r="BH76" s="8">
        <v>861000</v>
      </c>
      <c r="BI76" s="8">
        <v>22300</v>
      </c>
      <c r="BJ76" s="7">
        <v>32350</v>
      </c>
      <c r="BK76" s="7">
        <v>22900</v>
      </c>
      <c r="BL76" s="7">
        <v>158500</v>
      </c>
      <c r="BM76" s="7">
        <v>3250</v>
      </c>
      <c r="BN76" s="7">
        <v>9190</v>
      </c>
      <c r="BO76" s="8">
        <v>811000</v>
      </c>
      <c r="BP76" s="8">
        <v>58800</v>
      </c>
      <c r="BQ76" s="8">
        <v>7410</v>
      </c>
      <c r="BR76" s="7">
        <v>22350</v>
      </c>
      <c r="BS76" s="7">
        <v>5100</v>
      </c>
      <c r="BT76" s="7">
        <v>25400</v>
      </c>
      <c r="BU76" s="7">
        <v>10800</v>
      </c>
      <c r="BV76" s="8">
        <v>4345</v>
      </c>
    </row>
    <row r="77" spans="1:74" x14ac:dyDescent="0.4">
      <c r="A77" s="11">
        <v>41368</v>
      </c>
      <c r="B77" s="7">
        <v>300900</v>
      </c>
      <c r="C77" s="7">
        <v>133000</v>
      </c>
      <c r="D77" s="7">
        <v>80300</v>
      </c>
      <c r="E77" s="7">
        <v>59100</v>
      </c>
      <c r="F77" s="7">
        <v>245500</v>
      </c>
      <c r="G77" s="8">
        <v>75500</v>
      </c>
      <c r="H77" s="8">
        <v>17100</v>
      </c>
      <c r="I77" s="8">
        <v>14900</v>
      </c>
      <c r="J77" s="8">
        <v>20650</v>
      </c>
      <c r="K77" s="8">
        <v>15050</v>
      </c>
      <c r="L77" s="7">
        <v>49500</v>
      </c>
      <c r="M77" s="7">
        <v>43050</v>
      </c>
      <c r="N77" s="7">
        <v>8340</v>
      </c>
      <c r="O77" s="7">
        <v>16000</v>
      </c>
      <c r="P77" s="7">
        <v>24450</v>
      </c>
      <c r="Q77" s="8">
        <v>182000</v>
      </c>
      <c r="R77" s="8">
        <v>580000</v>
      </c>
      <c r="S77" s="8">
        <v>199500</v>
      </c>
      <c r="T77" s="8">
        <v>28000</v>
      </c>
      <c r="U77" s="8">
        <v>30300</v>
      </c>
      <c r="V77" s="7">
        <v>77000</v>
      </c>
      <c r="W77" s="7">
        <v>1090000</v>
      </c>
      <c r="X77" s="7">
        <v>32750</v>
      </c>
      <c r="Y77" s="7">
        <v>143500</v>
      </c>
      <c r="Z77" s="7">
        <v>38550</v>
      </c>
      <c r="AA77" s="8">
        <v>18400</v>
      </c>
      <c r="AB77" s="8">
        <v>100500</v>
      </c>
      <c r="AC77" s="8">
        <v>18800</v>
      </c>
      <c r="AD77" s="8">
        <v>54700</v>
      </c>
      <c r="AE77" s="8">
        <v>321000</v>
      </c>
      <c r="AF77" s="7">
        <v>88000</v>
      </c>
      <c r="AG77" s="7">
        <v>90200</v>
      </c>
      <c r="AH77" s="7">
        <v>27200</v>
      </c>
      <c r="AI77" s="7">
        <v>129000</v>
      </c>
      <c r="AJ77" s="7">
        <v>21400</v>
      </c>
      <c r="AK77" s="8">
        <v>18855</v>
      </c>
      <c r="AL77" s="8">
        <v>53300</v>
      </c>
      <c r="AM77" s="8">
        <v>155500</v>
      </c>
      <c r="AN77" s="8">
        <v>24050</v>
      </c>
      <c r="AO77" s="8">
        <v>26000</v>
      </c>
      <c r="AP77" s="7">
        <v>4485</v>
      </c>
      <c r="AQ77" s="7">
        <v>177500</v>
      </c>
      <c r="AR77" s="7">
        <v>49850</v>
      </c>
      <c r="AS77" s="7">
        <v>12300</v>
      </c>
      <c r="AT77" s="7">
        <v>1506000</v>
      </c>
      <c r="AU77" s="8">
        <v>128500</v>
      </c>
      <c r="AV77" s="8">
        <v>286500</v>
      </c>
      <c r="AW77" s="8">
        <v>11300</v>
      </c>
      <c r="AX77" s="8">
        <v>42650</v>
      </c>
      <c r="AY77" s="8">
        <v>11500</v>
      </c>
      <c r="AZ77" s="7">
        <v>343500</v>
      </c>
      <c r="BA77" s="7">
        <v>29200</v>
      </c>
      <c r="BB77" s="7">
        <v>2450</v>
      </c>
      <c r="BC77" s="7">
        <v>67600</v>
      </c>
      <c r="BD77" s="7">
        <v>42300</v>
      </c>
      <c r="BE77" s="8">
        <v>78800</v>
      </c>
      <c r="BF77" s="8">
        <v>39050</v>
      </c>
      <c r="BG77" s="8">
        <v>19950</v>
      </c>
      <c r="BH77" s="8">
        <v>871000</v>
      </c>
      <c r="BI77" s="8">
        <v>22600</v>
      </c>
      <c r="BJ77" s="7">
        <v>33900</v>
      </c>
      <c r="BK77" s="7">
        <v>23800</v>
      </c>
      <c r="BL77" s="7">
        <v>162000</v>
      </c>
      <c r="BM77" s="7">
        <v>3380</v>
      </c>
      <c r="BN77" s="7">
        <v>9100</v>
      </c>
      <c r="BO77" s="8">
        <v>817000</v>
      </c>
      <c r="BP77" s="8">
        <v>59400</v>
      </c>
      <c r="BQ77" s="8">
        <v>7200</v>
      </c>
      <c r="BR77" s="7">
        <v>22400</v>
      </c>
      <c r="BS77" s="7">
        <v>5120</v>
      </c>
      <c r="BT77" s="7">
        <v>25750</v>
      </c>
      <c r="BU77" s="7">
        <v>11350</v>
      </c>
      <c r="BV77" s="8">
        <v>4310</v>
      </c>
    </row>
    <row r="78" spans="1:74" x14ac:dyDescent="0.4">
      <c r="A78" s="11">
        <v>41367</v>
      </c>
      <c r="B78" s="7">
        <v>302300</v>
      </c>
      <c r="C78" s="7">
        <v>136500</v>
      </c>
      <c r="D78" s="7">
        <v>81500</v>
      </c>
      <c r="E78" s="7">
        <v>57000</v>
      </c>
      <c r="F78" s="7">
        <v>251000</v>
      </c>
      <c r="G78" s="8">
        <v>77400</v>
      </c>
      <c r="H78" s="8">
        <v>16750</v>
      </c>
      <c r="I78" s="8">
        <v>14800</v>
      </c>
      <c r="J78" s="8">
        <v>21000</v>
      </c>
      <c r="K78" s="8">
        <v>15400</v>
      </c>
      <c r="L78" s="7">
        <v>47450</v>
      </c>
      <c r="M78" s="7">
        <v>43300</v>
      </c>
      <c r="N78" s="7">
        <v>8310</v>
      </c>
      <c r="O78" s="7">
        <v>16300</v>
      </c>
      <c r="P78" s="7">
        <v>25300</v>
      </c>
      <c r="Q78" s="8">
        <v>184500</v>
      </c>
      <c r="R78" s="8">
        <v>594000</v>
      </c>
      <c r="S78" s="8">
        <v>203500</v>
      </c>
      <c r="T78" s="8">
        <v>28650</v>
      </c>
      <c r="U78" s="8">
        <v>30400</v>
      </c>
      <c r="V78" s="7">
        <v>78500</v>
      </c>
      <c r="W78" s="7">
        <v>1101000</v>
      </c>
      <c r="X78" s="7">
        <v>33400</v>
      </c>
      <c r="Y78" s="7">
        <v>146000</v>
      </c>
      <c r="Z78" s="7">
        <v>36650</v>
      </c>
      <c r="AA78" s="8">
        <v>18350</v>
      </c>
      <c r="AB78" s="8">
        <v>101000</v>
      </c>
      <c r="AC78" s="8">
        <v>19000</v>
      </c>
      <c r="AD78" s="8">
        <v>55700</v>
      </c>
      <c r="AE78" s="8">
        <v>323000</v>
      </c>
      <c r="AF78" s="7">
        <v>89000</v>
      </c>
      <c r="AG78" s="7">
        <v>91400</v>
      </c>
      <c r="AH78" s="7">
        <v>27700</v>
      </c>
      <c r="AI78" s="7">
        <v>131000</v>
      </c>
      <c r="AJ78" s="7">
        <v>20850</v>
      </c>
      <c r="AK78" s="8">
        <v>18828</v>
      </c>
      <c r="AL78" s="8">
        <v>55100</v>
      </c>
      <c r="AM78" s="8">
        <v>155500</v>
      </c>
      <c r="AN78" s="8">
        <v>22600</v>
      </c>
      <c r="AO78" s="8">
        <v>25800</v>
      </c>
      <c r="AP78" s="7">
        <v>4605</v>
      </c>
      <c r="AQ78" s="7">
        <v>186000</v>
      </c>
      <c r="AR78" s="7">
        <v>50100</v>
      </c>
      <c r="AS78" s="7">
        <v>12250</v>
      </c>
      <c r="AT78" s="7">
        <v>1521000</v>
      </c>
      <c r="AU78" s="8">
        <v>130000</v>
      </c>
      <c r="AV78" s="8">
        <v>287500</v>
      </c>
      <c r="AW78" s="8">
        <v>11350</v>
      </c>
      <c r="AX78" s="8">
        <v>42700</v>
      </c>
      <c r="AY78" s="8">
        <v>11050</v>
      </c>
      <c r="AZ78" s="7">
        <v>351500</v>
      </c>
      <c r="BA78" s="7">
        <v>28900</v>
      </c>
      <c r="BB78" s="7">
        <v>2480</v>
      </c>
      <c r="BC78" s="7">
        <v>68000</v>
      </c>
      <c r="BD78" s="7">
        <v>43150</v>
      </c>
      <c r="BE78" s="8">
        <v>80000</v>
      </c>
      <c r="BF78" s="8">
        <v>40150</v>
      </c>
      <c r="BG78" s="8">
        <v>20600</v>
      </c>
      <c r="BH78" s="8">
        <v>870000</v>
      </c>
      <c r="BI78" s="8">
        <v>22950</v>
      </c>
      <c r="BJ78" s="7">
        <v>32900</v>
      </c>
      <c r="BK78" s="7">
        <v>23700</v>
      </c>
      <c r="BL78" s="7">
        <v>166000</v>
      </c>
      <c r="BM78" s="7">
        <v>3485</v>
      </c>
      <c r="BN78" s="7">
        <v>9390</v>
      </c>
      <c r="BO78" s="8">
        <v>819000</v>
      </c>
      <c r="BP78" s="8">
        <v>59600</v>
      </c>
      <c r="BQ78" s="8">
        <v>7510</v>
      </c>
      <c r="BR78" s="7">
        <v>22750</v>
      </c>
      <c r="BS78" s="7">
        <v>5150</v>
      </c>
      <c r="BT78" s="7">
        <v>25750</v>
      </c>
      <c r="BU78" s="7">
        <v>11000</v>
      </c>
      <c r="BV78" s="8">
        <v>4430</v>
      </c>
    </row>
    <row r="79" spans="1:74" s="80" customFormat="1" x14ac:dyDescent="0.4">
      <c r="A79" s="77">
        <v>41366</v>
      </c>
      <c r="B79" s="78">
        <v>300000</v>
      </c>
      <c r="C79" s="78">
        <v>137500</v>
      </c>
      <c r="D79" s="78">
        <v>84500</v>
      </c>
      <c r="E79" s="78">
        <v>55700</v>
      </c>
      <c r="F79" s="78">
        <v>259500</v>
      </c>
      <c r="G79" s="79">
        <v>76200</v>
      </c>
      <c r="H79" s="79">
        <v>16400</v>
      </c>
      <c r="I79" s="79">
        <v>14800</v>
      </c>
      <c r="J79" s="79">
        <v>20300</v>
      </c>
      <c r="K79" s="79">
        <v>15350</v>
      </c>
      <c r="L79" s="78">
        <v>46500</v>
      </c>
      <c r="M79" s="78">
        <v>42900</v>
      </c>
      <c r="N79" s="78">
        <v>8090</v>
      </c>
      <c r="O79" s="78">
        <v>16450</v>
      </c>
      <c r="P79" s="78">
        <v>24800</v>
      </c>
      <c r="Q79" s="79">
        <v>189000</v>
      </c>
      <c r="R79" s="79">
        <v>604000</v>
      </c>
      <c r="S79" s="79">
        <v>207500</v>
      </c>
      <c r="T79" s="79">
        <v>27750</v>
      </c>
      <c r="U79" s="79">
        <v>29150</v>
      </c>
      <c r="V79" s="78">
        <v>79400</v>
      </c>
      <c r="W79" s="78">
        <v>1077000</v>
      </c>
      <c r="X79" s="78">
        <v>32600</v>
      </c>
      <c r="Y79" s="78">
        <v>143500</v>
      </c>
      <c r="Z79" s="78">
        <v>34400</v>
      </c>
      <c r="AA79" s="79">
        <v>18050</v>
      </c>
      <c r="AB79" s="79">
        <v>98700</v>
      </c>
      <c r="AC79" s="79">
        <v>19400</v>
      </c>
      <c r="AD79" s="79">
        <v>53400</v>
      </c>
      <c r="AE79" s="79">
        <v>321500</v>
      </c>
      <c r="AF79" s="78">
        <v>86900</v>
      </c>
      <c r="AG79" s="78">
        <v>91300</v>
      </c>
      <c r="AH79" s="78">
        <v>27050</v>
      </c>
      <c r="AI79" s="78">
        <v>131000</v>
      </c>
      <c r="AJ79" s="78">
        <v>20800</v>
      </c>
      <c r="AK79" s="79">
        <v>18591</v>
      </c>
      <c r="AL79" s="79">
        <v>55300</v>
      </c>
      <c r="AM79" s="79">
        <v>157500</v>
      </c>
      <c r="AN79" s="79">
        <v>22350</v>
      </c>
      <c r="AO79" s="79">
        <v>26600</v>
      </c>
      <c r="AP79" s="78">
        <v>4695</v>
      </c>
      <c r="AQ79" s="78">
        <v>190000</v>
      </c>
      <c r="AR79" s="78">
        <v>49900</v>
      </c>
      <c r="AS79" s="78">
        <v>12150</v>
      </c>
      <c r="AT79" s="78">
        <v>1525000</v>
      </c>
      <c r="AU79" s="79">
        <v>128000</v>
      </c>
      <c r="AV79" s="79">
        <v>287500</v>
      </c>
      <c r="AW79" s="79">
        <v>11400</v>
      </c>
      <c r="AX79" s="79">
        <v>42400</v>
      </c>
      <c r="AY79" s="79">
        <v>11000</v>
      </c>
      <c r="AZ79" s="78">
        <v>361500</v>
      </c>
      <c r="BA79" s="78">
        <v>28400</v>
      </c>
      <c r="BB79" s="78">
        <v>2480</v>
      </c>
      <c r="BC79" s="78">
        <v>67300</v>
      </c>
      <c r="BD79" s="78">
        <v>43200</v>
      </c>
      <c r="BE79" s="79">
        <v>78800</v>
      </c>
      <c r="BF79" s="79">
        <v>40400</v>
      </c>
      <c r="BG79" s="79">
        <v>20450</v>
      </c>
      <c r="BH79" s="79">
        <v>876000</v>
      </c>
      <c r="BI79" s="79">
        <v>23150</v>
      </c>
      <c r="BJ79" s="78">
        <v>32150</v>
      </c>
      <c r="BK79" s="78">
        <v>23100</v>
      </c>
      <c r="BL79" s="78">
        <v>169500</v>
      </c>
      <c r="BM79" s="78">
        <v>3490</v>
      </c>
      <c r="BN79" s="78">
        <v>9440</v>
      </c>
      <c r="BO79" s="79">
        <v>835000</v>
      </c>
      <c r="BP79" s="79">
        <v>59600</v>
      </c>
      <c r="BQ79" s="79">
        <v>7470</v>
      </c>
      <c r="BR79" s="78">
        <v>22350</v>
      </c>
      <c r="BS79" s="78">
        <v>5210</v>
      </c>
      <c r="BT79" s="78">
        <v>25750</v>
      </c>
      <c r="BU79" s="78">
        <v>10850</v>
      </c>
      <c r="BV79" s="79">
        <v>4400</v>
      </c>
    </row>
    <row r="80" spans="1:74" x14ac:dyDescent="0.4">
      <c r="A80" s="11">
        <v>41365</v>
      </c>
      <c r="B80" s="7">
        <v>295700</v>
      </c>
      <c r="C80" s="7">
        <v>139000</v>
      </c>
      <c r="D80" s="7">
        <v>83500</v>
      </c>
      <c r="E80" s="7">
        <v>55500</v>
      </c>
      <c r="F80" s="7">
        <v>267500</v>
      </c>
      <c r="G80" s="8">
        <v>76600</v>
      </c>
      <c r="H80" s="8">
        <v>15650</v>
      </c>
      <c r="I80" s="8">
        <v>15100</v>
      </c>
      <c r="J80" s="8">
        <v>20300</v>
      </c>
      <c r="K80" s="8">
        <v>15650</v>
      </c>
      <c r="L80" s="7">
        <v>45650</v>
      </c>
      <c r="M80" s="7">
        <v>42300</v>
      </c>
      <c r="N80" s="7">
        <v>8030</v>
      </c>
      <c r="O80" s="7">
        <v>16100</v>
      </c>
      <c r="P80" s="7">
        <v>25600</v>
      </c>
      <c r="Q80" s="8">
        <v>197500</v>
      </c>
      <c r="R80" s="8">
        <v>607000</v>
      </c>
      <c r="S80" s="8">
        <v>211000</v>
      </c>
      <c r="T80" s="8">
        <v>28600</v>
      </c>
      <c r="U80" s="8">
        <v>28850</v>
      </c>
      <c r="V80" s="7">
        <v>80600</v>
      </c>
      <c r="W80" s="7">
        <v>1055000</v>
      </c>
      <c r="X80" s="7">
        <v>33500</v>
      </c>
      <c r="Y80" s="7">
        <v>149500</v>
      </c>
      <c r="Z80" s="7">
        <v>33700</v>
      </c>
      <c r="AA80" s="8">
        <v>16950</v>
      </c>
      <c r="AB80" s="8">
        <v>95800</v>
      </c>
      <c r="AC80" s="8">
        <v>20100</v>
      </c>
      <c r="AD80" s="8">
        <v>54000</v>
      </c>
      <c r="AE80" s="8">
        <v>325000</v>
      </c>
      <c r="AF80" s="7">
        <v>88900</v>
      </c>
      <c r="AG80" s="7">
        <v>92600</v>
      </c>
      <c r="AH80" s="7">
        <v>27500</v>
      </c>
      <c r="AI80" s="7">
        <v>131000</v>
      </c>
      <c r="AJ80" s="7">
        <v>20200</v>
      </c>
      <c r="AK80" s="8">
        <v>18539</v>
      </c>
      <c r="AL80" s="8">
        <v>55100</v>
      </c>
      <c r="AM80" s="8">
        <v>158500</v>
      </c>
      <c r="AN80" s="8">
        <v>22650</v>
      </c>
      <c r="AO80" s="8">
        <v>27400</v>
      </c>
      <c r="AP80" s="7">
        <v>4655</v>
      </c>
      <c r="AQ80" s="7">
        <v>190500</v>
      </c>
      <c r="AR80" s="7">
        <v>48850</v>
      </c>
      <c r="AS80" s="7">
        <v>12600</v>
      </c>
      <c r="AT80" s="7">
        <v>1512000</v>
      </c>
      <c r="AU80" s="8">
        <v>128000</v>
      </c>
      <c r="AV80" s="8">
        <v>294000</v>
      </c>
      <c r="AW80" s="8">
        <v>10400</v>
      </c>
      <c r="AX80" s="8">
        <v>42300</v>
      </c>
      <c r="AY80" s="8">
        <v>10800</v>
      </c>
      <c r="AZ80" s="7">
        <v>360500</v>
      </c>
      <c r="BA80" s="7">
        <v>28650</v>
      </c>
      <c r="BB80" s="7">
        <v>2490</v>
      </c>
      <c r="BC80" s="7">
        <v>67900</v>
      </c>
      <c r="BD80" s="7">
        <v>43200</v>
      </c>
      <c r="BE80" s="8">
        <v>80000</v>
      </c>
      <c r="BF80" s="8">
        <v>40750</v>
      </c>
      <c r="BG80" s="8">
        <v>20700</v>
      </c>
      <c r="BH80" s="8">
        <v>872000</v>
      </c>
      <c r="BI80" s="8">
        <v>22000</v>
      </c>
      <c r="BJ80" s="7">
        <v>32750</v>
      </c>
      <c r="BK80" s="7">
        <v>23100</v>
      </c>
      <c r="BL80" s="7">
        <v>165500</v>
      </c>
      <c r="BM80" s="7">
        <v>3250</v>
      </c>
      <c r="BN80" s="7">
        <v>9650</v>
      </c>
      <c r="BO80" s="8">
        <v>823000</v>
      </c>
      <c r="BP80" s="8">
        <v>59800</v>
      </c>
      <c r="BQ80" s="8">
        <v>7550</v>
      </c>
      <c r="BR80" s="7">
        <v>22600</v>
      </c>
      <c r="BS80" s="7">
        <v>5460</v>
      </c>
      <c r="BT80" s="7">
        <v>25750</v>
      </c>
      <c r="BU80" s="7">
        <v>10750</v>
      </c>
      <c r="BV80" s="8">
        <v>4315</v>
      </c>
    </row>
    <row r="81" spans="1:74" x14ac:dyDescent="0.4">
      <c r="A81" s="11">
        <v>41362</v>
      </c>
      <c r="B81" s="7">
        <v>298900</v>
      </c>
      <c r="C81" s="7">
        <v>140500</v>
      </c>
      <c r="D81" s="7">
        <v>86000</v>
      </c>
      <c r="E81" s="7">
        <v>53900</v>
      </c>
      <c r="F81" s="7">
        <v>268000</v>
      </c>
      <c r="G81" s="8">
        <v>76400</v>
      </c>
      <c r="H81" s="8">
        <v>16350</v>
      </c>
      <c r="I81" s="8">
        <v>15300</v>
      </c>
      <c r="J81" s="8">
        <v>19800</v>
      </c>
      <c r="K81" s="8">
        <v>15800</v>
      </c>
      <c r="L81" s="7">
        <v>46550</v>
      </c>
      <c r="M81" s="7">
        <v>43050</v>
      </c>
      <c r="N81" s="7">
        <v>8160</v>
      </c>
      <c r="O81" s="7">
        <v>16500</v>
      </c>
      <c r="P81" s="7">
        <v>25650</v>
      </c>
      <c r="Q81" s="8">
        <v>198000</v>
      </c>
      <c r="R81" s="8">
        <v>616000</v>
      </c>
      <c r="S81" s="8">
        <v>211000</v>
      </c>
      <c r="T81" s="8">
        <v>27800</v>
      </c>
      <c r="U81" s="8">
        <v>28900</v>
      </c>
      <c r="V81" s="7">
        <v>81000</v>
      </c>
      <c r="W81" s="7">
        <v>1083000</v>
      </c>
      <c r="X81" s="7">
        <v>33000</v>
      </c>
      <c r="Y81" s="7">
        <v>149000</v>
      </c>
      <c r="Z81" s="7">
        <v>33900</v>
      </c>
      <c r="AA81" s="8">
        <v>17350</v>
      </c>
      <c r="AB81" s="8">
        <v>98600</v>
      </c>
      <c r="AC81" s="8">
        <v>20000</v>
      </c>
      <c r="AD81" s="8">
        <v>55000</v>
      </c>
      <c r="AE81" s="8">
        <v>326000</v>
      </c>
      <c r="AF81" s="7">
        <v>85900</v>
      </c>
      <c r="AG81" s="7">
        <v>93200</v>
      </c>
      <c r="AH81" s="7">
        <v>27600</v>
      </c>
      <c r="AI81" s="7">
        <v>129500</v>
      </c>
      <c r="AJ81" s="7">
        <v>21900</v>
      </c>
      <c r="AK81" s="8">
        <v>18723</v>
      </c>
      <c r="AL81" s="8">
        <v>55600</v>
      </c>
      <c r="AM81" s="8">
        <v>157000</v>
      </c>
      <c r="AN81" s="8">
        <v>22550</v>
      </c>
      <c r="AO81" s="8">
        <v>27500</v>
      </c>
      <c r="AP81" s="7">
        <v>4710</v>
      </c>
      <c r="AQ81" s="7">
        <v>188500</v>
      </c>
      <c r="AR81" s="7">
        <v>49950</v>
      </c>
      <c r="AS81" s="7">
        <v>12550</v>
      </c>
      <c r="AT81" s="7">
        <v>1527000</v>
      </c>
      <c r="AU81" s="8">
        <v>131500</v>
      </c>
      <c r="AV81" s="8">
        <v>277000</v>
      </c>
      <c r="AW81" s="8">
        <v>10550</v>
      </c>
      <c r="AX81" s="8">
        <v>42150</v>
      </c>
      <c r="AY81" s="8">
        <v>10800</v>
      </c>
      <c r="AZ81" s="7">
        <v>353000</v>
      </c>
      <c r="BA81" s="7">
        <v>28750</v>
      </c>
      <c r="BB81" s="7">
        <v>2480</v>
      </c>
      <c r="BC81" s="7">
        <v>68500</v>
      </c>
      <c r="BD81" s="7">
        <v>43600</v>
      </c>
      <c r="BE81" s="8">
        <v>81100</v>
      </c>
      <c r="BF81" s="8">
        <v>40900</v>
      </c>
      <c r="BG81" s="8">
        <v>21250</v>
      </c>
      <c r="BH81" s="8">
        <v>876000</v>
      </c>
      <c r="BI81" s="8">
        <v>22050</v>
      </c>
      <c r="BJ81" s="7">
        <v>33550</v>
      </c>
      <c r="BK81" s="7">
        <v>22850</v>
      </c>
      <c r="BL81" s="7">
        <v>166500</v>
      </c>
      <c r="BM81" s="7">
        <v>2830</v>
      </c>
      <c r="BN81" s="7">
        <v>9570</v>
      </c>
      <c r="BO81" s="8">
        <v>856000</v>
      </c>
      <c r="BP81" s="8">
        <v>60000</v>
      </c>
      <c r="BQ81" s="8">
        <v>7340</v>
      </c>
      <c r="BR81" s="7">
        <v>22950</v>
      </c>
      <c r="BS81" s="7">
        <v>5470</v>
      </c>
      <c r="BT81" s="7">
        <v>25700</v>
      </c>
      <c r="BU81" s="7">
        <v>10850</v>
      </c>
      <c r="BV81" s="8">
        <v>4255</v>
      </c>
    </row>
    <row r="82" spans="1:74" x14ac:dyDescent="0.4">
      <c r="A82" s="11">
        <v>41361</v>
      </c>
      <c r="B82" s="7">
        <v>294700</v>
      </c>
      <c r="C82" s="7">
        <v>140500</v>
      </c>
      <c r="D82" s="7">
        <v>86800</v>
      </c>
      <c r="E82" s="7">
        <v>52500</v>
      </c>
      <c r="F82" s="7">
        <v>265000</v>
      </c>
      <c r="G82" s="8">
        <v>74700</v>
      </c>
      <c r="H82" s="8">
        <v>15600</v>
      </c>
      <c r="I82" s="8">
        <v>15100</v>
      </c>
      <c r="J82" s="8">
        <v>18950</v>
      </c>
      <c r="K82" s="8">
        <v>15700</v>
      </c>
      <c r="L82" s="7">
        <v>46950</v>
      </c>
      <c r="M82" s="7">
        <v>43700</v>
      </c>
      <c r="N82" s="7">
        <v>8020</v>
      </c>
      <c r="O82" s="7">
        <v>16600</v>
      </c>
      <c r="P82" s="7">
        <v>24700</v>
      </c>
      <c r="Q82" s="8">
        <v>197500</v>
      </c>
      <c r="R82" s="8">
        <v>611000</v>
      </c>
      <c r="S82" s="8">
        <v>214000</v>
      </c>
      <c r="T82" s="8">
        <v>28200</v>
      </c>
      <c r="U82" s="8">
        <v>29050</v>
      </c>
      <c r="V82" s="7">
        <v>81200</v>
      </c>
      <c r="W82" s="7">
        <v>1088000</v>
      </c>
      <c r="X82" s="7">
        <v>32350</v>
      </c>
      <c r="Y82" s="7">
        <v>145000</v>
      </c>
      <c r="Z82" s="7">
        <v>33050</v>
      </c>
      <c r="AA82" s="8">
        <v>17300</v>
      </c>
      <c r="AB82" s="8">
        <v>96800</v>
      </c>
      <c r="AC82" s="8">
        <v>20200</v>
      </c>
      <c r="AD82" s="8">
        <v>55000</v>
      </c>
      <c r="AE82" s="8">
        <v>327000</v>
      </c>
      <c r="AF82" s="7">
        <v>84600</v>
      </c>
      <c r="AG82" s="7">
        <v>93400</v>
      </c>
      <c r="AH82" s="7">
        <v>28550</v>
      </c>
      <c r="AI82" s="7">
        <v>128000</v>
      </c>
      <c r="AJ82" s="7">
        <v>21200</v>
      </c>
      <c r="AK82" s="8">
        <v>18170</v>
      </c>
      <c r="AL82" s="8">
        <v>56100</v>
      </c>
      <c r="AM82" s="8">
        <v>155000</v>
      </c>
      <c r="AN82" s="8">
        <v>22750</v>
      </c>
      <c r="AO82" s="8">
        <v>27400</v>
      </c>
      <c r="AP82" s="7">
        <v>4770</v>
      </c>
      <c r="AQ82" s="7">
        <v>192000</v>
      </c>
      <c r="AR82" s="7">
        <v>50200</v>
      </c>
      <c r="AS82" s="7">
        <v>12700</v>
      </c>
      <c r="AT82" s="7">
        <v>1510000</v>
      </c>
      <c r="AU82" s="8">
        <v>131500</v>
      </c>
      <c r="AV82" s="8">
        <v>268000</v>
      </c>
      <c r="AW82" s="8">
        <v>10500</v>
      </c>
      <c r="AX82" s="8">
        <v>41300</v>
      </c>
      <c r="AY82" s="8">
        <v>10650</v>
      </c>
      <c r="AZ82" s="7">
        <v>354500</v>
      </c>
      <c r="BA82" s="7">
        <v>29250</v>
      </c>
      <c r="BB82" s="7">
        <v>2470</v>
      </c>
      <c r="BC82" s="7">
        <v>68500</v>
      </c>
      <c r="BD82" s="7">
        <v>42000</v>
      </c>
      <c r="BE82" s="8">
        <v>81400</v>
      </c>
      <c r="BF82" s="8">
        <v>40600</v>
      </c>
      <c r="BG82" s="8">
        <v>21250</v>
      </c>
      <c r="BH82" s="8">
        <v>868000</v>
      </c>
      <c r="BI82" s="8">
        <v>22400</v>
      </c>
      <c r="BJ82" s="7">
        <v>33000</v>
      </c>
      <c r="BK82" s="7">
        <v>22650</v>
      </c>
      <c r="BL82" s="7">
        <v>160500</v>
      </c>
      <c r="BM82" s="7">
        <v>2740</v>
      </c>
      <c r="BN82" s="7">
        <v>9150</v>
      </c>
      <c r="BO82" s="8">
        <v>815000</v>
      </c>
      <c r="BP82" s="8">
        <v>59900</v>
      </c>
      <c r="BQ82" s="8">
        <v>7160</v>
      </c>
      <c r="BR82" s="7">
        <v>22600</v>
      </c>
      <c r="BS82" s="7">
        <v>5340</v>
      </c>
      <c r="BT82" s="7">
        <v>25650</v>
      </c>
      <c r="BU82" s="7">
        <v>10900</v>
      </c>
      <c r="BV82" s="8">
        <v>4345</v>
      </c>
    </row>
    <row r="83" spans="1:74" x14ac:dyDescent="0.4">
      <c r="A83" s="11">
        <v>41360</v>
      </c>
      <c r="B83" s="7">
        <v>296600</v>
      </c>
      <c r="C83" s="7">
        <v>139500</v>
      </c>
      <c r="D83" s="7">
        <v>86100</v>
      </c>
      <c r="E83" s="7">
        <v>52900</v>
      </c>
      <c r="F83" s="7">
        <v>270000</v>
      </c>
      <c r="G83" s="8">
        <v>73600</v>
      </c>
      <c r="H83" s="8">
        <v>16000</v>
      </c>
      <c r="I83" s="8">
        <v>15200</v>
      </c>
      <c r="J83" s="8">
        <v>19250</v>
      </c>
      <c r="K83" s="8">
        <v>15850</v>
      </c>
      <c r="L83" s="7">
        <v>46200</v>
      </c>
      <c r="M83" s="7">
        <v>43200</v>
      </c>
      <c r="N83" s="7">
        <v>7920</v>
      </c>
      <c r="O83" s="7">
        <v>16800</v>
      </c>
      <c r="P83" s="7">
        <v>24700</v>
      </c>
      <c r="Q83" s="8">
        <v>202500</v>
      </c>
      <c r="R83" s="8">
        <v>600000</v>
      </c>
      <c r="S83" s="8">
        <v>214000</v>
      </c>
      <c r="T83" s="8">
        <v>27650</v>
      </c>
      <c r="U83" s="8">
        <v>28750</v>
      </c>
      <c r="V83" s="7">
        <v>80900</v>
      </c>
      <c r="W83" s="7">
        <v>1055000</v>
      </c>
      <c r="X83" s="7">
        <v>32450</v>
      </c>
      <c r="Y83" s="7">
        <v>144000</v>
      </c>
      <c r="Z83" s="7">
        <v>33500</v>
      </c>
      <c r="AA83" s="8">
        <v>16850</v>
      </c>
      <c r="AB83" s="8">
        <v>95000</v>
      </c>
      <c r="AC83" s="8">
        <v>19150</v>
      </c>
      <c r="AD83" s="8">
        <v>54100</v>
      </c>
      <c r="AE83" s="8">
        <v>327000</v>
      </c>
      <c r="AF83" s="7">
        <v>85900</v>
      </c>
      <c r="AG83" s="7">
        <v>93700</v>
      </c>
      <c r="AH83" s="7">
        <v>28450</v>
      </c>
      <c r="AI83" s="7">
        <v>128500</v>
      </c>
      <c r="AJ83" s="7">
        <v>21400</v>
      </c>
      <c r="AK83" s="8">
        <v>18144</v>
      </c>
      <c r="AL83" s="8">
        <v>56900</v>
      </c>
      <c r="AM83" s="8">
        <v>157000</v>
      </c>
      <c r="AN83" s="8">
        <v>22700</v>
      </c>
      <c r="AO83" s="8">
        <v>28000</v>
      </c>
      <c r="AP83" s="7">
        <v>4560</v>
      </c>
      <c r="AQ83" s="7">
        <v>192000</v>
      </c>
      <c r="AR83" s="7">
        <v>48150</v>
      </c>
      <c r="AS83" s="7">
        <v>12600</v>
      </c>
      <c r="AT83" s="7">
        <v>1504000</v>
      </c>
      <c r="AU83" s="8">
        <v>127000</v>
      </c>
      <c r="AV83" s="8">
        <v>270000</v>
      </c>
      <c r="AW83" s="8">
        <v>10200</v>
      </c>
      <c r="AX83" s="8">
        <v>40650</v>
      </c>
      <c r="AY83" s="8">
        <v>10800</v>
      </c>
      <c r="AZ83" s="7">
        <v>351000</v>
      </c>
      <c r="BA83" s="7">
        <v>29450</v>
      </c>
      <c r="BB83" s="7">
        <v>2470</v>
      </c>
      <c r="BC83" s="7">
        <v>68000</v>
      </c>
      <c r="BD83" s="7">
        <v>42650</v>
      </c>
      <c r="BE83" s="8">
        <v>82400</v>
      </c>
      <c r="BF83" s="8">
        <v>40500</v>
      </c>
      <c r="BG83" s="8">
        <v>21200</v>
      </c>
      <c r="BH83" s="8">
        <v>869000</v>
      </c>
      <c r="BI83" s="8">
        <v>21950</v>
      </c>
      <c r="BJ83" s="7">
        <v>32850</v>
      </c>
      <c r="BK83" s="7">
        <v>23100</v>
      </c>
      <c r="BL83" s="7">
        <v>157000</v>
      </c>
      <c r="BM83" s="7">
        <v>2665</v>
      </c>
      <c r="BN83" s="7">
        <v>8660</v>
      </c>
      <c r="BO83" s="8">
        <v>826000</v>
      </c>
      <c r="BP83" s="8">
        <v>59600</v>
      </c>
      <c r="BQ83" s="8">
        <v>7000</v>
      </c>
      <c r="BR83" s="7">
        <v>22500</v>
      </c>
      <c r="BS83" s="7">
        <v>5230</v>
      </c>
      <c r="BT83" s="7">
        <v>25600</v>
      </c>
      <c r="BU83" s="7">
        <v>11100</v>
      </c>
      <c r="BV83" s="8">
        <v>4465</v>
      </c>
    </row>
    <row r="84" spans="1:74" x14ac:dyDescent="0.4">
      <c r="A84" s="73">
        <v>41359</v>
      </c>
      <c r="B84" s="74">
        <v>300000</v>
      </c>
      <c r="C84" s="74">
        <v>140000</v>
      </c>
      <c r="D84" s="74">
        <v>82800</v>
      </c>
      <c r="E84" s="74">
        <v>52700</v>
      </c>
      <c r="F84" s="74">
        <v>270000</v>
      </c>
      <c r="G84" s="75">
        <v>73600</v>
      </c>
      <c r="H84" s="75">
        <v>16000</v>
      </c>
      <c r="I84" s="75">
        <v>14900</v>
      </c>
      <c r="J84" s="75">
        <v>19600</v>
      </c>
      <c r="K84" s="75">
        <v>15750</v>
      </c>
      <c r="L84" s="74">
        <v>45000</v>
      </c>
      <c r="M84" s="74">
        <v>43050</v>
      </c>
      <c r="N84" s="74">
        <v>8030</v>
      </c>
      <c r="O84" s="74">
        <v>16900</v>
      </c>
      <c r="P84" s="74">
        <v>23900</v>
      </c>
      <c r="Q84" s="75">
        <v>200500</v>
      </c>
      <c r="R84" s="75">
        <v>597000</v>
      </c>
      <c r="S84" s="75">
        <v>212500</v>
      </c>
      <c r="T84" s="75">
        <v>27400</v>
      </c>
      <c r="U84" s="75">
        <v>28700</v>
      </c>
      <c r="V84" s="74">
        <v>80400</v>
      </c>
      <c r="W84" s="74">
        <v>1040000</v>
      </c>
      <c r="X84" s="74">
        <v>32400</v>
      </c>
      <c r="Y84" s="74">
        <v>144500</v>
      </c>
      <c r="Z84" s="74">
        <v>32350</v>
      </c>
      <c r="AA84" s="75">
        <v>17000</v>
      </c>
      <c r="AB84" s="75">
        <v>93500</v>
      </c>
      <c r="AC84" s="75">
        <v>19450</v>
      </c>
      <c r="AD84" s="75">
        <v>52700</v>
      </c>
      <c r="AE84" s="75">
        <v>324500</v>
      </c>
      <c r="AF84" s="74">
        <v>86700</v>
      </c>
      <c r="AG84" s="74">
        <v>93100</v>
      </c>
      <c r="AH84" s="74">
        <v>27550</v>
      </c>
      <c r="AI84" s="74">
        <v>126500</v>
      </c>
      <c r="AJ84" s="74">
        <v>21050</v>
      </c>
      <c r="AK84" s="75">
        <v>18038</v>
      </c>
      <c r="AL84" s="75">
        <v>55700</v>
      </c>
      <c r="AM84" s="75">
        <v>157000</v>
      </c>
      <c r="AN84" s="75">
        <v>23050</v>
      </c>
      <c r="AO84" s="75">
        <v>27950</v>
      </c>
      <c r="AP84" s="74">
        <v>4525</v>
      </c>
      <c r="AQ84" s="74">
        <v>191000</v>
      </c>
      <c r="AR84" s="74">
        <v>49100</v>
      </c>
      <c r="AS84" s="74">
        <v>12900</v>
      </c>
      <c r="AT84" s="74">
        <v>1509000</v>
      </c>
      <c r="AU84" s="75">
        <v>128000</v>
      </c>
      <c r="AV84" s="75">
        <v>266500</v>
      </c>
      <c r="AW84" s="75">
        <v>10050</v>
      </c>
      <c r="AX84" s="75">
        <v>40650</v>
      </c>
      <c r="AY84" s="75">
        <v>10850</v>
      </c>
      <c r="AZ84" s="74">
        <v>356000</v>
      </c>
      <c r="BA84" s="74">
        <v>29500</v>
      </c>
      <c r="BB84" s="74">
        <v>2450</v>
      </c>
      <c r="BC84" s="74">
        <v>67800</v>
      </c>
      <c r="BD84" s="74">
        <v>41200</v>
      </c>
      <c r="BE84" s="75">
        <v>82800</v>
      </c>
      <c r="BF84" s="75">
        <v>40850</v>
      </c>
      <c r="BG84" s="75">
        <v>21000</v>
      </c>
      <c r="BH84" s="75">
        <v>872000</v>
      </c>
      <c r="BI84" s="75">
        <v>21600</v>
      </c>
      <c r="BJ84" s="74">
        <v>32950</v>
      </c>
      <c r="BK84" s="74">
        <v>22600</v>
      </c>
      <c r="BL84" s="74">
        <v>156500</v>
      </c>
      <c r="BM84" s="74">
        <v>2655</v>
      </c>
      <c r="BN84" s="74">
        <v>8840</v>
      </c>
      <c r="BO84" s="75">
        <v>824000</v>
      </c>
      <c r="BP84" s="75">
        <v>60000</v>
      </c>
      <c r="BQ84" s="75">
        <v>7070</v>
      </c>
      <c r="BR84" s="74">
        <v>22500</v>
      </c>
      <c r="BS84" s="74">
        <v>5360</v>
      </c>
      <c r="BT84" s="74">
        <v>25600</v>
      </c>
      <c r="BU84" s="74">
        <v>11200</v>
      </c>
      <c r="BV84" s="75">
        <v>4405</v>
      </c>
    </row>
    <row r="85" spans="1:74" x14ac:dyDescent="0.4">
      <c r="A85" s="11">
        <v>41358</v>
      </c>
      <c r="B85" s="7">
        <v>296200</v>
      </c>
      <c r="C85" s="7">
        <v>140000</v>
      </c>
      <c r="D85" s="7">
        <v>86700</v>
      </c>
      <c r="E85" s="7">
        <v>50400</v>
      </c>
      <c r="F85" s="7">
        <v>272500</v>
      </c>
      <c r="G85" s="8">
        <v>74000</v>
      </c>
      <c r="H85" s="8">
        <v>15700</v>
      </c>
      <c r="I85" s="8">
        <v>15250</v>
      </c>
      <c r="J85" s="8">
        <v>18900</v>
      </c>
      <c r="K85" s="8">
        <v>15100</v>
      </c>
      <c r="L85" s="7">
        <v>45750</v>
      </c>
      <c r="M85" s="7">
        <v>43300</v>
      </c>
      <c r="N85" s="7">
        <v>8000</v>
      </c>
      <c r="O85" s="7">
        <v>17050</v>
      </c>
      <c r="P85" s="7">
        <v>24250</v>
      </c>
      <c r="Q85" s="8">
        <v>204000</v>
      </c>
      <c r="R85" s="8">
        <v>590000</v>
      </c>
      <c r="S85" s="8">
        <v>212500</v>
      </c>
      <c r="T85" s="8">
        <v>26500</v>
      </c>
      <c r="U85" s="8">
        <v>29250</v>
      </c>
      <c r="V85" s="7">
        <v>81100</v>
      </c>
      <c r="W85" s="7">
        <v>1076000</v>
      </c>
      <c r="X85" s="7">
        <v>32550</v>
      </c>
      <c r="Y85" s="7">
        <v>145000</v>
      </c>
      <c r="Z85" s="7">
        <v>33000</v>
      </c>
      <c r="AA85" s="8">
        <v>17200</v>
      </c>
      <c r="AB85" s="8">
        <v>91300</v>
      </c>
      <c r="AC85" s="8">
        <v>19500</v>
      </c>
      <c r="AD85" s="8">
        <v>53500</v>
      </c>
      <c r="AE85" s="8">
        <v>323000</v>
      </c>
      <c r="AF85" s="7">
        <v>85900</v>
      </c>
      <c r="AG85" s="7">
        <v>93000</v>
      </c>
      <c r="AH85" s="7">
        <v>27500</v>
      </c>
      <c r="AI85" s="7">
        <v>127500</v>
      </c>
      <c r="AJ85" s="7">
        <v>21200</v>
      </c>
      <c r="AK85" s="8">
        <v>18328</v>
      </c>
      <c r="AL85" s="8">
        <v>55600</v>
      </c>
      <c r="AM85" s="8">
        <v>158500</v>
      </c>
      <c r="AN85" s="8">
        <v>22850</v>
      </c>
      <c r="AO85" s="8">
        <v>28100</v>
      </c>
      <c r="AP85" s="7">
        <v>4520</v>
      </c>
      <c r="AQ85" s="7">
        <v>190500</v>
      </c>
      <c r="AR85" s="7">
        <v>49250</v>
      </c>
      <c r="AS85" s="7">
        <v>12650</v>
      </c>
      <c r="AT85" s="7">
        <v>1495000</v>
      </c>
      <c r="AU85" s="8">
        <v>129500</v>
      </c>
      <c r="AV85" s="8">
        <v>270500</v>
      </c>
      <c r="AW85" s="8">
        <v>9590</v>
      </c>
      <c r="AX85" s="8">
        <v>40500</v>
      </c>
      <c r="AY85" s="8">
        <v>11000</v>
      </c>
      <c r="AZ85" s="7">
        <v>356000</v>
      </c>
      <c r="BA85" s="7">
        <v>29050</v>
      </c>
      <c r="BB85" s="7">
        <v>2450</v>
      </c>
      <c r="BC85" s="7">
        <v>68000</v>
      </c>
      <c r="BD85" s="7">
        <v>40900</v>
      </c>
      <c r="BE85" s="8">
        <v>82700</v>
      </c>
      <c r="BF85" s="8">
        <v>41050</v>
      </c>
      <c r="BG85" s="8">
        <v>21250</v>
      </c>
      <c r="BH85" s="8">
        <v>870000</v>
      </c>
      <c r="BI85" s="8">
        <v>21500</v>
      </c>
      <c r="BJ85" s="7">
        <v>33500</v>
      </c>
      <c r="BK85" s="7">
        <v>22650</v>
      </c>
      <c r="BL85" s="7">
        <v>157000</v>
      </c>
      <c r="BM85" s="7">
        <v>2655</v>
      </c>
      <c r="BN85" s="7">
        <v>8680</v>
      </c>
      <c r="BO85" s="8">
        <v>797000</v>
      </c>
      <c r="BP85" s="8">
        <v>60000</v>
      </c>
      <c r="BQ85" s="8">
        <v>7090</v>
      </c>
      <c r="BR85" s="7">
        <v>22500</v>
      </c>
      <c r="BS85" s="7">
        <v>5150</v>
      </c>
      <c r="BT85" s="7">
        <v>25650</v>
      </c>
      <c r="BU85" s="7">
        <v>10900</v>
      </c>
      <c r="BV85" s="8">
        <v>4485</v>
      </c>
    </row>
    <row r="86" spans="1:74" x14ac:dyDescent="0.4">
      <c r="A86" s="11">
        <v>41355</v>
      </c>
      <c r="B86" s="7">
        <v>298100</v>
      </c>
      <c r="C86" s="7">
        <v>138000</v>
      </c>
      <c r="D86" s="7">
        <v>84300</v>
      </c>
      <c r="E86" s="7">
        <v>51000</v>
      </c>
      <c r="F86" s="7">
        <v>272000</v>
      </c>
      <c r="G86" s="8">
        <v>74000</v>
      </c>
      <c r="H86" s="8">
        <v>14900</v>
      </c>
      <c r="I86" s="8">
        <v>15300</v>
      </c>
      <c r="J86" s="8">
        <v>19650</v>
      </c>
      <c r="K86" s="8">
        <v>15000</v>
      </c>
      <c r="L86" s="7">
        <v>48500</v>
      </c>
      <c r="M86" s="7">
        <v>43700</v>
      </c>
      <c r="N86" s="7">
        <v>8120</v>
      </c>
      <c r="O86" s="7">
        <v>16750</v>
      </c>
      <c r="P86" s="7">
        <v>23250</v>
      </c>
      <c r="Q86" s="8">
        <v>207000</v>
      </c>
      <c r="R86" s="8">
        <v>588000</v>
      </c>
      <c r="S86" s="8">
        <v>207000</v>
      </c>
      <c r="T86" s="8">
        <v>25450</v>
      </c>
      <c r="U86" s="8">
        <v>29700</v>
      </c>
      <c r="V86" s="7">
        <v>80200</v>
      </c>
      <c r="W86" s="7">
        <v>1070000</v>
      </c>
      <c r="X86" s="7">
        <v>32300</v>
      </c>
      <c r="Y86" s="7">
        <v>142500</v>
      </c>
      <c r="Z86" s="7">
        <v>32950</v>
      </c>
      <c r="AA86" s="8">
        <v>17500</v>
      </c>
      <c r="AB86" s="8">
        <v>89400</v>
      </c>
      <c r="AC86" s="8">
        <v>19000</v>
      </c>
      <c r="AD86" s="8">
        <v>54000</v>
      </c>
      <c r="AE86" s="8">
        <v>321500</v>
      </c>
      <c r="AF86" s="7">
        <v>83900</v>
      </c>
      <c r="AG86" s="7">
        <v>91900</v>
      </c>
      <c r="AH86" s="7">
        <v>27300</v>
      </c>
      <c r="AI86" s="7">
        <v>126000</v>
      </c>
      <c r="AJ86" s="7">
        <v>21650</v>
      </c>
      <c r="AK86" s="8">
        <v>18249</v>
      </c>
      <c r="AL86" s="8">
        <v>55100</v>
      </c>
      <c r="AM86" s="8">
        <v>155000</v>
      </c>
      <c r="AN86" s="8">
        <v>23150</v>
      </c>
      <c r="AO86" s="8">
        <v>27150</v>
      </c>
      <c r="AP86" s="7">
        <v>4605</v>
      </c>
      <c r="AQ86" s="7">
        <v>180000</v>
      </c>
      <c r="AR86" s="7">
        <v>48700</v>
      </c>
      <c r="AS86" s="7">
        <v>12650</v>
      </c>
      <c r="AT86" s="7">
        <v>1455000</v>
      </c>
      <c r="AU86" s="8">
        <v>127500</v>
      </c>
      <c r="AV86" s="8">
        <v>275000</v>
      </c>
      <c r="AW86" s="8">
        <v>9450</v>
      </c>
      <c r="AX86" s="8">
        <v>40200</v>
      </c>
      <c r="AY86" s="8">
        <v>10950</v>
      </c>
      <c r="AZ86" s="7">
        <v>356000</v>
      </c>
      <c r="BA86" s="7">
        <v>28300</v>
      </c>
      <c r="BB86" s="7">
        <v>2460</v>
      </c>
      <c r="BC86" s="7">
        <v>67200</v>
      </c>
      <c r="BD86" s="7">
        <v>42000</v>
      </c>
      <c r="BE86" s="8">
        <v>80900</v>
      </c>
      <c r="BF86" s="8">
        <v>41200</v>
      </c>
      <c r="BG86" s="8">
        <v>20950</v>
      </c>
      <c r="BH86" s="8">
        <v>855000</v>
      </c>
      <c r="BI86" s="8">
        <v>21700</v>
      </c>
      <c r="BJ86" s="7">
        <v>33750</v>
      </c>
      <c r="BK86" s="7">
        <v>22550</v>
      </c>
      <c r="BL86" s="7">
        <v>160000</v>
      </c>
      <c r="BM86" s="7">
        <v>2620</v>
      </c>
      <c r="BN86" s="7">
        <v>8900</v>
      </c>
      <c r="BO86" s="8">
        <v>805000</v>
      </c>
      <c r="BP86" s="8">
        <v>59900</v>
      </c>
      <c r="BQ86" s="8">
        <v>7070</v>
      </c>
      <c r="BR86" s="7">
        <v>21750</v>
      </c>
      <c r="BS86" s="7">
        <v>5290</v>
      </c>
      <c r="BT86" s="7">
        <v>25550</v>
      </c>
      <c r="BU86" s="7">
        <v>10850</v>
      </c>
      <c r="BV86" s="8">
        <v>4305</v>
      </c>
    </row>
    <row r="87" spans="1:74" x14ac:dyDescent="0.4">
      <c r="A87" s="11">
        <v>41354</v>
      </c>
      <c r="B87" s="7">
        <v>301000</v>
      </c>
      <c r="C87" s="7">
        <v>137000</v>
      </c>
      <c r="D87" s="7">
        <v>86900</v>
      </c>
      <c r="E87" s="7">
        <v>50800</v>
      </c>
      <c r="F87" s="7">
        <v>275500</v>
      </c>
      <c r="G87" s="8">
        <v>72700</v>
      </c>
      <c r="H87" s="8">
        <v>15100</v>
      </c>
      <c r="I87" s="8">
        <v>14900</v>
      </c>
      <c r="J87" s="8">
        <v>19700</v>
      </c>
      <c r="K87" s="8">
        <v>15150</v>
      </c>
      <c r="L87" s="7">
        <v>48600</v>
      </c>
      <c r="M87" s="7">
        <v>43900</v>
      </c>
      <c r="N87" s="7">
        <v>8460</v>
      </c>
      <c r="O87" s="7">
        <v>16750</v>
      </c>
      <c r="P87" s="7">
        <v>23300</v>
      </c>
      <c r="Q87" s="8">
        <v>207500</v>
      </c>
      <c r="R87" s="8">
        <v>593000</v>
      </c>
      <c r="S87" s="8">
        <v>208000</v>
      </c>
      <c r="T87" s="8">
        <v>25550</v>
      </c>
      <c r="U87" s="8">
        <v>28750</v>
      </c>
      <c r="V87" s="7">
        <v>80800</v>
      </c>
      <c r="W87" s="7">
        <v>1078000</v>
      </c>
      <c r="X87" s="7">
        <v>32250</v>
      </c>
      <c r="Y87" s="7">
        <v>144000</v>
      </c>
      <c r="Z87" s="7">
        <v>31900</v>
      </c>
      <c r="AA87" s="8">
        <v>16850</v>
      </c>
      <c r="AB87" s="8">
        <v>90800</v>
      </c>
      <c r="AC87" s="8">
        <v>19550</v>
      </c>
      <c r="AD87" s="8">
        <v>54900</v>
      </c>
      <c r="AE87" s="8">
        <v>322000</v>
      </c>
      <c r="AF87" s="7">
        <v>83900</v>
      </c>
      <c r="AG87" s="7">
        <v>92400</v>
      </c>
      <c r="AH87" s="7">
        <v>27900</v>
      </c>
      <c r="AI87" s="7">
        <v>127000</v>
      </c>
      <c r="AJ87" s="7">
        <v>21850</v>
      </c>
      <c r="AK87" s="8">
        <v>18249</v>
      </c>
      <c r="AL87" s="8">
        <v>54900</v>
      </c>
      <c r="AM87" s="8">
        <v>151000</v>
      </c>
      <c r="AN87" s="8">
        <v>22350</v>
      </c>
      <c r="AO87" s="8">
        <v>27250</v>
      </c>
      <c r="AP87" s="7">
        <v>4610</v>
      </c>
      <c r="AQ87" s="7">
        <v>183500</v>
      </c>
      <c r="AR87" s="7">
        <v>47350</v>
      </c>
      <c r="AS87" s="7">
        <v>12550</v>
      </c>
      <c r="AT87" s="7">
        <v>1457000</v>
      </c>
      <c r="AU87" s="8">
        <v>127500</v>
      </c>
      <c r="AV87" s="8">
        <v>271000</v>
      </c>
      <c r="AW87" s="8">
        <v>9390</v>
      </c>
      <c r="AX87" s="8">
        <v>39700</v>
      </c>
      <c r="AY87" s="8">
        <v>10800</v>
      </c>
      <c r="AZ87" s="7">
        <v>345000</v>
      </c>
      <c r="BA87" s="7">
        <v>28050</v>
      </c>
      <c r="BB87" s="7">
        <v>2430</v>
      </c>
      <c r="BC87" s="7">
        <v>67200</v>
      </c>
      <c r="BD87" s="7">
        <v>41500</v>
      </c>
      <c r="BE87" s="8">
        <v>79700</v>
      </c>
      <c r="BF87" s="8">
        <v>41150</v>
      </c>
      <c r="BG87" s="8">
        <v>20900</v>
      </c>
      <c r="BH87" s="8">
        <v>857000</v>
      </c>
      <c r="BI87" s="8">
        <v>20850</v>
      </c>
      <c r="BJ87" s="7">
        <v>32650</v>
      </c>
      <c r="BK87" s="7">
        <v>22800</v>
      </c>
      <c r="BL87" s="7">
        <v>154500</v>
      </c>
      <c r="BM87" s="7">
        <v>2665</v>
      </c>
      <c r="BN87" s="7">
        <v>8800</v>
      </c>
      <c r="BO87" s="8">
        <v>808000</v>
      </c>
      <c r="BP87" s="8">
        <v>60000</v>
      </c>
      <c r="BQ87" s="8">
        <v>6880</v>
      </c>
      <c r="BR87" s="7">
        <v>21300</v>
      </c>
      <c r="BS87" s="7">
        <v>5200</v>
      </c>
      <c r="BT87" s="7">
        <v>25250</v>
      </c>
      <c r="BU87" s="7">
        <v>10600</v>
      </c>
      <c r="BV87" s="8">
        <v>4290</v>
      </c>
    </row>
    <row r="88" spans="1:74" x14ac:dyDescent="0.4">
      <c r="A88" s="11">
        <v>41353</v>
      </c>
      <c r="B88" s="7">
        <v>306000</v>
      </c>
      <c r="C88" s="7">
        <v>138000</v>
      </c>
      <c r="D88" s="7">
        <v>84900</v>
      </c>
      <c r="E88" s="7">
        <v>51700</v>
      </c>
      <c r="F88" s="7">
        <v>270000</v>
      </c>
      <c r="G88" s="8">
        <v>73800</v>
      </c>
      <c r="H88" s="8">
        <v>15350</v>
      </c>
      <c r="I88" s="8">
        <v>15400</v>
      </c>
      <c r="J88" s="8">
        <v>20450</v>
      </c>
      <c r="K88" s="8">
        <v>15250</v>
      </c>
      <c r="L88" s="7">
        <v>47850</v>
      </c>
      <c r="M88" s="7">
        <v>43800</v>
      </c>
      <c r="N88" s="7">
        <v>8710</v>
      </c>
      <c r="O88" s="7">
        <v>16900</v>
      </c>
      <c r="P88" s="7">
        <v>23800</v>
      </c>
      <c r="Q88" s="8">
        <v>203000</v>
      </c>
      <c r="R88" s="8">
        <v>592000</v>
      </c>
      <c r="S88" s="8">
        <v>207000</v>
      </c>
      <c r="T88" s="8">
        <v>25600</v>
      </c>
      <c r="U88" s="8">
        <v>28500</v>
      </c>
      <c r="V88" s="7">
        <v>80500</v>
      </c>
      <c r="W88" s="7">
        <v>1073000</v>
      </c>
      <c r="X88" s="7">
        <v>33300</v>
      </c>
      <c r="Y88" s="7">
        <v>147000</v>
      </c>
      <c r="Z88" s="7">
        <v>31300</v>
      </c>
      <c r="AA88" s="8">
        <v>16850</v>
      </c>
      <c r="AB88" s="8">
        <v>92000</v>
      </c>
      <c r="AC88" s="8">
        <v>19500</v>
      </c>
      <c r="AD88" s="8">
        <v>53900</v>
      </c>
      <c r="AE88" s="8">
        <v>323000</v>
      </c>
      <c r="AF88" s="7">
        <v>83900</v>
      </c>
      <c r="AG88" s="7">
        <v>92100</v>
      </c>
      <c r="AH88" s="7">
        <v>27600</v>
      </c>
      <c r="AI88" s="7">
        <v>127500</v>
      </c>
      <c r="AJ88" s="7">
        <v>21550</v>
      </c>
      <c r="AK88" s="8">
        <v>18091</v>
      </c>
      <c r="AL88" s="8">
        <v>54400</v>
      </c>
      <c r="AM88" s="8">
        <v>145000</v>
      </c>
      <c r="AN88" s="8">
        <v>22450</v>
      </c>
      <c r="AO88" s="8">
        <v>27900</v>
      </c>
      <c r="AP88" s="7">
        <v>4780</v>
      </c>
      <c r="AQ88" s="7">
        <v>188000</v>
      </c>
      <c r="AR88" s="7">
        <v>46700</v>
      </c>
      <c r="AS88" s="7">
        <v>12550</v>
      </c>
      <c r="AT88" s="7">
        <v>1460000</v>
      </c>
      <c r="AU88" s="8">
        <v>129500</v>
      </c>
      <c r="AV88" s="8">
        <v>269000</v>
      </c>
      <c r="AW88" s="8">
        <v>9450</v>
      </c>
      <c r="AX88" s="8">
        <v>39400</v>
      </c>
      <c r="AY88" s="8">
        <v>11000</v>
      </c>
      <c r="AZ88" s="7">
        <v>353500</v>
      </c>
      <c r="BA88" s="7">
        <v>28600</v>
      </c>
      <c r="BB88" s="7">
        <v>2350</v>
      </c>
      <c r="BC88" s="7">
        <v>66800</v>
      </c>
      <c r="BD88" s="7">
        <v>42050</v>
      </c>
      <c r="BE88" s="8">
        <v>80000</v>
      </c>
      <c r="BF88" s="8">
        <v>41350</v>
      </c>
      <c r="BG88" s="8">
        <v>20800</v>
      </c>
      <c r="BH88" s="8">
        <v>859000</v>
      </c>
      <c r="BI88" s="8">
        <v>21250</v>
      </c>
      <c r="BJ88" s="7">
        <v>33950</v>
      </c>
      <c r="BK88" s="7">
        <v>21600</v>
      </c>
      <c r="BL88" s="7">
        <v>157000</v>
      </c>
      <c r="BM88" s="7">
        <v>2625</v>
      </c>
      <c r="BN88" s="7">
        <v>8910</v>
      </c>
      <c r="BO88" s="8">
        <v>809000</v>
      </c>
      <c r="BP88" s="8">
        <v>60100</v>
      </c>
      <c r="BQ88" s="8">
        <v>6840</v>
      </c>
      <c r="BR88" s="7">
        <v>21600</v>
      </c>
      <c r="BS88" s="7">
        <v>5200</v>
      </c>
      <c r="BT88" s="7">
        <v>25350</v>
      </c>
      <c r="BU88" s="7">
        <v>10650</v>
      </c>
      <c r="BV88" s="8">
        <v>4255</v>
      </c>
    </row>
    <row r="89" spans="1:74" x14ac:dyDescent="0.4">
      <c r="A89" s="73">
        <v>41352</v>
      </c>
      <c r="B89" s="74">
        <v>305000</v>
      </c>
      <c r="C89" s="74">
        <v>140500</v>
      </c>
      <c r="D89" s="74">
        <v>80800</v>
      </c>
      <c r="E89" s="74">
        <v>52000</v>
      </c>
      <c r="F89" s="74">
        <v>267000</v>
      </c>
      <c r="G89" s="75">
        <v>73500</v>
      </c>
      <c r="H89" s="75">
        <v>15950</v>
      </c>
      <c r="I89" s="75">
        <v>15450</v>
      </c>
      <c r="J89" s="75">
        <v>19400</v>
      </c>
      <c r="K89" s="75">
        <v>15350</v>
      </c>
      <c r="L89" s="74">
        <v>47900</v>
      </c>
      <c r="M89" s="74">
        <v>43750</v>
      </c>
      <c r="N89" s="74">
        <v>8800</v>
      </c>
      <c r="O89" s="74">
        <v>16700</v>
      </c>
      <c r="P89" s="74">
        <v>23800</v>
      </c>
      <c r="Q89" s="75">
        <v>205000</v>
      </c>
      <c r="R89" s="75">
        <v>611000</v>
      </c>
      <c r="S89" s="75">
        <v>208000</v>
      </c>
      <c r="T89" s="75">
        <v>25500</v>
      </c>
      <c r="U89" s="75">
        <v>28900</v>
      </c>
      <c r="V89" s="74">
        <v>80900</v>
      </c>
      <c r="W89" s="74">
        <v>1095000</v>
      </c>
      <c r="X89" s="74">
        <v>33100</v>
      </c>
      <c r="Y89" s="74">
        <v>148500</v>
      </c>
      <c r="Z89" s="74">
        <v>31000</v>
      </c>
      <c r="AA89" s="75">
        <v>17150</v>
      </c>
      <c r="AB89" s="75">
        <v>94000</v>
      </c>
      <c r="AC89" s="75">
        <v>18850</v>
      </c>
      <c r="AD89" s="75">
        <v>53600</v>
      </c>
      <c r="AE89" s="75">
        <v>325000</v>
      </c>
      <c r="AF89" s="74">
        <v>84700</v>
      </c>
      <c r="AG89" s="74">
        <v>93700</v>
      </c>
      <c r="AH89" s="74">
        <v>27500</v>
      </c>
      <c r="AI89" s="74">
        <v>128500</v>
      </c>
      <c r="AJ89" s="74">
        <v>21050</v>
      </c>
      <c r="AK89" s="75">
        <v>18223</v>
      </c>
      <c r="AL89" s="75">
        <v>54400</v>
      </c>
      <c r="AM89" s="75">
        <v>146000</v>
      </c>
      <c r="AN89" s="75">
        <v>23450</v>
      </c>
      <c r="AO89" s="75">
        <v>28500</v>
      </c>
      <c r="AP89" s="74">
        <v>4700</v>
      </c>
      <c r="AQ89" s="74">
        <v>190500</v>
      </c>
      <c r="AR89" s="74">
        <v>46450</v>
      </c>
      <c r="AS89" s="74">
        <v>12900</v>
      </c>
      <c r="AT89" s="74">
        <v>1475000</v>
      </c>
      <c r="AU89" s="75">
        <v>132500</v>
      </c>
      <c r="AV89" s="75">
        <v>273000</v>
      </c>
      <c r="AW89" s="75">
        <v>9350</v>
      </c>
      <c r="AX89" s="75">
        <v>39350</v>
      </c>
      <c r="AY89" s="75">
        <v>11150</v>
      </c>
      <c r="AZ89" s="74">
        <v>350000</v>
      </c>
      <c r="BA89" s="74">
        <v>28650</v>
      </c>
      <c r="BB89" s="74">
        <v>2340</v>
      </c>
      <c r="BC89" s="74">
        <v>67900</v>
      </c>
      <c r="BD89" s="74">
        <v>41000</v>
      </c>
      <c r="BE89" s="75">
        <v>80900</v>
      </c>
      <c r="BF89" s="75">
        <v>41800</v>
      </c>
      <c r="BG89" s="75">
        <v>20700</v>
      </c>
      <c r="BH89" s="75">
        <v>868000</v>
      </c>
      <c r="BI89" s="75">
        <v>21450</v>
      </c>
      <c r="BJ89" s="74">
        <v>35000</v>
      </c>
      <c r="BK89" s="74">
        <v>20350</v>
      </c>
      <c r="BL89" s="74">
        <v>164000</v>
      </c>
      <c r="BM89" s="74">
        <v>2650</v>
      </c>
      <c r="BN89" s="74">
        <v>9100</v>
      </c>
      <c r="BO89" s="75">
        <v>812000</v>
      </c>
      <c r="BP89" s="75">
        <v>60200</v>
      </c>
      <c r="BQ89" s="75">
        <v>6960</v>
      </c>
      <c r="BR89" s="74">
        <v>21800</v>
      </c>
      <c r="BS89" s="74">
        <v>5070</v>
      </c>
      <c r="BT89" s="74">
        <v>25350</v>
      </c>
      <c r="BU89" s="74">
        <v>10850</v>
      </c>
      <c r="BV89" s="75">
        <v>4445</v>
      </c>
    </row>
    <row r="90" spans="1:74" x14ac:dyDescent="0.4">
      <c r="A90" s="11">
        <v>41351</v>
      </c>
      <c r="B90" s="7">
        <v>300200</v>
      </c>
      <c r="C90" s="7">
        <v>140000</v>
      </c>
      <c r="D90" s="7">
        <v>77500</v>
      </c>
      <c r="E90" s="7">
        <v>51300</v>
      </c>
      <c r="F90" s="7">
        <v>268500</v>
      </c>
      <c r="G90" s="8">
        <v>74000</v>
      </c>
      <c r="H90" s="8">
        <v>15350</v>
      </c>
      <c r="I90" s="8">
        <v>16050</v>
      </c>
      <c r="J90" s="8">
        <v>18950</v>
      </c>
      <c r="K90" s="8">
        <v>15150</v>
      </c>
      <c r="L90" s="7">
        <v>45750</v>
      </c>
      <c r="M90" s="7">
        <v>43750</v>
      </c>
      <c r="N90" s="7">
        <v>8800</v>
      </c>
      <c r="O90" s="7">
        <v>16800</v>
      </c>
      <c r="P90" s="7">
        <v>24000</v>
      </c>
      <c r="Q90" s="8">
        <v>206500</v>
      </c>
      <c r="R90" s="8">
        <v>610000</v>
      </c>
      <c r="S90" s="8">
        <v>209500</v>
      </c>
      <c r="T90" s="8">
        <v>24700</v>
      </c>
      <c r="U90" s="8">
        <v>28750</v>
      </c>
      <c r="V90" s="7">
        <v>81000</v>
      </c>
      <c r="W90" s="7">
        <v>1080000</v>
      </c>
      <c r="X90" s="7">
        <v>32750</v>
      </c>
      <c r="Y90" s="7">
        <v>148000</v>
      </c>
      <c r="Z90" s="7">
        <v>31000</v>
      </c>
      <c r="AA90" s="8">
        <v>17000</v>
      </c>
      <c r="AB90" s="8">
        <v>93200</v>
      </c>
      <c r="AC90" s="8">
        <v>18550</v>
      </c>
      <c r="AD90" s="8">
        <v>53200</v>
      </c>
      <c r="AE90" s="8">
        <v>326000</v>
      </c>
      <c r="AF90" s="7">
        <v>85900</v>
      </c>
      <c r="AG90" s="7">
        <v>93100</v>
      </c>
      <c r="AH90" s="7">
        <v>28100</v>
      </c>
      <c r="AI90" s="7">
        <v>128500</v>
      </c>
      <c r="AJ90" s="7">
        <v>21100</v>
      </c>
      <c r="AK90" s="8">
        <v>17828</v>
      </c>
      <c r="AL90" s="8">
        <v>54000</v>
      </c>
      <c r="AM90" s="8">
        <v>146000</v>
      </c>
      <c r="AN90" s="8">
        <v>23400</v>
      </c>
      <c r="AO90" s="8">
        <v>28500</v>
      </c>
      <c r="AP90" s="7">
        <v>4660</v>
      </c>
      <c r="AQ90" s="7">
        <v>190000</v>
      </c>
      <c r="AR90" s="7">
        <v>47500</v>
      </c>
      <c r="AS90" s="7">
        <v>12750</v>
      </c>
      <c r="AT90" s="7">
        <v>1445000</v>
      </c>
      <c r="AU90" s="8">
        <v>133500</v>
      </c>
      <c r="AV90" s="8">
        <v>264000</v>
      </c>
      <c r="AW90" s="8">
        <v>9280</v>
      </c>
      <c r="AX90" s="8">
        <v>39350</v>
      </c>
      <c r="AY90" s="8">
        <v>11000</v>
      </c>
      <c r="AZ90" s="7">
        <v>360000</v>
      </c>
      <c r="BA90" s="7">
        <v>28400</v>
      </c>
      <c r="BB90" s="7">
        <v>2340</v>
      </c>
      <c r="BC90" s="7">
        <v>64600</v>
      </c>
      <c r="BD90" s="7">
        <v>38400</v>
      </c>
      <c r="BE90" s="8">
        <v>80300</v>
      </c>
      <c r="BF90" s="8">
        <v>41550</v>
      </c>
      <c r="BG90" s="8">
        <v>20550</v>
      </c>
      <c r="BH90" s="8">
        <v>851000</v>
      </c>
      <c r="BI90" s="8">
        <v>20850</v>
      </c>
      <c r="BJ90" s="7">
        <v>33500</v>
      </c>
      <c r="BK90" s="7">
        <v>21100</v>
      </c>
      <c r="BL90" s="7">
        <v>156500</v>
      </c>
      <c r="BM90" s="7">
        <v>2615</v>
      </c>
      <c r="BN90" s="7">
        <v>8600</v>
      </c>
      <c r="BO90" s="8">
        <v>812000</v>
      </c>
      <c r="BP90" s="8">
        <v>60200</v>
      </c>
      <c r="BQ90" s="8">
        <v>6760</v>
      </c>
      <c r="BR90" s="7">
        <v>21500</v>
      </c>
      <c r="BS90" s="7">
        <v>5040</v>
      </c>
      <c r="BT90" s="7">
        <v>24950</v>
      </c>
      <c r="BU90" s="7">
        <v>10850</v>
      </c>
      <c r="BV90" s="8">
        <v>4350</v>
      </c>
    </row>
    <row r="91" spans="1:74" x14ac:dyDescent="0.4">
      <c r="A91" s="11">
        <v>41348</v>
      </c>
      <c r="B91" s="7">
        <v>303800</v>
      </c>
      <c r="C91" s="7">
        <v>141000</v>
      </c>
      <c r="D91" s="7">
        <v>80000</v>
      </c>
      <c r="E91" s="7">
        <v>52300</v>
      </c>
      <c r="F91" s="7">
        <v>273000</v>
      </c>
      <c r="G91" s="8">
        <v>74500</v>
      </c>
      <c r="H91" s="8">
        <v>16150</v>
      </c>
      <c r="I91" s="8">
        <v>15800</v>
      </c>
      <c r="J91" s="8">
        <v>19750</v>
      </c>
      <c r="K91" s="8">
        <v>15250</v>
      </c>
      <c r="L91" s="7">
        <v>46500</v>
      </c>
      <c r="M91" s="7">
        <v>44500</v>
      </c>
      <c r="N91" s="7">
        <v>8900</v>
      </c>
      <c r="O91" s="7">
        <v>17300</v>
      </c>
      <c r="P91" s="7">
        <v>24400</v>
      </c>
      <c r="Q91" s="8">
        <v>210500</v>
      </c>
      <c r="R91" s="8">
        <v>615000</v>
      </c>
      <c r="S91" s="8">
        <v>210000</v>
      </c>
      <c r="T91" s="8">
        <v>25500</v>
      </c>
      <c r="U91" s="8">
        <v>30700</v>
      </c>
      <c r="V91" s="7">
        <v>82500</v>
      </c>
      <c r="W91" s="7">
        <v>1058000</v>
      </c>
      <c r="X91" s="7">
        <v>33800</v>
      </c>
      <c r="Y91" s="7">
        <v>151500</v>
      </c>
      <c r="Z91" s="7">
        <v>30900</v>
      </c>
      <c r="AA91" s="8">
        <v>18000</v>
      </c>
      <c r="AB91" s="8">
        <v>92400</v>
      </c>
      <c r="AC91" s="8">
        <v>19250</v>
      </c>
      <c r="AD91" s="8">
        <v>53400</v>
      </c>
      <c r="AE91" s="8">
        <v>329000</v>
      </c>
      <c r="AF91" s="7">
        <v>88000</v>
      </c>
      <c r="AG91" s="7">
        <v>93000</v>
      </c>
      <c r="AH91" s="7">
        <v>28900</v>
      </c>
      <c r="AI91" s="7">
        <v>128500</v>
      </c>
      <c r="AJ91" s="7">
        <v>21650</v>
      </c>
      <c r="AK91" s="8">
        <v>18170</v>
      </c>
      <c r="AL91" s="8">
        <v>54200</v>
      </c>
      <c r="AM91" s="8">
        <v>145000</v>
      </c>
      <c r="AN91" s="8">
        <v>24050</v>
      </c>
      <c r="AO91" s="8">
        <v>29600</v>
      </c>
      <c r="AP91" s="7">
        <v>4820</v>
      </c>
      <c r="AQ91" s="7">
        <v>199000</v>
      </c>
      <c r="AR91" s="7">
        <v>47800</v>
      </c>
      <c r="AS91" s="7">
        <v>13100</v>
      </c>
      <c r="AT91" s="7">
        <v>1480000</v>
      </c>
      <c r="AU91" s="8">
        <v>131500</v>
      </c>
      <c r="AV91" s="8">
        <v>263500</v>
      </c>
      <c r="AW91" s="8">
        <v>9250</v>
      </c>
      <c r="AX91" s="8">
        <v>39300</v>
      </c>
      <c r="AY91" s="8">
        <v>10800</v>
      </c>
      <c r="AZ91" s="7">
        <v>360500</v>
      </c>
      <c r="BA91" s="7">
        <v>28800</v>
      </c>
      <c r="BB91" s="7">
        <v>2380</v>
      </c>
      <c r="BC91" s="7">
        <v>64200</v>
      </c>
      <c r="BD91" s="7">
        <v>38450</v>
      </c>
      <c r="BE91" s="8">
        <v>79100</v>
      </c>
      <c r="BF91" s="8">
        <v>42150</v>
      </c>
      <c r="BG91" s="8">
        <v>20400</v>
      </c>
      <c r="BH91" s="8">
        <v>870000</v>
      </c>
      <c r="BI91" s="8">
        <v>21950</v>
      </c>
      <c r="BJ91" s="7">
        <v>35300</v>
      </c>
      <c r="BK91" s="7">
        <v>21200</v>
      </c>
      <c r="BL91" s="7">
        <v>159500</v>
      </c>
      <c r="BM91" s="7">
        <v>2685</v>
      </c>
      <c r="BN91" s="7">
        <v>8500</v>
      </c>
      <c r="BO91" s="8">
        <v>816000</v>
      </c>
      <c r="BP91" s="8">
        <v>60300</v>
      </c>
      <c r="BQ91" s="8">
        <v>7060</v>
      </c>
      <c r="BR91" s="7">
        <v>21300</v>
      </c>
      <c r="BS91" s="7">
        <v>4740</v>
      </c>
      <c r="BT91" s="7">
        <v>25100</v>
      </c>
      <c r="BU91" s="7">
        <v>10950</v>
      </c>
      <c r="BV91" s="8">
        <v>4610</v>
      </c>
    </row>
    <row r="92" spans="1:74" x14ac:dyDescent="0.4">
      <c r="A92" s="11">
        <v>41347</v>
      </c>
      <c r="B92" s="7">
        <v>296600</v>
      </c>
      <c r="C92" s="7">
        <v>143000</v>
      </c>
      <c r="D92" s="7">
        <v>77300</v>
      </c>
      <c r="E92" s="7">
        <v>51800</v>
      </c>
      <c r="F92" s="7">
        <v>277500</v>
      </c>
      <c r="G92" s="8">
        <v>74500</v>
      </c>
      <c r="H92" s="8">
        <v>15500</v>
      </c>
      <c r="I92" s="8">
        <v>15500</v>
      </c>
      <c r="J92" s="8">
        <v>19250</v>
      </c>
      <c r="K92" s="8">
        <v>15200</v>
      </c>
      <c r="L92" s="7">
        <v>47350</v>
      </c>
      <c r="M92" s="7">
        <v>44850</v>
      </c>
      <c r="N92" s="7">
        <v>8730</v>
      </c>
      <c r="O92" s="7">
        <v>16400</v>
      </c>
      <c r="P92" s="7">
        <v>23650</v>
      </c>
      <c r="Q92" s="8">
        <v>212500</v>
      </c>
      <c r="R92" s="8">
        <v>622000</v>
      </c>
      <c r="S92" s="8">
        <v>212500</v>
      </c>
      <c r="T92" s="8">
        <v>25800</v>
      </c>
      <c r="U92" s="8">
        <v>31150</v>
      </c>
      <c r="V92" s="7">
        <v>81400</v>
      </c>
      <c r="W92" s="7">
        <v>1074000</v>
      </c>
      <c r="X92" s="7">
        <v>32700</v>
      </c>
      <c r="Y92" s="7">
        <v>154000</v>
      </c>
      <c r="Z92" s="7">
        <v>31600</v>
      </c>
      <c r="AA92" s="8">
        <v>18250</v>
      </c>
      <c r="AB92" s="8">
        <v>90900</v>
      </c>
      <c r="AC92" s="8">
        <v>18800</v>
      </c>
      <c r="AD92" s="8">
        <v>53400</v>
      </c>
      <c r="AE92" s="8">
        <v>334500</v>
      </c>
      <c r="AF92" s="7">
        <v>87100</v>
      </c>
      <c r="AG92" s="7">
        <v>94300</v>
      </c>
      <c r="AH92" s="7">
        <v>29400</v>
      </c>
      <c r="AI92" s="7">
        <v>130000</v>
      </c>
      <c r="AJ92" s="7">
        <v>21600</v>
      </c>
      <c r="AK92" s="8">
        <v>17696</v>
      </c>
      <c r="AL92" s="8">
        <v>53100</v>
      </c>
      <c r="AM92" s="8">
        <v>147500</v>
      </c>
      <c r="AN92" s="8">
        <v>24050</v>
      </c>
      <c r="AO92" s="8">
        <v>29950</v>
      </c>
      <c r="AP92" s="7">
        <v>5220</v>
      </c>
      <c r="AQ92" s="7">
        <v>196000</v>
      </c>
      <c r="AR92" s="7">
        <v>47800</v>
      </c>
      <c r="AS92" s="7">
        <v>12400</v>
      </c>
      <c r="AT92" s="7">
        <v>1520000</v>
      </c>
      <c r="AU92" s="8">
        <v>136500</v>
      </c>
      <c r="AV92" s="8">
        <v>263000</v>
      </c>
      <c r="AW92" s="8">
        <v>9230</v>
      </c>
      <c r="AX92" s="8">
        <v>39000</v>
      </c>
      <c r="AY92" s="8">
        <v>10300</v>
      </c>
      <c r="AZ92" s="7">
        <v>371500</v>
      </c>
      <c r="BA92" s="7">
        <v>28900</v>
      </c>
      <c r="BB92" s="7">
        <v>2360</v>
      </c>
      <c r="BC92" s="7">
        <v>64800</v>
      </c>
      <c r="BD92" s="7">
        <v>38450</v>
      </c>
      <c r="BE92" s="8">
        <v>80500</v>
      </c>
      <c r="BF92" s="8">
        <v>42250</v>
      </c>
      <c r="BG92" s="8">
        <v>20800</v>
      </c>
      <c r="BH92" s="8">
        <v>884000</v>
      </c>
      <c r="BI92" s="8">
        <v>22000</v>
      </c>
      <c r="BJ92" s="7">
        <v>34800</v>
      </c>
      <c r="BK92" s="7">
        <v>20500</v>
      </c>
      <c r="BL92" s="7">
        <v>163000</v>
      </c>
      <c r="BM92" s="7">
        <v>2660</v>
      </c>
      <c r="BN92" s="7">
        <v>8550</v>
      </c>
      <c r="BO92" s="8">
        <v>794000</v>
      </c>
      <c r="BP92" s="8">
        <v>60100</v>
      </c>
      <c r="BQ92" s="8">
        <v>7240</v>
      </c>
      <c r="BR92" s="7">
        <v>21500</v>
      </c>
      <c r="BS92" s="7">
        <v>4685</v>
      </c>
      <c r="BT92" s="7">
        <v>24500</v>
      </c>
      <c r="BU92" s="7">
        <v>10450</v>
      </c>
      <c r="BV92" s="8">
        <v>4635</v>
      </c>
    </row>
    <row r="93" spans="1:74" x14ac:dyDescent="0.4">
      <c r="A93" s="11">
        <v>41346</v>
      </c>
      <c r="B93" s="7">
        <v>303100</v>
      </c>
      <c r="C93" s="7">
        <v>141500</v>
      </c>
      <c r="D93" s="7">
        <v>75600</v>
      </c>
      <c r="E93" s="7">
        <v>52400</v>
      </c>
      <c r="F93" s="7">
        <v>280000</v>
      </c>
      <c r="G93" s="8">
        <v>74500</v>
      </c>
      <c r="H93" s="8">
        <v>15700</v>
      </c>
      <c r="I93" s="8">
        <v>15200</v>
      </c>
      <c r="J93" s="8">
        <v>19400</v>
      </c>
      <c r="K93" s="8">
        <v>15250</v>
      </c>
      <c r="L93" s="7">
        <v>47250</v>
      </c>
      <c r="M93" s="7">
        <v>44600</v>
      </c>
      <c r="N93" s="7">
        <v>8660</v>
      </c>
      <c r="O93" s="7">
        <v>16400</v>
      </c>
      <c r="P93" s="7">
        <v>23550</v>
      </c>
      <c r="Q93" s="8">
        <v>214500</v>
      </c>
      <c r="R93" s="8">
        <v>624000</v>
      </c>
      <c r="S93" s="8">
        <v>213000</v>
      </c>
      <c r="T93" s="8">
        <v>25050</v>
      </c>
      <c r="U93" s="8">
        <v>30700</v>
      </c>
      <c r="V93" s="7">
        <v>82100</v>
      </c>
      <c r="W93" s="7">
        <v>1090000</v>
      </c>
      <c r="X93" s="7">
        <v>32150</v>
      </c>
      <c r="Y93" s="7">
        <v>148000</v>
      </c>
      <c r="Z93" s="7">
        <v>31950</v>
      </c>
      <c r="AA93" s="8">
        <v>18200</v>
      </c>
      <c r="AB93" s="8">
        <v>90900</v>
      </c>
      <c r="AC93" s="8">
        <v>19000</v>
      </c>
      <c r="AD93" s="8">
        <v>52200</v>
      </c>
      <c r="AE93" s="8">
        <v>336000</v>
      </c>
      <c r="AF93" s="7">
        <v>86900</v>
      </c>
      <c r="AG93" s="7">
        <v>94800</v>
      </c>
      <c r="AH93" s="7">
        <v>28150</v>
      </c>
      <c r="AI93" s="7">
        <v>129000</v>
      </c>
      <c r="AJ93" s="7">
        <v>21800</v>
      </c>
      <c r="AK93" s="8">
        <v>16985</v>
      </c>
      <c r="AL93" s="8">
        <v>52600</v>
      </c>
      <c r="AM93" s="8">
        <v>147000</v>
      </c>
      <c r="AN93" s="8">
        <v>23500</v>
      </c>
      <c r="AO93" s="8">
        <v>29550</v>
      </c>
      <c r="AP93" s="7">
        <v>5050</v>
      </c>
      <c r="AQ93" s="7">
        <v>197500</v>
      </c>
      <c r="AR93" s="7">
        <v>47000</v>
      </c>
      <c r="AS93" s="7">
        <v>12100</v>
      </c>
      <c r="AT93" s="7">
        <v>1527000</v>
      </c>
      <c r="AU93" s="8">
        <v>134000</v>
      </c>
      <c r="AV93" s="8">
        <v>264500</v>
      </c>
      <c r="AW93" s="8">
        <v>9080</v>
      </c>
      <c r="AX93" s="8">
        <v>39100</v>
      </c>
      <c r="AY93" s="8">
        <v>10150</v>
      </c>
      <c r="AZ93" s="7">
        <v>371500</v>
      </c>
      <c r="BA93" s="7">
        <v>28300</v>
      </c>
      <c r="BB93" s="7">
        <v>2360</v>
      </c>
      <c r="BC93" s="7">
        <v>64800</v>
      </c>
      <c r="BD93" s="7">
        <v>38200</v>
      </c>
      <c r="BE93" s="8">
        <v>80000</v>
      </c>
      <c r="BF93" s="8">
        <v>42250</v>
      </c>
      <c r="BG93" s="8">
        <v>20550</v>
      </c>
      <c r="BH93" s="8">
        <v>886000</v>
      </c>
      <c r="BI93" s="8">
        <v>21500</v>
      </c>
      <c r="BJ93" s="7">
        <v>34550</v>
      </c>
      <c r="BK93" s="7">
        <v>20650</v>
      </c>
      <c r="BL93" s="7">
        <v>162500</v>
      </c>
      <c r="BM93" s="7">
        <v>2720</v>
      </c>
      <c r="BN93" s="7">
        <v>8150</v>
      </c>
      <c r="BO93" s="8">
        <v>804000</v>
      </c>
      <c r="BP93" s="8">
        <v>59700</v>
      </c>
      <c r="BQ93" s="8">
        <v>7030</v>
      </c>
      <c r="BR93" s="7">
        <v>21150</v>
      </c>
      <c r="BS93" s="7">
        <v>4675</v>
      </c>
      <c r="BT93" s="7">
        <v>24600</v>
      </c>
      <c r="BU93" s="7">
        <v>10550</v>
      </c>
      <c r="BV93" s="8">
        <v>4630</v>
      </c>
    </row>
    <row r="94" spans="1:74" x14ac:dyDescent="0.4">
      <c r="A94" s="73">
        <v>41345</v>
      </c>
      <c r="B94" s="74">
        <v>313500</v>
      </c>
      <c r="C94" s="74">
        <v>141500</v>
      </c>
      <c r="D94" s="74">
        <v>75600</v>
      </c>
      <c r="E94" s="74">
        <v>53100</v>
      </c>
      <c r="F94" s="74">
        <v>281000</v>
      </c>
      <c r="G94" s="75">
        <v>70600</v>
      </c>
      <c r="H94" s="75">
        <v>15800</v>
      </c>
      <c r="I94" s="75">
        <v>15450</v>
      </c>
      <c r="J94" s="75">
        <v>19300</v>
      </c>
      <c r="K94" s="75">
        <v>15350</v>
      </c>
      <c r="L94" s="74">
        <v>44450</v>
      </c>
      <c r="M94" s="74">
        <v>44250</v>
      </c>
      <c r="N94" s="74">
        <v>8750</v>
      </c>
      <c r="O94" s="74">
        <v>16300</v>
      </c>
      <c r="P94" s="74">
        <v>24150</v>
      </c>
      <c r="Q94" s="75">
        <v>215000</v>
      </c>
      <c r="R94" s="75">
        <v>632000</v>
      </c>
      <c r="S94" s="75">
        <v>214500</v>
      </c>
      <c r="T94" s="75">
        <v>25450</v>
      </c>
      <c r="U94" s="75">
        <v>31000</v>
      </c>
      <c r="V94" s="74">
        <v>82100</v>
      </c>
      <c r="W94" s="74">
        <v>1092000</v>
      </c>
      <c r="X94" s="74">
        <v>32100</v>
      </c>
      <c r="Y94" s="74">
        <v>148500</v>
      </c>
      <c r="Z94" s="74">
        <v>31150</v>
      </c>
      <c r="AA94" s="75">
        <v>17800</v>
      </c>
      <c r="AB94" s="75">
        <v>91300</v>
      </c>
      <c r="AC94" s="75">
        <v>19000</v>
      </c>
      <c r="AD94" s="75">
        <v>52600</v>
      </c>
      <c r="AE94" s="75">
        <v>337500</v>
      </c>
      <c r="AF94" s="74">
        <v>86600</v>
      </c>
      <c r="AG94" s="74">
        <v>95400</v>
      </c>
      <c r="AH94" s="74">
        <v>28800</v>
      </c>
      <c r="AI94" s="74">
        <v>129500</v>
      </c>
      <c r="AJ94" s="74">
        <v>21050</v>
      </c>
      <c r="AK94" s="75">
        <v>16906</v>
      </c>
      <c r="AL94" s="75">
        <v>52400</v>
      </c>
      <c r="AM94" s="75">
        <v>144000</v>
      </c>
      <c r="AN94" s="75">
        <v>23600</v>
      </c>
      <c r="AO94" s="75">
        <v>30100</v>
      </c>
      <c r="AP94" s="74">
        <v>4395</v>
      </c>
      <c r="AQ94" s="74">
        <v>197000</v>
      </c>
      <c r="AR94" s="74">
        <v>44250</v>
      </c>
      <c r="AS94" s="74">
        <v>11850</v>
      </c>
      <c r="AT94" s="74">
        <v>1494000</v>
      </c>
      <c r="AU94" s="75">
        <v>135000</v>
      </c>
      <c r="AV94" s="75">
        <v>261500</v>
      </c>
      <c r="AW94" s="75">
        <v>8820</v>
      </c>
      <c r="AX94" s="75">
        <v>39150</v>
      </c>
      <c r="AY94" s="75">
        <v>10150</v>
      </c>
      <c r="AZ94" s="74">
        <v>371500</v>
      </c>
      <c r="BA94" s="74">
        <v>28100</v>
      </c>
      <c r="BB94" s="74">
        <v>2280</v>
      </c>
      <c r="BC94" s="74">
        <v>65600</v>
      </c>
      <c r="BD94" s="74">
        <v>36400</v>
      </c>
      <c r="BE94" s="75">
        <v>78500</v>
      </c>
      <c r="BF94" s="75">
        <v>42450</v>
      </c>
      <c r="BG94" s="75">
        <v>20750</v>
      </c>
      <c r="BH94" s="75">
        <v>873000</v>
      </c>
      <c r="BI94" s="75">
        <v>21150</v>
      </c>
      <c r="BJ94" s="74">
        <v>32850</v>
      </c>
      <c r="BK94" s="74">
        <v>21250</v>
      </c>
      <c r="BL94" s="74">
        <v>162000</v>
      </c>
      <c r="BM94" s="74">
        <v>2705</v>
      </c>
      <c r="BN94" s="74">
        <v>8180</v>
      </c>
      <c r="BO94" s="75">
        <v>801000</v>
      </c>
      <c r="BP94" s="75">
        <v>59100</v>
      </c>
      <c r="BQ94" s="75">
        <v>7040</v>
      </c>
      <c r="BR94" s="74">
        <v>20500</v>
      </c>
      <c r="BS94" s="74">
        <v>4680</v>
      </c>
      <c r="BT94" s="74">
        <v>24600</v>
      </c>
      <c r="BU94" s="74">
        <v>10500</v>
      </c>
      <c r="BV94" s="75">
        <v>4590</v>
      </c>
    </row>
    <row r="95" spans="1:74" x14ac:dyDescent="0.4">
      <c r="A95" s="11">
        <v>41344</v>
      </c>
      <c r="B95" s="7">
        <v>309500</v>
      </c>
      <c r="C95" s="7">
        <v>141500</v>
      </c>
      <c r="D95" s="7">
        <v>80500</v>
      </c>
      <c r="E95" s="7">
        <v>53600</v>
      </c>
      <c r="F95" s="7">
        <v>283000</v>
      </c>
      <c r="G95" s="8">
        <v>70400</v>
      </c>
      <c r="H95" s="8">
        <v>14600</v>
      </c>
      <c r="I95" s="8">
        <v>15400</v>
      </c>
      <c r="J95" s="8">
        <v>18250</v>
      </c>
      <c r="K95" s="8">
        <v>15400</v>
      </c>
      <c r="L95" s="7">
        <v>43600</v>
      </c>
      <c r="M95" s="7">
        <v>44800</v>
      </c>
      <c r="N95" s="7">
        <v>8740</v>
      </c>
      <c r="O95" s="7">
        <v>16250</v>
      </c>
      <c r="P95" s="7">
        <v>24550</v>
      </c>
      <c r="Q95" s="8">
        <v>214000</v>
      </c>
      <c r="R95" s="8">
        <v>631000</v>
      </c>
      <c r="S95" s="8">
        <v>216500</v>
      </c>
      <c r="T95" s="8">
        <v>25500</v>
      </c>
      <c r="U95" s="8">
        <v>30550</v>
      </c>
      <c r="V95" s="7">
        <v>83400</v>
      </c>
      <c r="W95" s="7">
        <v>1115000</v>
      </c>
      <c r="X95" s="7">
        <v>32100</v>
      </c>
      <c r="Y95" s="7">
        <v>147500</v>
      </c>
      <c r="Z95" s="7">
        <v>30100</v>
      </c>
      <c r="AA95" s="8">
        <v>17950</v>
      </c>
      <c r="AB95" s="8">
        <v>87600</v>
      </c>
      <c r="AC95" s="8">
        <v>18700</v>
      </c>
      <c r="AD95" s="8">
        <v>52300</v>
      </c>
      <c r="AE95" s="8">
        <v>340500</v>
      </c>
      <c r="AF95" s="7">
        <v>86900</v>
      </c>
      <c r="AG95" s="7">
        <v>95800</v>
      </c>
      <c r="AH95" s="7">
        <v>28700</v>
      </c>
      <c r="AI95" s="7">
        <v>130000</v>
      </c>
      <c r="AJ95" s="7">
        <v>21750</v>
      </c>
      <c r="AK95" s="8">
        <v>16880</v>
      </c>
      <c r="AL95" s="8">
        <v>52200</v>
      </c>
      <c r="AM95" s="8">
        <v>139000</v>
      </c>
      <c r="AN95" s="8">
        <v>23400</v>
      </c>
      <c r="AO95" s="8">
        <v>30900</v>
      </c>
      <c r="AP95" s="7">
        <v>4400</v>
      </c>
      <c r="AQ95" s="7">
        <v>199000</v>
      </c>
      <c r="AR95" s="7">
        <v>44700</v>
      </c>
      <c r="AS95" s="7">
        <v>12250</v>
      </c>
      <c r="AT95" s="7">
        <v>1508000</v>
      </c>
      <c r="AU95" s="8">
        <v>138500</v>
      </c>
      <c r="AV95" s="8">
        <v>264000</v>
      </c>
      <c r="AW95" s="8">
        <v>8800</v>
      </c>
      <c r="AX95" s="8">
        <v>39150</v>
      </c>
      <c r="AY95" s="8">
        <v>10150</v>
      </c>
      <c r="AZ95" s="7">
        <v>378000</v>
      </c>
      <c r="BA95" s="7">
        <v>28600</v>
      </c>
      <c r="BB95" s="7">
        <v>2290</v>
      </c>
      <c r="BC95" s="7">
        <v>66100</v>
      </c>
      <c r="BD95" s="7">
        <v>35000</v>
      </c>
      <c r="BE95" s="8">
        <v>78800</v>
      </c>
      <c r="BF95" s="8">
        <v>42500</v>
      </c>
      <c r="BG95" s="8">
        <v>20700</v>
      </c>
      <c r="BH95" s="8">
        <v>877000</v>
      </c>
      <c r="BI95" s="8">
        <v>20150</v>
      </c>
      <c r="BJ95" s="7">
        <v>33000</v>
      </c>
      <c r="BK95" s="7">
        <v>20900</v>
      </c>
      <c r="BL95" s="7">
        <v>164000</v>
      </c>
      <c r="BM95" s="7">
        <v>2740</v>
      </c>
      <c r="BN95" s="7">
        <v>8200</v>
      </c>
      <c r="BO95" s="8">
        <v>791000</v>
      </c>
      <c r="BP95" s="8">
        <v>59300</v>
      </c>
      <c r="BQ95" s="8">
        <v>7070</v>
      </c>
      <c r="BR95" s="7">
        <v>20650</v>
      </c>
      <c r="BS95" s="7">
        <v>4705</v>
      </c>
      <c r="BT95" s="7">
        <v>24500</v>
      </c>
      <c r="BU95" s="7">
        <v>10300</v>
      </c>
      <c r="BV95" s="8">
        <v>4505</v>
      </c>
    </row>
    <row r="96" spans="1:74" x14ac:dyDescent="0.4">
      <c r="A96" s="11">
        <v>41341</v>
      </c>
      <c r="B96" s="7">
        <v>306500</v>
      </c>
      <c r="C96" s="7">
        <v>142000</v>
      </c>
      <c r="D96" s="7">
        <v>81700</v>
      </c>
      <c r="E96" s="7">
        <v>50900</v>
      </c>
      <c r="F96" s="7">
        <v>286500</v>
      </c>
      <c r="G96" s="8">
        <v>70300</v>
      </c>
      <c r="H96" s="8">
        <v>14500</v>
      </c>
      <c r="I96" s="8">
        <v>15000</v>
      </c>
      <c r="J96" s="8">
        <v>17450</v>
      </c>
      <c r="K96" s="8">
        <v>15600</v>
      </c>
      <c r="L96" s="7">
        <v>43900</v>
      </c>
      <c r="M96" s="7">
        <v>44000</v>
      </c>
      <c r="N96" s="7">
        <v>8790</v>
      </c>
      <c r="O96" s="7">
        <v>16350</v>
      </c>
      <c r="P96" s="7">
        <v>24350</v>
      </c>
      <c r="Q96" s="8">
        <v>217500</v>
      </c>
      <c r="R96" s="8">
        <v>621000</v>
      </c>
      <c r="S96" s="8">
        <v>218000</v>
      </c>
      <c r="T96" s="8">
        <v>25850</v>
      </c>
      <c r="U96" s="8">
        <v>30850</v>
      </c>
      <c r="V96" s="7">
        <v>83500</v>
      </c>
      <c r="W96" s="7">
        <v>1087000</v>
      </c>
      <c r="X96" s="7">
        <v>31850</v>
      </c>
      <c r="Y96" s="7">
        <v>147500</v>
      </c>
      <c r="Z96" s="7">
        <v>30700</v>
      </c>
      <c r="AA96" s="8">
        <v>18150</v>
      </c>
      <c r="AB96" s="8">
        <v>86000</v>
      </c>
      <c r="AC96" s="8">
        <v>19000</v>
      </c>
      <c r="AD96" s="8">
        <v>52300</v>
      </c>
      <c r="AE96" s="8">
        <v>342500</v>
      </c>
      <c r="AF96" s="7">
        <v>84900</v>
      </c>
      <c r="AG96" s="7">
        <v>95900</v>
      </c>
      <c r="AH96" s="7">
        <v>28700</v>
      </c>
      <c r="AI96" s="7">
        <v>131000</v>
      </c>
      <c r="AJ96" s="7">
        <v>21000</v>
      </c>
      <c r="AK96" s="8">
        <v>17117</v>
      </c>
      <c r="AL96" s="8">
        <v>53300</v>
      </c>
      <c r="AM96" s="8">
        <v>141000</v>
      </c>
      <c r="AN96" s="8">
        <v>23950</v>
      </c>
      <c r="AO96" s="8">
        <v>30900</v>
      </c>
      <c r="AP96" s="7">
        <v>4395</v>
      </c>
      <c r="AQ96" s="7">
        <v>202000</v>
      </c>
      <c r="AR96" s="7">
        <v>43400</v>
      </c>
      <c r="AS96" s="7">
        <v>12200</v>
      </c>
      <c r="AT96" s="7">
        <v>1499000</v>
      </c>
      <c r="AU96" s="8">
        <v>136000</v>
      </c>
      <c r="AV96" s="8">
        <v>274000</v>
      </c>
      <c r="AW96" s="8">
        <v>8800</v>
      </c>
      <c r="AX96" s="8">
        <v>39150</v>
      </c>
      <c r="AY96" s="8">
        <v>10350</v>
      </c>
      <c r="AZ96" s="7">
        <v>375500</v>
      </c>
      <c r="BA96" s="7">
        <v>28250</v>
      </c>
      <c r="BB96" s="7">
        <v>2330</v>
      </c>
      <c r="BC96" s="7">
        <v>65500</v>
      </c>
      <c r="BD96" s="7">
        <v>34100</v>
      </c>
      <c r="BE96" s="8">
        <v>77700</v>
      </c>
      <c r="BF96" s="8">
        <v>43300</v>
      </c>
      <c r="BG96" s="8">
        <v>20700</v>
      </c>
      <c r="BH96" s="8">
        <v>868000</v>
      </c>
      <c r="BI96" s="8">
        <v>20350</v>
      </c>
      <c r="BJ96" s="7">
        <v>32350</v>
      </c>
      <c r="BK96" s="7">
        <v>20450</v>
      </c>
      <c r="BL96" s="7">
        <v>157000</v>
      </c>
      <c r="BM96" s="7">
        <v>2800</v>
      </c>
      <c r="BN96" s="7">
        <v>8190</v>
      </c>
      <c r="BO96" s="8">
        <v>751000</v>
      </c>
      <c r="BP96" s="8">
        <v>59500</v>
      </c>
      <c r="BQ96" s="8">
        <v>6840</v>
      </c>
      <c r="BR96" s="7">
        <v>20350</v>
      </c>
      <c r="BS96" s="7">
        <v>4715</v>
      </c>
      <c r="BT96" s="7">
        <v>24150</v>
      </c>
      <c r="BU96" s="7">
        <v>10750</v>
      </c>
      <c r="BV96" s="8">
        <v>4330</v>
      </c>
    </row>
    <row r="97" spans="1:74" x14ac:dyDescent="0.4">
      <c r="A97" s="11">
        <v>41340</v>
      </c>
      <c r="B97" s="7">
        <v>307800</v>
      </c>
      <c r="C97" s="7">
        <v>138500</v>
      </c>
      <c r="D97" s="7">
        <v>79700</v>
      </c>
      <c r="E97" s="7">
        <v>51800</v>
      </c>
      <c r="F97" s="7">
        <v>286000</v>
      </c>
      <c r="G97" s="8">
        <v>69600</v>
      </c>
      <c r="H97" s="8">
        <v>14750</v>
      </c>
      <c r="I97" s="8">
        <v>15250</v>
      </c>
      <c r="J97" s="8">
        <v>17400</v>
      </c>
      <c r="K97" s="8">
        <v>15600</v>
      </c>
      <c r="L97" s="7">
        <v>43600</v>
      </c>
      <c r="M97" s="7">
        <v>44000</v>
      </c>
      <c r="N97" s="7">
        <v>8550</v>
      </c>
      <c r="O97" s="7">
        <v>16150</v>
      </c>
      <c r="P97" s="7">
        <v>24200</v>
      </c>
      <c r="Q97" s="8">
        <v>215500</v>
      </c>
      <c r="R97" s="8">
        <v>613000</v>
      </c>
      <c r="S97" s="8">
        <v>216000</v>
      </c>
      <c r="T97" s="8">
        <v>25000</v>
      </c>
      <c r="U97" s="8">
        <v>30900</v>
      </c>
      <c r="V97" s="7">
        <v>83100</v>
      </c>
      <c r="W97" s="7">
        <v>1072000</v>
      </c>
      <c r="X97" s="7">
        <v>30550</v>
      </c>
      <c r="Y97" s="7">
        <v>143000</v>
      </c>
      <c r="Z97" s="7">
        <v>30700</v>
      </c>
      <c r="AA97" s="8">
        <v>17300</v>
      </c>
      <c r="AB97" s="8">
        <v>87000</v>
      </c>
      <c r="AC97" s="8">
        <v>19050</v>
      </c>
      <c r="AD97" s="8">
        <v>50700</v>
      </c>
      <c r="AE97" s="8">
        <v>340000</v>
      </c>
      <c r="AF97" s="7">
        <v>82300</v>
      </c>
      <c r="AG97" s="7">
        <v>95900</v>
      </c>
      <c r="AH97" s="7">
        <v>28000</v>
      </c>
      <c r="AI97" s="7">
        <v>130000</v>
      </c>
      <c r="AJ97" s="7">
        <v>20150</v>
      </c>
      <c r="AK97" s="8">
        <v>16801</v>
      </c>
      <c r="AL97" s="8">
        <v>53900</v>
      </c>
      <c r="AM97" s="8">
        <v>140000</v>
      </c>
      <c r="AN97" s="8">
        <v>24150</v>
      </c>
      <c r="AO97" s="8">
        <v>30650</v>
      </c>
      <c r="AP97" s="7">
        <v>4220</v>
      </c>
      <c r="AQ97" s="7">
        <v>199500</v>
      </c>
      <c r="AR97" s="7">
        <v>41200</v>
      </c>
      <c r="AS97" s="7">
        <v>12350</v>
      </c>
      <c r="AT97" s="7">
        <v>1520000</v>
      </c>
      <c r="AU97" s="8">
        <v>133000</v>
      </c>
      <c r="AV97" s="8">
        <v>268000</v>
      </c>
      <c r="AW97" s="8">
        <v>8790</v>
      </c>
      <c r="AX97" s="8">
        <v>39000</v>
      </c>
      <c r="AY97" s="8">
        <v>10300</v>
      </c>
      <c r="AZ97" s="7">
        <v>375500</v>
      </c>
      <c r="BA97" s="7">
        <v>28150</v>
      </c>
      <c r="BB97" s="7">
        <v>2330</v>
      </c>
      <c r="BC97" s="7">
        <v>65500</v>
      </c>
      <c r="BD97" s="7">
        <v>35000</v>
      </c>
      <c r="BE97" s="8">
        <v>77700</v>
      </c>
      <c r="BF97" s="8">
        <v>43700</v>
      </c>
      <c r="BG97" s="8">
        <v>20850</v>
      </c>
      <c r="BH97" s="8">
        <v>870000</v>
      </c>
      <c r="BI97" s="8">
        <v>20000</v>
      </c>
      <c r="BJ97" s="7">
        <v>32250</v>
      </c>
      <c r="BK97" s="7">
        <v>20450</v>
      </c>
      <c r="BL97" s="7">
        <v>153500</v>
      </c>
      <c r="BM97" s="7">
        <v>2875</v>
      </c>
      <c r="BN97" s="7">
        <v>7930</v>
      </c>
      <c r="BO97" s="8">
        <v>735000</v>
      </c>
      <c r="BP97" s="8">
        <v>59400</v>
      </c>
      <c r="BQ97" s="8">
        <v>6700</v>
      </c>
      <c r="BR97" s="7">
        <v>20250</v>
      </c>
      <c r="BS97" s="7">
        <v>4710</v>
      </c>
      <c r="BT97" s="7">
        <v>24100</v>
      </c>
      <c r="BU97" s="7">
        <v>10900</v>
      </c>
      <c r="BV97" s="8">
        <v>4320</v>
      </c>
    </row>
    <row r="98" spans="1:74" x14ac:dyDescent="0.4">
      <c r="A98" s="11">
        <v>41339</v>
      </c>
      <c r="B98" s="7">
        <v>302500</v>
      </c>
      <c r="C98" s="7">
        <v>140000</v>
      </c>
      <c r="D98" s="7">
        <v>80000</v>
      </c>
      <c r="E98" s="7">
        <v>51800</v>
      </c>
      <c r="F98" s="7">
        <v>288000</v>
      </c>
      <c r="G98" s="8">
        <v>70700</v>
      </c>
      <c r="H98" s="8">
        <v>14850</v>
      </c>
      <c r="I98" s="8">
        <v>15300</v>
      </c>
      <c r="J98" s="8">
        <v>17650</v>
      </c>
      <c r="K98" s="8">
        <v>15650</v>
      </c>
      <c r="L98" s="7">
        <v>44950</v>
      </c>
      <c r="M98" s="7">
        <v>43900</v>
      </c>
      <c r="N98" s="7">
        <v>8570</v>
      </c>
      <c r="O98" s="7">
        <v>16450</v>
      </c>
      <c r="P98" s="7">
        <v>24450</v>
      </c>
      <c r="Q98" s="8">
        <v>222500</v>
      </c>
      <c r="R98" s="8">
        <v>622000</v>
      </c>
      <c r="S98" s="8">
        <v>218000</v>
      </c>
      <c r="T98" s="8">
        <v>25000</v>
      </c>
      <c r="U98" s="8">
        <v>30900</v>
      </c>
      <c r="V98" s="7">
        <v>83500</v>
      </c>
      <c r="W98" s="7">
        <v>1074000</v>
      </c>
      <c r="X98" s="7">
        <v>31450</v>
      </c>
      <c r="Y98" s="7">
        <v>145500</v>
      </c>
      <c r="Z98" s="7">
        <v>31550</v>
      </c>
      <c r="AA98" s="8">
        <v>17650</v>
      </c>
      <c r="AB98" s="8">
        <v>86100</v>
      </c>
      <c r="AC98" s="8">
        <v>19850</v>
      </c>
      <c r="AD98" s="8">
        <v>48400</v>
      </c>
      <c r="AE98" s="8">
        <v>341500</v>
      </c>
      <c r="AF98" s="7">
        <v>81000</v>
      </c>
      <c r="AG98" s="7">
        <v>96100</v>
      </c>
      <c r="AH98" s="7">
        <v>28150</v>
      </c>
      <c r="AI98" s="7">
        <v>130500</v>
      </c>
      <c r="AJ98" s="7">
        <v>20050</v>
      </c>
      <c r="AK98" s="8">
        <v>16853</v>
      </c>
      <c r="AL98" s="8">
        <v>54000</v>
      </c>
      <c r="AM98" s="8">
        <v>143000</v>
      </c>
      <c r="AN98" s="8">
        <v>24700</v>
      </c>
      <c r="AO98" s="8">
        <v>30800</v>
      </c>
      <c r="AP98" s="7">
        <v>4415</v>
      </c>
      <c r="AQ98" s="7">
        <v>200500</v>
      </c>
      <c r="AR98" s="7">
        <v>41400</v>
      </c>
      <c r="AS98" s="7">
        <v>12450</v>
      </c>
      <c r="AT98" s="7">
        <v>1560000</v>
      </c>
      <c r="AU98" s="8">
        <v>133000</v>
      </c>
      <c r="AV98" s="8">
        <v>270000</v>
      </c>
      <c r="AW98" s="8">
        <v>8790</v>
      </c>
      <c r="AX98" s="8">
        <v>38950</v>
      </c>
      <c r="AY98" s="8">
        <v>10550</v>
      </c>
      <c r="AZ98" s="7">
        <v>372000</v>
      </c>
      <c r="BA98" s="7">
        <v>28000</v>
      </c>
      <c r="BB98" s="7">
        <v>2360</v>
      </c>
      <c r="BC98" s="7">
        <v>66200</v>
      </c>
      <c r="BD98" s="7">
        <v>35850</v>
      </c>
      <c r="BE98" s="8">
        <v>77200</v>
      </c>
      <c r="BF98" s="8">
        <v>44000</v>
      </c>
      <c r="BG98" s="8">
        <v>20800</v>
      </c>
      <c r="BH98" s="8">
        <v>894000</v>
      </c>
      <c r="BI98" s="8">
        <v>20800</v>
      </c>
      <c r="BJ98" s="7">
        <v>31800</v>
      </c>
      <c r="BK98" s="7">
        <v>20550</v>
      </c>
      <c r="BL98" s="7">
        <v>153000</v>
      </c>
      <c r="BM98" s="7">
        <v>2755</v>
      </c>
      <c r="BN98" s="7">
        <v>7680</v>
      </c>
      <c r="BO98" s="8">
        <v>734000</v>
      </c>
      <c r="BP98" s="8">
        <v>59300</v>
      </c>
      <c r="BQ98" s="8">
        <v>6790</v>
      </c>
      <c r="BR98" s="7">
        <v>20350</v>
      </c>
      <c r="BS98" s="7">
        <v>4765</v>
      </c>
      <c r="BT98" s="7">
        <v>24200</v>
      </c>
      <c r="BU98" s="7">
        <v>10850</v>
      </c>
      <c r="BV98" s="8">
        <v>4430</v>
      </c>
    </row>
    <row r="99" spans="1:74" x14ac:dyDescent="0.4">
      <c r="A99" s="73">
        <v>41338</v>
      </c>
      <c r="B99" s="74">
        <v>309000</v>
      </c>
      <c r="C99" s="74">
        <v>139500</v>
      </c>
      <c r="D99" s="74">
        <v>76700</v>
      </c>
      <c r="E99" s="74">
        <v>50900</v>
      </c>
      <c r="F99" s="74">
        <v>286000</v>
      </c>
      <c r="G99" s="75">
        <v>71700</v>
      </c>
      <c r="H99" s="75">
        <v>14800</v>
      </c>
      <c r="I99" s="75">
        <v>16150</v>
      </c>
      <c r="J99" s="75">
        <v>17900</v>
      </c>
      <c r="K99" s="75">
        <v>15550</v>
      </c>
      <c r="L99" s="74">
        <v>45250</v>
      </c>
      <c r="M99" s="74">
        <v>43000</v>
      </c>
      <c r="N99" s="74">
        <v>8610</v>
      </c>
      <c r="O99" s="74">
        <v>16500</v>
      </c>
      <c r="P99" s="74">
        <v>24000</v>
      </c>
      <c r="Q99" s="75">
        <v>220500</v>
      </c>
      <c r="R99" s="75">
        <v>620000</v>
      </c>
      <c r="S99" s="75">
        <v>210000</v>
      </c>
      <c r="T99" s="75">
        <v>24800</v>
      </c>
      <c r="U99" s="75">
        <v>29900</v>
      </c>
      <c r="V99" s="74">
        <v>83000</v>
      </c>
      <c r="W99" s="74">
        <v>1061000</v>
      </c>
      <c r="X99" s="74">
        <v>31250</v>
      </c>
      <c r="Y99" s="74">
        <v>144500</v>
      </c>
      <c r="Z99" s="74">
        <v>31550</v>
      </c>
      <c r="AA99" s="75">
        <v>18500</v>
      </c>
      <c r="AB99" s="75">
        <v>87200</v>
      </c>
      <c r="AC99" s="75">
        <v>20400</v>
      </c>
      <c r="AD99" s="75">
        <v>48650</v>
      </c>
      <c r="AE99" s="75">
        <v>340500</v>
      </c>
      <c r="AF99" s="74">
        <v>81300</v>
      </c>
      <c r="AG99" s="74">
        <v>96500</v>
      </c>
      <c r="AH99" s="74">
        <v>27850</v>
      </c>
      <c r="AI99" s="74">
        <v>129500</v>
      </c>
      <c r="AJ99" s="74">
        <v>20200</v>
      </c>
      <c r="AK99" s="75">
        <v>16722</v>
      </c>
      <c r="AL99" s="75">
        <v>55200</v>
      </c>
      <c r="AM99" s="75">
        <v>143000</v>
      </c>
      <c r="AN99" s="75">
        <v>23700</v>
      </c>
      <c r="AO99" s="75">
        <v>30000</v>
      </c>
      <c r="AP99" s="74">
        <v>4425</v>
      </c>
      <c r="AQ99" s="74">
        <v>207000</v>
      </c>
      <c r="AR99" s="74">
        <v>42350</v>
      </c>
      <c r="AS99" s="74">
        <v>12550</v>
      </c>
      <c r="AT99" s="74">
        <v>1550000</v>
      </c>
      <c r="AU99" s="75">
        <v>133000</v>
      </c>
      <c r="AV99" s="75">
        <v>274500</v>
      </c>
      <c r="AW99" s="75">
        <v>8800</v>
      </c>
      <c r="AX99" s="75">
        <v>38950</v>
      </c>
      <c r="AY99" s="75">
        <v>10650</v>
      </c>
      <c r="AZ99" s="74">
        <v>371000</v>
      </c>
      <c r="BA99" s="74">
        <v>27000</v>
      </c>
      <c r="BB99" s="74">
        <v>2385</v>
      </c>
      <c r="BC99" s="74">
        <v>65900</v>
      </c>
      <c r="BD99" s="74">
        <v>37000</v>
      </c>
      <c r="BE99" s="75">
        <v>77800</v>
      </c>
      <c r="BF99" s="75">
        <v>44000</v>
      </c>
      <c r="BG99" s="75">
        <v>20750</v>
      </c>
      <c r="BH99" s="75">
        <v>884000</v>
      </c>
      <c r="BI99" s="75">
        <v>21450</v>
      </c>
      <c r="BJ99" s="74">
        <v>31800</v>
      </c>
      <c r="BK99" s="74">
        <v>20600</v>
      </c>
      <c r="BL99" s="74">
        <v>157000</v>
      </c>
      <c r="BM99" s="74">
        <v>2795</v>
      </c>
      <c r="BN99" s="74">
        <v>7560</v>
      </c>
      <c r="BO99" s="75">
        <v>729000</v>
      </c>
      <c r="BP99" s="75">
        <v>59300</v>
      </c>
      <c r="BQ99" s="75">
        <v>6940</v>
      </c>
      <c r="BR99" s="74">
        <v>20500</v>
      </c>
      <c r="BS99" s="74">
        <v>4815</v>
      </c>
      <c r="BT99" s="74">
        <v>23450</v>
      </c>
      <c r="BU99" s="74">
        <v>11000</v>
      </c>
      <c r="BV99" s="75">
        <v>4475</v>
      </c>
    </row>
    <row r="100" spans="1:74" x14ac:dyDescent="0.4">
      <c r="A100" s="11">
        <v>41337</v>
      </c>
      <c r="B100" s="7">
        <v>312800</v>
      </c>
      <c r="C100" s="7">
        <v>139000</v>
      </c>
      <c r="D100" s="7">
        <v>72600</v>
      </c>
      <c r="E100" s="7">
        <v>49350</v>
      </c>
      <c r="F100" s="7">
        <v>287500</v>
      </c>
      <c r="G100" s="8">
        <v>69900</v>
      </c>
      <c r="H100" s="8">
        <v>14750</v>
      </c>
      <c r="I100" s="8">
        <v>16100</v>
      </c>
      <c r="J100" s="8">
        <v>17350</v>
      </c>
      <c r="K100" s="8">
        <v>15500</v>
      </c>
      <c r="L100" s="7">
        <v>43800</v>
      </c>
      <c r="M100" s="7">
        <v>41050</v>
      </c>
      <c r="N100" s="7">
        <v>8630</v>
      </c>
      <c r="O100" s="7">
        <v>16400</v>
      </c>
      <c r="P100" s="7">
        <v>24300</v>
      </c>
      <c r="Q100" s="8">
        <v>220000</v>
      </c>
      <c r="R100" s="8">
        <v>624000</v>
      </c>
      <c r="S100" s="8">
        <v>210500</v>
      </c>
      <c r="T100" s="8">
        <v>25250</v>
      </c>
      <c r="U100" s="8">
        <v>29700</v>
      </c>
      <c r="V100" s="7">
        <v>82600</v>
      </c>
      <c r="W100" s="7">
        <v>1046000</v>
      </c>
      <c r="X100" s="7">
        <v>30600</v>
      </c>
      <c r="Y100" s="7">
        <v>144000</v>
      </c>
      <c r="Z100" s="7">
        <v>31900</v>
      </c>
      <c r="AA100" s="8">
        <v>18400</v>
      </c>
      <c r="AB100" s="8">
        <v>87800</v>
      </c>
      <c r="AC100" s="8">
        <v>20500</v>
      </c>
      <c r="AD100" s="8">
        <v>47950</v>
      </c>
      <c r="AE100" s="8">
        <v>343000</v>
      </c>
      <c r="AF100" s="7">
        <v>79500</v>
      </c>
      <c r="AG100" s="7">
        <v>96800</v>
      </c>
      <c r="AH100" s="7">
        <v>27900</v>
      </c>
      <c r="AI100" s="7">
        <v>129000</v>
      </c>
      <c r="AJ100" s="7">
        <v>19600</v>
      </c>
      <c r="AK100" s="8">
        <v>17038</v>
      </c>
      <c r="AL100" s="8">
        <v>56100</v>
      </c>
      <c r="AM100" s="8">
        <v>145500</v>
      </c>
      <c r="AN100" s="8">
        <v>23800</v>
      </c>
      <c r="AO100" s="8">
        <v>29900</v>
      </c>
      <c r="AP100" s="7">
        <v>4600</v>
      </c>
      <c r="AQ100" s="7">
        <v>206500</v>
      </c>
      <c r="AR100" s="7">
        <v>42550</v>
      </c>
      <c r="AS100" s="7">
        <v>12300</v>
      </c>
      <c r="AT100" s="7">
        <v>1539000</v>
      </c>
      <c r="AU100" s="8">
        <v>133000</v>
      </c>
      <c r="AV100" s="8">
        <v>275000</v>
      </c>
      <c r="AW100" s="8">
        <v>8800</v>
      </c>
      <c r="AX100" s="8">
        <v>38800</v>
      </c>
      <c r="AY100" s="8">
        <v>10050</v>
      </c>
      <c r="AZ100" s="7">
        <v>371000</v>
      </c>
      <c r="BA100" s="7">
        <v>26000</v>
      </c>
      <c r="BB100" s="7">
        <v>2345</v>
      </c>
      <c r="BC100" s="7">
        <v>65600</v>
      </c>
      <c r="BD100" s="7">
        <v>36300</v>
      </c>
      <c r="BE100" s="8">
        <v>77800</v>
      </c>
      <c r="BF100" s="8">
        <v>43800</v>
      </c>
      <c r="BG100" s="8">
        <v>20600</v>
      </c>
      <c r="BH100" s="8">
        <v>882000</v>
      </c>
      <c r="BI100" s="8">
        <v>21100</v>
      </c>
      <c r="BJ100" s="7">
        <v>30100</v>
      </c>
      <c r="BK100" s="7">
        <v>20550</v>
      </c>
      <c r="BL100" s="7">
        <v>152000</v>
      </c>
      <c r="BM100" s="7">
        <v>2830</v>
      </c>
      <c r="BN100" s="7">
        <v>7510</v>
      </c>
      <c r="BO100" s="8">
        <v>738000</v>
      </c>
      <c r="BP100" s="8">
        <v>59200</v>
      </c>
      <c r="BQ100" s="8">
        <v>6870</v>
      </c>
      <c r="BR100" s="7">
        <v>20650</v>
      </c>
      <c r="BS100" s="7">
        <v>4810</v>
      </c>
      <c r="BT100" s="7">
        <v>23500</v>
      </c>
      <c r="BU100" s="7">
        <v>10600</v>
      </c>
      <c r="BV100" s="8">
        <v>4465</v>
      </c>
    </row>
    <row r="101" spans="1:74" x14ac:dyDescent="0.4">
      <c r="A101" s="11"/>
      <c r="B101" s="7"/>
      <c r="C101" s="7"/>
      <c r="D101" s="7"/>
      <c r="E101" s="7"/>
      <c r="F101" s="7"/>
      <c r="G101" s="8"/>
      <c r="H101" s="8"/>
      <c r="I101" s="8"/>
      <c r="J101" s="8"/>
      <c r="K101" s="8"/>
      <c r="L101" s="7"/>
      <c r="M101" s="7"/>
      <c r="N101" s="7"/>
      <c r="O101" s="7"/>
      <c r="P101" s="7"/>
      <c r="Q101" s="8"/>
      <c r="R101" s="8"/>
      <c r="S101" s="8"/>
      <c r="T101" s="8"/>
      <c r="U101" s="8"/>
      <c r="V101" s="7"/>
      <c r="W101" s="7"/>
      <c r="X101" s="7"/>
      <c r="Y101" s="7"/>
      <c r="Z101" s="7"/>
      <c r="AA101" s="8"/>
      <c r="AB101" s="8"/>
      <c r="AC101" s="8"/>
      <c r="AD101" s="8"/>
      <c r="AE101" s="8"/>
      <c r="AF101" s="7"/>
      <c r="AG101" s="7"/>
      <c r="AH101" s="7"/>
      <c r="AI101" s="7"/>
      <c r="AJ101" s="7"/>
      <c r="AK101" s="8"/>
      <c r="AL101" s="8"/>
      <c r="AM101" s="8"/>
      <c r="AN101" s="8"/>
      <c r="AO101" s="8"/>
      <c r="AP101" s="7"/>
      <c r="AQ101" s="7"/>
      <c r="AR101" s="7"/>
      <c r="AS101" s="7"/>
      <c r="AT101" s="7"/>
      <c r="AU101" s="8"/>
      <c r="AV101" s="8"/>
      <c r="AW101" s="8"/>
      <c r="AX101" s="8"/>
      <c r="AY101" s="8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</row>
    <row r="102" spans="1:74" x14ac:dyDescent="0.4">
      <c r="A102" s="11">
        <v>41306</v>
      </c>
      <c r="B102" s="7">
        <v>52000</v>
      </c>
      <c r="C102" s="7">
        <v>24200</v>
      </c>
      <c r="D102" s="7">
        <v>68700</v>
      </c>
      <c r="E102" s="7">
        <v>221000</v>
      </c>
      <c r="F102" s="7">
        <v>64500</v>
      </c>
      <c r="G102" s="8">
        <v>44650</v>
      </c>
      <c r="H102" s="8">
        <v>63200</v>
      </c>
      <c r="I102" s="8">
        <v>172000</v>
      </c>
      <c r="J102" s="8">
        <v>82600</v>
      </c>
      <c r="K102" s="8">
        <v>206500</v>
      </c>
      <c r="L102" s="7">
        <v>360000</v>
      </c>
      <c r="M102" s="7">
        <v>1441000</v>
      </c>
      <c r="N102" s="7">
        <v>55100</v>
      </c>
      <c r="O102" s="7">
        <v>140000</v>
      </c>
      <c r="P102" s="7">
        <v>91400</v>
      </c>
      <c r="Q102" s="8">
        <v>214500</v>
      </c>
      <c r="R102" s="8">
        <v>168000</v>
      </c>
      <c r="S102" s="8">
        <v>372000</v>
      </c>
      <c r="T102" s="8">
        <v>37500</v>
      </c>
      <c r="U102" s="8">
        <v>95200</v>
      </c>
      <c r="V102" s="7">
        <v>245500</v>
      </c>
      <c r="W102" s="7">
        <v>20200</v>
      </c>
      <c r="X102" s="7">
        <v>290500</v>
      </c>
      <c r="Y102" s="7">
        <v>33250</v>
      </c>
      <c r="Z102" s="7">
        <v>56400</v>
      </c>
      <c r="AA102" s="8">
        <v>170000</v>
      </c>
      <c r="AB102" s="8">
        <v>371500</v>
      </c>
      <c r="AC102" s="8">
        <v>12200</v>
      </c>
      <c r="AD102" s="8">
        <v>154000</v>
      </c>
      <c r="AE102" s="8">
        <v>35650</v>
      </c>
      <c r="AF102" s="7">
        <v>37150</v>
      </c>
      <c r="AG102" s="7">
        <v>108000</v>
      </c>
      <c r="AH102" s="7">
        <v>75100</v>
      </c>
      <c r="AI102" s="7">
        <v>42800</v>
      </c>
      <c r="AJ102" s="7">
        <v>28600</v>
      </c>
      <c r="AK102" s="8">
        <v>30950</v>
      </c>
      <c r="AL102" s="8">
        <v>246000</v>
      </c>
      <c r="AM102" s="8">
        <v>140000</v>
      </c>
      <c r="AN102" s="8">
        <v>29350</v>
      </c>
      <c r="AO102" s="8">
        <v>9050</v>
      </c>
      <c r="AP102" s="7">
        <v>591000</v>
      </c>
      <c r="AQ102" s="7">
        <v>302500</v>
      </c>
      <c r="AR102" s="7">
        <v>12550</v>
      </c>
      <c r="AS102" s="7">
        <v>41350</v>
      </c>
      <c r="AT102" s="7">
        <v>72000</v>
      </c>
      <c r="AU102" s="8">
        <v>202500</v>
      </c>
      <c r="AV102" s="8">
        <v>39200</v>
      </c>
      <c r="AW102" s="8">
        <v>7360</v>
      </c>
      <c r="AX102" s="8">
        <v>168500</v>
      </c>
      <c r="AY102" s="8">
        <v>38800</v>
      </c>
    </row>
    <row r="103" spans="1:74" x14ac:dyDescent="0.4">
      <c r="A103" s="11">
        <v>41305</v>
      </c>
      <c r="B103" s="7">
        <v>51700</v>
      </c>
      <c r="C103" s="7">
        <v>24400</v>
      </c>
      <c r="D103" s="7">
        <v>68600</v>
      </c>
      <c r="E103" s="7">
        <v>220500</v>
      </c>
      <c r="F103" s="7">
        <v>63400</v>
      </c>
      <c r="G103" s="8">
        <v>45450</v>
      </c>
      <c r="H103" s="8">
        <v>64100</v>
      </c>
      <c r="I103" s="8">
        <v>172000</v>
      </c>
      <c r="J103" s="8">
        <v>82900</v>
      </c>
      <c r="K103" s="8">
        <v>205000</v>
      </c>
      <c r="L103" s="7">
        <v>356500</v>
      </c>
      <c r="M103" s="7">
        <v>1448000</v>
      </c>
      <c r="N103" s="7">
        <v>55700</v>
      </c>
      <c r="O103" s="7">
        <v>142500</v>
      </c>
      <c r="P103" s="7">
        <v>91700</v>
      </c>
      <c r="Q103" s="8">
        <v>215000</v>
      </c>
      <c r="R103" s="8">
        <v>167500</v>
      </c>
      <c r="S103" s="8">
        <v>384000</v>
      </c>
      <c r="T103" s="8">
        <v>38250</v>
      </c>
      <c r="U103" s="8">
        <v>97900</v>
      </c>
      <c r="V103" s="7">
        <v>252500</v>
      </c>
      <c r="W103" s="7">
        <v>20450</v>
      </c>
      <c r="X103" s="7">
        <v>285000</v>
      </c>
      <c r="Y103" s="7">
        <v>32400</v>
      </c>
      <c r="Z103" s="7">
        <v>56400</v>
      </c>
      <c r="AA103" s="8">
        <v>167500</v>
      </c>
      <c r="AB103" s="8">
        <v>372500</v>
      </c>
      <c r="AC103" s="8">
        <v>12300</v>
      </c>
      <c r="AD103" s="8">
        <v>155500</v>
      </c>
      <c r="AE103" s="8">
        <v>35800</v>
      </c>
      <c r="AF103" s="7">
        <v>36600</v>
      </c>
      <c r="AG103" s="7">
        <v>105000</v>
      </c>
      <c r="AH103" s="7">
        <v>75900</v>
      </c>
      <c r="AI103" s="7">
        <v>46550</v>
      </c>
      <c r="AJ103" s="7">
        <v>29300</v>
      </c>
      <c r="AK103" s="8">
        <v>31250</v>
      </c>
      <c r="AL103" s="8">
        <v>241000</v>
      </c>
      <c r="AM103" s="8">
        <v>138000</v>
      </c>
      <c r="AN103" s="8">
        <v>29800</v>
      </c>
      <c r="AO103" s="8">
        <v>9050</v>
      </c>
      <c r="AP103" s="7">
        <v>607000</v>
      </c>
      <c r="AQ103" s="7">
        <v>304500</v>
      </c>
      <c r="AR103" s="7">
        <v>12800</v>
      </c>
      <c r="AS103" s="7">
        <v>40950</v>
      </c>
      <c r="AT103" s="7">
        <v>72100</v>
      </c>
      <c r="AU103" s="8">
        <v>203000</v>
      </c>
      <c r="AV103" s="8">
        <v>39000</v>
      </c>
      <c r="AW103" s="8">
        <v>7420</v>
      </c>
      <c r="AX103" s="8">
        <v>171500</v>
      </c>
      <c r="AY103" s="8">
        <v>38900</v>
      </c>
    </row>
    <row r="104" spans="1:74" x14ac:dyDescent="0.4">
      <c r="A104" s="12">
        <v>41304</v>
      </c>
      <c r="B104" s="9">
        <v>50500</v>
      </c>
      <c r="C104" s="9">
        <v>24350</v>
      </c>
      <c r="D104" s="9">
        <v>72500</v>
      </c>
      <c r="E104" s="9">
        <v>221500</v>
      </c>
      <c r="F104" s="9">
        <v>64500</v>
      </c>
      <c r="G104" s="10">
        <v>45500</v>
      </c>
      <c r="H104" s="10">
        <v>64300</v>
      </c>
      <c r="I104" s="10">
        <v>177000</v>
      </c>
      <c r="J104" s="10">
        <v>82400</v>
      </c>
      <c r="K104" s="10">
        <v>203500</v>
      </c>
      <c r="L104" s="9">
        <v>358000</v>
      </c>
      <c r="M104" s="9">
        <v>1440000</v>
      </c>
      <c r="N104" s="9">
        <v>56100</v>
      </c>
      <c r="O104" s="9">
        <v>143000</v>
      </c>
      <c r="P104" s="9">
        <v>92200</v>
      </c>
      <c r="Q104" s="10">
        <v>219000</v>
      </c>
      <c r="R104" s="10">
        <v>168500</v>
      </c>
      <c r="S104" s="10">
        <v>381000</v>
      </c>
      <c r="T104" s="10">
        <v>38050</v>
      </c>
      <c r="U104" s="10">
        <v>99800</v>
      </c>
      <c r="V104" s="9">
        <v>249500</v>
      </c>
      <c r="W104" s="9">
        <v>20800</v>
      </c>
      <c r="X104" s="9">
        <v>272000</v>
      </c>
      <c r="Y104" s="9">
        <v>32100</v>
      </c>
      <c r="Z104" s="9">
        <v>57300</v>
      </c>
      <c r="AA104" s="10">
        <v>168500</v>
      </c>
      <c r="AB104" s="10">
        <v>365500</v>
      </c>
      <c r="AC104" s="10">
        <v>12200</v>
      </c>
      <c r="AD104" s="10">
        <v>160500</v>
      </c>
      <c r="AE104" s="10">
        <v>37150</v>
      </c>
      <c r="AF104" s="9">
        <v>37100</v>
      </c>
      <c r="AG104" s="9">
        <v>107000</v>
      </c>
      <c r="AH104" s="9">
        <v>75000</v>
      </c>
      <c r="AI104" s="9">
        <v>48100</v>
      </c>
      <c r="AJ104" s="9">
        <v>28850</v>
      </c>
      <c r="AK104" s="10">
        <v>30300</v>
      </c>
      <c r="AL104" s="10">
        <v>244500</v>
      </c>
      <c r="AM104" s="10">
        <v>145000</v>
      </c>
      <c r="AN104" s="10">
        <v>30000</v>
      </c>
      <c r="AO104" s="10">
        <v>9570</v>
      </c>
      <c r="AP104" s="9">
        <v>606000</v>
      </c>
      <c r="AQ104" s="9">
        <v>302000</v>
      </c>
      <c r="AR104" s="9">
        <v>12750</v>
      </c>
      <c r="AS104" s="9">
        <v>41900</v>
      </c>
      <c r="AT104" s="9">
        <v>73500</v>
      </c>
      <c r="AU104" s="10">
        <v>204000</v>
      </c>
      <c r="AV104" s="10">
        <v>39950</v>
      </c>
      <c r="AW104" s="10">
        <v>7550</v>
      </c>
      <c r="AX104" s="10">
        <v>172500</v>
      </c>
      <c r="AY104" s="10">
        <v>39850</v>
      </c>
    </row>
    <row r="105" spans="1:74" x14ac:dyDescent="0.4">
      <c r="A105" s="11">
        <v>41303</v>
      </c>
      <c r="B105" s="7">
        <v>51500</v>
      </c>
      <c r="C105" s="7">
        <v>24200</v>
      </c>
      <c r="D105" s="7">
        <v>72600</v>
      </c>
      <c r="E105" s="7">
        <v>220000</v>
      </c>
      <c r="F105" s="7">
        <v>64300</v>
      </c>
      <c r="G105" s="8">
        <v>45500</v>
      </c>
      <c r="H105" s="8">
        <v>63600</v>
      </c>
      <c r="I105" s="8">
        <v>172000</v>
      </c>
      <c r="J105" s="8">
        <v>82800</v>
      </c>
      <c r="K105" s="8">
        <v>206500</v>
      </c>
      <c r="L105" s="7">
        <v>355500</v>
      </c>
      <c r="M105" s="7">
        <v>1409000</v>
      </c>
      <c r="N105" s="7">
        <v>56500</v>
      </c>
      <c r="O105" s="7">
        <v>141500</v>
      </c>
      <c r="P105" s="7">
        <v>92100</v>
      </c>
      <c r="Q105" s="8">
        <v>217500</v>
      </c>
      <c r="R105" s="8">
        <v>169000</v>
      </c>
      <c r="S105" s="8">
        <v>385000</v>
      </c>
      <c r="T105" s="8">
        <v>37800</v>
      </c>
      <c r="U105" s="8">
        <v>99000</v>
      </c>
      <c r="V105" s="7">
        <v>246500</v>
      </c>
      <c r="W105" s="7">
        <v>20750</v>
      </c>
      <c r="X105" s="7">
        <v>272500</v>
      </c>
      <c r="Y105" s="7">
        <v>33800</v>
      </c>
      <c r="Z105" s="7">
        <v>57200</v>
      </c>
      <c r="AA105" s="8">
        <v>167500</v>
      </c>
      <c r="AB105" s="8">
        <v>369500</v>
      </c>
      <c r="AC105" s="8">
        <v>12150</v>
      </c>
      <c r="AD105" s="8">
        <v>159500</v>
      </c>
      <c r="AE105" s="8">
        <v>37050</v>
      </c>
      <c r="AF105" s="7">
        <v>37050</v>
      </c>
      <c r="AG105" s="7">
        <v>106000</v>
      </c>
      <c r="AH105" s="7">
        <v>75500</v>
      </c>
      <c r="AI105" s="7">
        <v>46500</v>
      </c>
      <c r="AJ105" s="7">
        <v>28750</v>
      </c>
      <c r="AK105" s="8">
        <v>30250</v>
      </c>
      <c r="AL105" s="8">
        <v>242500</v>
      </c>
      <c r="AM105" s="8">
        <v>145500</v>
      </c>
      <c r="AN105" s="8">
        <v>29300</v>
      </c>
      <c r="AO105" s="8">
        <v>9540</v>
      </c>
      <c r="AP105" s="7">
        <v>588000</v>
      </c>
      <c r="AQ105" s="7">
        <v>313000</v>
      </c>
      <c r="AR105" s="7">
        <v>12650</v>
      </c>
      <c r="AS105" s="7">
        <v>42100</v>
      </c>
      <c r="AT105" s="7">
        <v>73500</v>
      </c>
      <c r="AU105" s="8">
        <v>203500</v>
      </c>
      <c r="AV105" s="8">
        <v>40000</v>
      </c>
      <c r="AW105" s="8">
        <v>7570</v>
      </c>
      <c r="AX105" s="8">
        <v>172000</v>
      </c>
      <c r="AY105" s="8">
        <v>39900</v>
      </c>
    </row>
    <row r="106" spans="1:74" x14ac:dyDescent="0.4">
      <c r="A106" s="11">
        <v>41302</v>
      </c>
      <c r="B106" s="7">
        <v>49000</v>
      </c>
      <c r="C106" s="7">
        <v>24400</v>
      </c>
      <c r="D106" s="7">
        <v>70700</v>
      </c>
      <c r="E106" s="7">
        <v>223000</v>
      </c>
      <c r="F106" s="7">
        <v>60200</v>
      </c>
      <c r="G106" s="8">
        <v>45200</v>
      </c>
      <c r="H106" s="8">
        <v>63600</v>
      </c>
      <c r="I106" s="8">
        <v>171000</v>
      </c>
      <c r="J106" s="8">
        <v>82500</v>
      </c>
      <c r="K106" s="8">
        <v>198500</v>
      </c>
      <c r="L106" s="7">
        <v>356000</v>
      </c>
      <c r="M106" s="7">
        <v>1372000</v>
      </c>
      <c r="N106" s="7">
        <v>55500</v>
      </c>
      <c r="O106" s="7">
        <v>141000</v>
      </c>
      <c r="P106" s="7">
        <v>90700</v>
      </c>
      <c r="Q106" s="8">
        <v>215000</v>
      </c>
      <c r="R106" s="8">
        <v>171000</v>
      </c>
      <c r="S106" s="8">
        <v>389500</v>
      </c>
      <c r="T106" s="8">
        <v>37150</v>
      </c>
      <c r="U106" s="8">
        <v>98800</v>
      </c>
      <c r="V106" s="7">
        <v>241500</v>
      </c>
      <c r="W106" s="7">
        <v>21050</v>
      </c>
      <c r="X106" s="7">
        <v>264000</v>
      </c>
      <c r="Y106" s="7">
        <v>34850</v>
      </c>
      <c r="Z106" s="7">
        <v>57500</v>
      </c>
      <c r="AA106" s="8">
        <v>171500</v>
      </c>
      <c r="AB106" s="8">
        <v>368000</v>
      </c>
      <c r="AC106" s="8">
        <v>12250</v>
      </c>
      <c r="AD106" s="8">
        <v>155500</v>
      </c>
      <c r="AE106" s="8">
        <v>36900</v>
      </c>
      <c r="AF106" s="7">
        <v>38000</v>
      </c>
      <c r="AG106" s="7">
        <v>110000</v>
      </c>
      <c r="AH106" s="7">
        <v>75700</v>
      </c>
      <c r="AI106" s="7">
        <v>46450</v>
      </c>
      <c r="AJ106" s="7">
        <v>28000</v>
      </c>
      <c r="AK106" s="8">
        <v>30550</v>
      </c>
      <c r="AL106" s="8">
        <v>249000</v>
      </c>
      <c r="AM106" s="8">
        <v>143000</v>
      </c>
      <c r="AN106" s="8">
        <v>28300</v>
      </c>
      <c r="AO106" s="8">
        <v>9530</v>
      </c>
      <c r="AP106" s="7">
        <v>578000</v>
      </c>
      <c r="AQ106" s="7">
        <v>309000</v>
      </c>
      <c r="AR106" s="7">
        <v>12950</v>
      </c>
      <c r="AS106" s="7">
        <v>42150</v>
      </c>
      <c r="AT106" s="7">
        <v>73200</v>
      </c>
      <c r="AU106" s="8">
        <v>200000</v>
      </c>
      <c r="AV106" s="8">
        <v>40500</v>
      </c>
      <c r="AW106" s="8">
        <v>7590</v>
      </c>
      <c r="AX106" s="8">
        <v>171500</v>
      </c>
      <c r="AY106" s="8">
        <v>40750</v>
      </c>
    </row>
    <row r="107" spans="1:74" x14ac:dyDescent="0.4">
      <c r="A107" s="11">
        <v>41299</v>
      </c>
      <c r="B107" s="7">
        <v>49750</v>
      </c>
      <c r="C107" s="7">
        <v>24200</v>
      </c>
      <c r="D107" s="7">
        <v>68200</v>
      </c>
      <c r="E107" s="7">
        <v>221500</v>
      </c>
      <c r="F107" s="7">
        <v>60000</v>
      </c>
      <c r="G107" s="8">
        <v>44750</v>
      </c>
      <c r="H107" s="8">
        <v>63400</v>
      </c>
      <c r="I107" s="8">
        <v>174500</v>
      </c>
      <c r="J107" s="8">
        <v>81700</v>
      </c>
      <c r="K107" s="8">
        <v>201000</v>
      </c>
      <c r="L107" s="7">
        <v>367000</v>
      </c>
      <c r="M107" s="7">
        <v>1417000</v>
      </c>
      <c r="N107" s="7">
        <v>54000</v>
      </c>
      <c r="O107" s="7">
        <v>143000</v>
      </c>
      <c r="P107" s="7">
        <v>93200</v>
      </c>
      <c r="Q107" s="8">
        <v>215500</v>
      </c>
      <c r="R107" s="8">
        <v>173500</v>
      </c>
      <c r="S107" s="8">
        <v>385000</v>
      </c>
      <c r="T107" s="8">
        <v>37150</v>
      </c>
      <c r="U107" s="8">
        <v>98500</v>
      </c>
      <c r="V107" s="7">
        <v>238000</v>
      </c>
      <c r="W107" s="7">
        <v>21200</v>
      </c>
      <c r="X107" s="7">
        <v>263500</v>
      </c>
      <c r="Y107" s="7">
        <v>34750</v>
      </c>
      <c r="Z107" s="7">
        <v>56200</v>
      </c>
      <c r="AA107" s="8">
        <v>170500</v>
      </c>
      <c r="AB107" s="8">
        <v>366500</v>
      </c>
      <c r="AC107" s="8">
        <v>11850</v>
      </c>
      <c r="AD107" s="8">
        <v>150500</v>
      </c>
      <c r="AE107" s="8">
        <v>36500</v>
      </c>
      <c r="AF107" s="7">
        <v>38150</v>
      </c>
      <c r="AG107" s="7">
        <v>108500</v>
      </c>
      <c r="AH107" s="7">
        <v>76000</v>
      </c>
      <c r="AI107" s="7">
        <v>45600</v>
      </c>
      <c r="AJ107" s="7">
        <v>27850</v>
      </c>
      <c r="AK107" s="8">
        <v>31300</v>
      </c>
      <c r="AL107" s="8">
        <v>248500</v>
      </c>
      <c r="AM107" s="8">
        <v>150500</v>
      </c>
      <c r="AN107" s="8">
        <v>29350</v>
      </c>
      <c r="AO107" s="8">
        <v>9390</v>
      </c>
      <c r="AP107" s="7">
        <v>590000</v>
      </c>
      <c r="AQ107" s="7">
        <v>309000</v>
      </c>
      <c r="AR107" s="7">
        <v>12550</v>
      </c>
      <c r="AS107" s="7">
        <v>40500</v>
      </c>
      <c r="AT107" s="7">
        <v>72600</v>
      </c>
      <c r="AU107" s="8">
        <v>189000</v>
      </c>
      <c r="AV107" s="8">
        <v>39250</v>
      </c>
      <c r="AW107" s="8">
        <v>7570</v>
      </c>
      <c r="AX107" s="8">
        <v>169500</v>
      </c>
      <c r="AY107" s="8">
        <v>39500</v>
      </c>
    </row>
    <row r="108" spans="1:74" x14ac:dyDescent="0.4">
      <c r="A108" s="11">
        <v>41298</v>
      </c>
      <c r="B108" s="7">
        <v>52300</v>
      </c>
      <c r="C108" s="7">
        <v>24250</v>
      </c>
      <c r="D108" s="7">
        <v>66700</v>
      </c>
      <c r="E108" s="7">
        <v>217500</v>
      </c>
      <c r="F108" s="7">
        <v>61200</v>
      </c>
      <c r="G108" s="8">
        <v>44900</v>
      </c>
      <c r="H108" s="8">
        <v>64600</v>
      </c>
      <c r="I108" s="8">
        <v>172500</v>
      </c>
      <c r="J108" s="8">
        <v>82700</v>
      </c>
      <c r="K108" s="8">
        <v>208000</v>
      </c>
      <c r="L108" s="7">
        <v>365500</v>
      </c>
      <c r="M108" s="7">
        <v>1453000</v>
      </c>
      <c r="N108" s="7">
        <v>53000</v>
      </c>
      <c r="O108" s="7">
        <v>143000</v>
      </c>
      <c r="P108" s="7">
        <v>95700</v>
      </c>
      <c r="Q108" s="8">
        <v>221500</v>
      </c>
      <c r="R108" s="8">
        <v>178500</v>
      </c>
      <c r="S108" s="8">
        <v>403500</v>
      </c>
      <c r="T108" s="8">
        <v>37600</v>
      </c>
      <c r="U108" s="8">
        <v>98400</v>
      </c>
      <c r="V108" s="7">
        <v>239000</v>
      </c>
      <c r="W108" s="7">
        <v>21250</v>
      </c>
      <c r="X108" s="7">
        <v>264500</v>
      </c>
      <c r="Y108" s="7">
        <v>34300</v>
      </c>
      <c r="Z108" s="7">
        <v>56400</v>
      </c>
      <c r="AA108" s="8">
        <v>171500</v>
      </c>
      <c r="AB108" s="8">
        <v>366500</v>
      </c>
      <c r="AC108" s="8">
        <v>11800</v>
      </c>
      <c r="AD108" s="8">
        <v>151500</v>
      </c>
      <c r="AE108" s="8">
        <v>36750</v>
      </c>
      <c r="AF108" s="7">
        <v>38750</v>
      </c>
      <c r="AG108" s="7">
        <v>106000</v>
      </c>
      <c r="AH108" s="7">
        <v>75900</v>
      </c>
      <c r="AI108" s="7">
        <v>45550</v>
      </c>
      <c r="AJ108" s="7">
        <v>28550</v>
      </c>
      <c r="AK108" s="8">
        <v>30500</v>
      </c>
      <c r="AL108" s="8">
        <v>247000</v>
      </c>
      <c r="AM108" s="8">
        <v>151000</v>
      </c>
      <c r="AN108" s="8">
        <v>29200</v>
      </c>
      <c r="AO108" s="8">
        <v>9340</v>
      </c>
      <c r="AP108" s="7">
        <v>603000</v>
      </c>
      <c r="AQ108" s="7">
        <v>310500</v>
      </c>
      <c r="AR108" s="7">
        <v>12200</v>
      </c>
      <c r="AS108" s="7">
        <v>40150</v>
      </c>
      <c r="AT108" s="7">
        <v>73600</v>
      </c>
      <c r="AU108" s="8">
        <v>198500</v>
      </c>
      <c r="AV108" s="8">
        <v>39350</v>
      </c>
      <c r="AW108" s="8">
        <v>7680</v>
      </c>
      <c r="AX108" s="8">
        <v>170000</v>
      </c>
      <c r="AY108" s="8">
        <v>39400</v>
      </c>
    </row>
    <row r="109" spans="1:74" x14ac:dyDescent="0.4">
      <c r="A109" s="12">
        <v>41297</v>
      </c>
      <c r="B109" s="9">
        <v>54200</v>
      </c>
      <c r="C109" s="9">
        <v>24650</v>
      </c>
      <c r="D109" s="9">
        <v>67800</v>
      </c>
      <c r="E109" s="9">
        <v>215000</v>
      </c>
      <c r="F109" s="9">
        <v>61200</v>
      </c>
      <c r="G109" s="10">
        <v>45100</v>
      </c>
      <c r="H109" s="10">
        <v>65300</v>
      </c>
      <c r="I109" s="10">
        <v>174000</v>
      </c>
      <c r="J109" s="10">
        <v>82300</v>
      </c>
      <c r="K109" s="10">
        <v>218000</v>
      </c>
      <c r="L109" s="9">
        <v>360500</v>
      </c>
      <c r="M109" s="9">
        <v>1473000</v>
      </c>
      <c r="N109" s="9">
        <v>53100</v>
      </c>
      <c r="O109" s="9">
        <v>147000</v>
      </c>
      <c r="P109" s="9">
        <v>96400</v>
      </c>
      <c r="Q109" s="10">
        <v>226500</v>
      </c>
      <c r="R109" s="10">
        <v>176000</v>
      </c>
      <c r="S109" s="10">
        <v>400000</v>
      </c>
      <c r="T109" s="10">
        <v>37350</v>
      </c>
      <c r="U109" s="10">
        <v>98000</v>
      </c>
      <c r="V109" s="9">
        <v>238500</v>
      </c>
      <c r="W109" s="9">
        <v>21800</v>
      </c>
      <c r="X109" s="9">
        <v>272000</v>
      </c>
      <c r="Y109" s="9">
        <v>33700</v>
      </c>
      <c r="Z109" s="9">
        <v>56400</v>
      </c>
      <c r="AA109" s="10">
        <v>171500</v>
      </c>
      <c r="AB109" s="10">
        <v>363000</v>
      </c>
      <c r="AC109" s="10">
        <v>11900</v>
      </c>
      <c r="AD109" s="10">
        <v>153500</v>
      </c>
      <c r="AE109" s="10">
        <v>36350</v>
      </c>
      <c r="AF109" s="9">
        <v>38400</v>
      </c>
      <c r="AG109" s="9">
        <v>107000</v>
      </c>
      <c r="AH109" s="9">
        <v>75600</v>
      </c>
      <c r="AI109" s="9">
        <v>45950</v>
      </c>
      <c r="AJ109" s="9">
        <v>28900</v>
      </c>
      <c r="AK109" s="10">
        <v>29700</v>
      </c>
      <c r="AL109" s="10">
        <v>247500</v>
      </c>
      <c r="AM109" s="10">
        <v>150000</v>
      </c>
      <c r="AN109" s="10">
        <v>29000</v>
      </c>
      <c r="AO109" s="10">
        <v>9260</v>
      </c>
      <c r="AP109" s="9">
        <v>619000</v>
      </c>
      <c r="AQ109" s="9">
        <v>312000</v>
      </c>
      <c r="AR109" s="9">
        <v>12200</v>
      </c>
      <c r="AS109" s="9">
        <v>40550</v>
      </c>
      <c r="AT109" s="9">
        <v>75600</v>
      </c>
      <c r="AU109" s="10">
        <v>204000</v>
      </c>
      <c r="AV109" s="10">
        <v>39550</v>
      </c>
      <c r="AW109" s="10">
        <v>7700</v>
      </c>
      <c r="AX109" s="10">
        <v>168500</v>
      </c>
      <c r="AY109" s="10">
        <v>39500</v>
      </c>
    </row>
    <row r="110" spans="1:74" x14ac:dyDescent="0.4">
      <c r="A110" s="11">
        <v>41296</v>
      </c>
      <c r="B110" s="7">
        <v>54300</v>
      </c>
      <c r="C110" s="7">
        <v>25050</v>
      </c>
      <c r="D110" s="7">
        <v>69900</v>
      </c>
      <c r="E110" s="7">
        <v>214500</v>
      </c>
      <c r="F110" s="7">
        <v>62300</v>
      </c>
      <c r="G110" s="8">
        <v>45400</v>
      </c>
      <c r="H110" s="8">
        <v>65600</v>
      </c>
      <c r="I110" s="8">
        <v>175000</v>
      </c>
      <c r="J110" s="8">
        <v>84000</v>
      </c>
      <c r="K110" s="8">
        <v>214500</v>
      </c>
      <c r="L110" s="7">
        <v>361500</v>
      </c>
      <c r="M110" s="7">
        <v>1480000</v>
      </c>
      <c r="N110" s="7">
        <v>55300</v>
      </c>
      <c r="O110" s="7">
        <v>146000</v>
      </c>
      <c r="P110" s="7">
        <v>94300</v>
      </c>
      <c r="Q110" s="8">
        <v>231000</v>
      </c>
      <c r="R110" s="8">
        <v>175000</v>
      </c>
      <c r="S110" s="8">
        <v>401000</v>
      </c>
      <c r="T110" s="8">
        <v>38200</v>
      </c>
      <c r="U110" s="8">
        <v>97500</v>
      </c>
      <c r="V110" s="7">
        <v>244000</v>
      </c>
      <c r="W110" s="7">
        <v>21950</v>
      </c>
      <c r="X110" s="7">
        <v>270500</v>
      </c>
      <c r="Y110" s="7">
        <v>34400</v>
      </c>
      <c r="Z110" s="7">
        <v>56800</v>
      </c>
      <c r="AA110" s="8">
        <v>173500</v>
      </c>
      <c r="AB110" s="8">
        <v>375000</v>
      </c>
      <c r="AC110" s="8">
        <v>12000</v>
      </c>
      <c r="AD110" s="8">
        <v>156000</v>
      </c>
      <c r="AE110" s="8">
        <v>37650</v>
      </c>
      <c r="AF110" s="7">
        <v>38500</v>
      </c>
      <c r="AG110" s="7">
        <v>106000</v>
      </c>
      <c r="AH110" s="7">
        <v>75400</v>
      </c>
      <c r="AI110" s="7">
        <v>46500</v>
      </c>
      <c r="AJ110" s="7">
        <v>29300</v>
      </c>
      <c r="AK110" s="8">
        <v>30150</v>
      </c>
      <c r="AL110" s="8">
        <v>246500</v>
      </c>
      <c r="AM110" s="8">
        <v>145500</v>
      </c>
      <c r="AN110" s="8">
        <v>29500</v>
      </c>
      <c r="AO110" s="8">
        <v>9520</v>
      </c>
      <c r="AP110" s="7">
        <v>669000</v>
      </c>
      <c r="AQ110" s="7">
        <v>312500</v>
      </c>
      <c r="AR110" s="7">
        <v>12600</v>
      </c>
      <c r="AS110" s="7">
        <v>40850</v>
      </c>
      <c r="AT110" s="7">
        <v>76200</v>
      </c>
      <c r="AU110" s="8">
        <v>209500</v>
      </c>
      <c r="AV110" s="8">
        <v>39600</v>
      </c>
      <c r="AW110" s="8">
        <v>7920</v>
      </c>
      <c r="AX110" s="8">
        <v>166000</v>
      </c>
      <c r="AY110" s="8">
        <v>40100</v>
      </c>
    </row>
    <row r="111" spans="1:74" x14ac:dyDescent="0.4">
      <c r="A111" s="11">
        <v>41295</v>
      </c>
      <c r="B111" s="7">
        <v>53400</v>
      </c>
      <c r="C111" s="7">
        <v>25750</v>
      </c>
      <c r="D111" s="7">
        <v>70800</v>
      </c>
      <c r="E111" s="7">
        <v>214500</v>
      </c>
      <c r="F111" s="7">
        <v>63000</v>
      </c>
      <c r="G111" s="8">
        <v>45650</v>
      </c>
      <c r="H111" s="8">
        <v>65200</v>
      </c>
      <c r="I111" s="8">
        <v>173000</v>
      </c>
      <c r="J111" s="8">
        <v>83300</v>
      </c>
      <c r="K111" s="8">
        <v>210500</v>
      </c>
      <c r="L111" s="7">
        <v>358000</v>
      </c>
      <c r="M111" s="7">
        <v>1454000</v>
      </c>
      <c r="N111" s="7">
        <v>55700</v>
      </c>
      <c r="O111" s="7">
        <v>145000</v>
      </c>
      <c r="P111" s="7">
        <v>93800</v>
      </c>
      <c r="Q111" s="8">
        <v>230500</v>
      </c>
      <c r="R111" s="8">
        <v>178000</v>
      </c>
      <c r="S111" s="8">
        <v>400000</v>
      </c>
      <c r="T111" s="8">
        <v>37700</v>
      </c>
      <c r="U111" s="8">
        <v>98400</v>
      </c>
      <c r="V111" s="7">
        <v>250000</v>
      </c>
      <c r="W111" s="7">
        <v>22050</v>
      </c>
      <c r="X111" s="7">
        <v>263500</v>
      </c>
      <c r="Y111" s="7">
        <v>33850</v>
      </c>
      <c r="Z111" s="7">
        <v>56900</v>
      </c>
      <c r="AA111" s="8">
        <v>169000</v>
      </c>
      <c r="AB111" s="8">
        <v>389000</v>
      </c>
      <c r="AC111" s="8">
        <v>12000</v>
      </c>
      <c r="AD111" s="8">
        <v>156000</v>
      </c>
      <c r="AE111" s="8">
        <v>37700</v>
      </c>
      <c r="AF111" s="7">
        <v>37100</v>
      </c>
      <c r="AG111" s="7">
        <v>108500</v>
      </c>
      <c r="AH111" s="7">
        <v>75600</v>
      </c>
      <c r="AI111" s="7">
        <v>46700</v>
      </c>
      <c r="AJ111" s="7">
        <v>28500</v>
      </c>
      <c r="AK111" s="8">
        <v>30000</v>
      </c>
      <c r="AL111" s="8">
        <v>243000</v>
      </c>
      <c r="AM111" s="8">
        <v>145500</v>
      </c>
      <c r="AN111" s="8">
        <v>28900</v>
      </c>
      <c r="AO111" s="8">
        <v>9650</v>
      </c>
      <c r="AP111" s="7">
        <v>665000</v>
      </c>
      <c r="AQ111" s="7">
        <v>316000</v>
      </c>
      <c r="AR111" s="7">
        <v>12650</v>
      </c>
      <c r="AS111" s="7">
        <v>40650</v>
      </c>
      <c r="AT111" s="7">
        <v>76300</v>
      </c>
      <c r="AU111" s="8">
        <v>203000</v>
      </c>
      <c r="AV111" s="8">
        <v>38650</v>
      </c>
      <c r="AW111" s="8">
        <v>8040</v>
      </c>
      <c r="AX111" s="8">
        <v>169000</v>
      </c>
      <c r="AY111" s="8">
        <v>40000</v>
      </c>
    </row>
    <row r="112" spans="1:74" x14ac:dyDescent="0.4">
      <c r="A112" s="11">
        <v>41292</v>
      </c>
      <c r="B112" s="7">
        <v>54200</v>
      </c>
      <c r="C112" s="7">
        <v>25600</v>
      </c>
      <c r="D112" s="7">
        <v>72000</v>
      </c>
      <c r="E112" s="7">
        <v>212500</v>
      </c>
      <c r="F112" s="7">
        <v>62700</v>
      </c>
      <c r="G112" s="8">
        <v>45600</v>
      </c>
      <c r="H112" s="8">
        <v>64900</v>
      </c>
      <c r="I112" s="8">
        <v>170000</v>
      </c>
      <c r="J112" s="8">
        <v>83000</v>
      </c>
      <c r="K112" s="8">
        <v>213500</v>
      </c>
      <c r="L112" s="7">
        <v>357000</v>
      </c>
      <c r="M112" s="7">
        <v>1480000</v>
      </c>
      <c r="N112" s="7">
        <v>56100</v>
      </c>
      <c r="O112" s="7">
        <v>146000</v>
      </c>
      <c r="P112" s="7">
        <v>94200</v>
      </c>
      <c r="Q112" s="8">
        <v>229000</v>
      </c>
      <c r="R112" s="8">
        <v>179500</v>
      </c>
      <c r="S112" s="8">
        <v>405000</v>
      </c>
      <c r="T112" s="8">
        <v>37400</v>
      </c>
      <c r="U112" s="8">
        <v>97400</v>
      </c>
      <c r="V112" s="7">
        <v>256000</v>
      </c>
      <c r="W112" s="7">
        <v>22000</v>
      </c>
      <c r="X112" s="7">
        <v>260500</v>
      </c>
      <c r="Y112" s="7">
        <v>34250</v>
      </c>
      <c r="Z112" s="7">
        <v>56500</v>
      </c>
      <c r="AA112" s="8">
        <v>164000</v>
      </c>
      <c r="AB112" s="8">
        <v>385500</v>
      </c>
      <c r="AC112" s="8">
        <v>11850</v>
      </c>
      <c r="AD112" s="8">
        <v>156500</v>
      </c>
      <c r="AE112" s="8">
        <v>37000</v>
      </c>
      <c r="AF112" s="7">
        <v>37150</v>
      </c>
      <c r="AG112" s="7">
        <v>106500</v>
      </c>
      <c r="AH112" s="7">
        <v>76600</v>
      </c>
      <c r="AI112" s="7">
        <v>47000</v>
      </c>
      <c r="AJ112" s="7">
        <v>28800</v>
      </c>
      <c r="AK112" s="8">
        <v>30350</v>
      </c>
      <c r="AL112" s="8">
        <v>237000</v>
      </c>
      <c r="AM112" s="8">
        <v>142000</v>
      </c>
      <c r="AN112" s="8">
        <v>28000</v>
      </c>
      <c r="AO112" s="8">
        <v>9480</v>
      </c>
      <c r="AP112" s="7">
        <v>669000</v>
      </c>
      <c r="AQ112" s="7">
        <v>317500</v>
      </c>
      <c r="AR112" s="7">
        <v>12400</v>
      </c>
      <c r="AS112" s="7">
        <v>40200</v>
      </c>
      <c r="AT112" s="7">
        <v>74800</v>
      </c>
      <c r="AU112" s="8">
        <v>206500</v>
      </c>
      <c r="AV112" s="8">
        <v>38400</v>
      </c>
      <c r="AW112" s="8">
        <v>7900</v>
      </c>
      <c r="AX112" s="8">
        <v>164000</v>
      </c>
      <c r="AY112" s="8">
        <v>39400</v>
      </c>
    </row>
    <row r="113" spans="1:51" x14ac:dyDescent="0.4">
      <c r="A113" s="11">
        <v>41291</v>
      </c>
      <c r="B113" s="7">
        <v>55000</v>
      </c>
      <c r="C113" s="7">
        <v>25900</v>
      </c>
      <c r="D113" s="7">
        <v>71300</v>
      </c>
      <c r="E113" s="7">
        <v>211500</v>
      </c>
      <c r="F113" s="7">
        <v>62400</v>
      </c>
      <c r="G113" s="8">
        <v>46000</v>
      </c>
      <c r="H113" s="8">
        <v>64400</v>
      </c>
      <c r="I113" s="8">
        <v>181000</v>
      </c>
      <c r="J113" s="8">
        <v>81900</v>
      </c>
      <c r="K113" s="8">
        <v>212500</v>
      </c>
      <c r="L113" s="7">
        <v>355500</v>
      </c>
      <c r="M113" s="7">
        <v>1469000</v>
      </c>
      <c r="N113" s="7">
        <v>54900</v>
      </c>
      <c r="O113" s="7">
        <v>148000</v>
      </c>
      <c r="P113" s="7">
        <v>93100</v>
      </c>
      <c r="Q113" s="8">
        <v>227500</v>
      </c>
      <c r="R113" s="8">
        <v>178000</v>
      </c>
      <c r="S113" s="8">
        <v>403000</v>
      </c>
      <c r="T113" s="8">
        <v>37300</v>
      </c>
      <c r="U113" s="8">
        <v>97000</v>
      </c>
      <c r="V113" s="7">
        <v>254000</v>
      </c>
      <c r="W113" s="7">
        <v>22000</v>
      </c>
      <c r="X113" s="7">
        <v>262000</v>
      </c>
      <c r="Y113" s="7">
        <v>33750</v>
      </c>
      <c r="Z113" s="7">
        <v>55400</v>
      </c>
      <c r="AA113" s="8">
        <v>164000</v>
      </c>
      <c r="AB113" s="8">
        <v>384000</v>
      </c>
      <c r="AC113" s="8">
        <v>11700</v>
      </c>
      <c r="AD113" s="8">
        <v>155000</v>
      </c>
      <c r="AE113" s="8">
        <v>37150</v>
      </c>
      <c r="AF113" s="7">
        <v>36900</v>
      </c>
      <c r="AG113" s="7">
        <v>101000</v>
      </c>
      <c r="AH113" s="7">
        <v>77800</v>
      </c>
      <c r="AI113" s="7">
        <v>46800</v>
      </c>
      <c r="AJ113" s="7">
        <v>28400</v>
      </c>
      <c r="AK113" s="8">
        <v>30300</v>
      </c>
      <c r="AL113" s="8">
        <v>234500</v>
      </c>
      <c r="AM113" s="8">
        <v>143000</v>
      </c>
      <c r="AN113" s="8">
        <v>28550</v>
      </c>
      <c r="AO113" s="8">
        <v>9520</v>
      </c>
      <c r="AP113" s="7">
        <v>660000</v>
      </c>
      <c r="AQ113" s="7">
        <v>318500</v>
      </c>
      <c r="AR113" s="7">
        <v>11950</v>
      </c>
      <c r="AS113" s="7">
        <v>39400</v>
      </c>
      <c r="AT113" s="7">
        <v>73800</v>
      </c>
      <c r="AU113" s="8">
        <v>206000</v>
      </c>
      <c r="AV113" s="8">
        <v>37600</v>
      </c>
      <c r="AW113" s="8">
        <v>7830</v>
      </c>
      <c r="AX113" s="8">
        <v>164500</v>
      </c>
      <c r="AY113" s="8">
        <v>38850</v>
      </c>
    </row>
    <row r="114" spans="1:51" x14ac:dyDescent="0.4">
      <c r="A114" s="12">
        <v>41290</v>
      </c>
      <c r="B114" s="9">
        <v>54600</v>
      </c>
      <c r="C114" s="9">
        <v>26200</v>
      </c>
      <c r="D114" s="9">
        <v>71600</v>
      </c>
      <c r="E114" s="9">
        <v>211000</v>
      </c>
      <c r="F114" s="9">
        <v>62300</v>
      </c>
      <c r="G114" s="10">
        <v>45900</v>
      </c>
      <c r="H114" s="10">
        <v>64200</v>
      </c>
      <c r="I114" s="10">
        <v>180000</v>
      </c>
      <c r="J114" s="10">
        <v>81700</v>
      </c>
      <c r="K114" s="10">
        <v>210500</v>
      </c>
      <c r="L114" s="9">
        <v>356500</v>
      </c>
      <c r="M114" s="9">
        <v>1492000</v>
      </c>
      <c r="N114" s="9">
        <v>55000</v>
      </c>
      <c r="O114" s="9">
        <v>149000</v>
      </c>
      <c r="P114" s="9">
        <v>94700</v>
      </c>
      <c r="Q114" s="10">
        <v>227500</v>
      </c>
      <c r="R114" s="10">
        <v>183500</v>
      </c>
      <c r="S114" s="10">
        <v>403000</v>
      </c>
      <c r="T114" s="10">
        <v>37850</v>
      </c>
      <c r="U114" s="10">
        <v>97000</v>
      </c>
      <c r="V114" s="9">
        <v>252000</v>
      </c>
      <c r="W114" s="9">
        <v>22150</v>
      </c>
      <c r="X114" s="9">
        <v>257500</v>
      </c>
      <c r="Y114" s="9">
        <v>33900</v>
      </c>
      <c r="Z114" s="9">
        <v>54300</v>
      </c>
      <c r="AA114" s="10">
        <v>166000</v>
      </c>
      <c r="AB114" s="10">
        <v>385000</v>
      </c>
      <c r="AC114" s="10">
        <v>11700</v>
      </c>
      <c r="AD114" s="10">
        <v>154500</v>
      </c>
      <c r="AE114" s="10">
        <v>36000</v>
      </c>
      <c r="AF114" s="9">
        <v>36700</v>
      </c>
      <c r="AG114" s="9">
        <v>99900</v>
      </c>
      <c r="AH114" s="9">
        <v>77900</v>
      </c>
      <c r="AI114" s="9">
        <v>47300</v>
      </c>
      <c r="AJ114" s="9">
        <v>27450</v>
      </c>
      <c r="AK114" s="10">
        <v>29600</v>
      </c>
      <c r="AL114" s="10">
        <v>232000</v>
      </c>
      <c r="AM114" s="10">
        <v>142500</v>
      </c>
      <c r="AN114" s="10">
        <v>29200</v>
      </c>
      <c r="AO114" s="10">
        <v>9510</v>
      </c>
      <c r="AP114" s="9">
        <v>652000</v>
      </c>
      <c r="AQ114" s="9">
        <v>313500</v>
      </c>
      <c r="AR114" s="9">
        <v>12000</v>
      </c>
      <c r="AS114" s="9">
        <v>39250</v>
      </c>
      <c r="AT114" s="9">
        <v>72500</v>
      </c>
      <c r="AU114" s="10">
        <v>206000</v>
      </c>
      <c r="AV114" s="10">
        <v>37450</v>
      </c>
      <c r="AW114" s="10">
        <v>7710</v>
      </c>
      <c r="AX114" s="10">
        <v>164500</v>
      </c>
      <c r="AY114" s="10">
        <v>38500</v>
      </c>
    </row>
    <row r="115" spans="1:51" x14ac:dyDescent="0.4">
      <c r="A115" s="11">
        <v>41289</v>
      </c>
      <c r="B115" s="7">
        <v>53400</v>
      </c>
      <c r="C115" s="7">
        <v>25950</v>
      </c>
      <c r="D115" s="7">
        <v>70000</v>
      </c>
      <c r="E115" s="7">
        <v>211000</v>
      </c>
      <c r="F115" s="7">
        <v>61400</v>
      </c>
      <c r="G115" s="8">
        <v>47100</v>
      </c>
      <c r="H115" s="8">
        <v>64300</v>
      </c>
      <c r="I115" s="8">
        <v>173000</v>
      </c>
      <c r="J115" s="8">
        <v>81900</v>
      </c>
      <c r="K115" s="8">
        <v>209000</v>
      </c>
      <c r="L115" s="7">
        <v>358500</v>
      </c>
      <c r="M115" s="7">
        <v>1512000</v>
      </c>
      <c r="N115" s="7">
        <v>54200</v>
      </c>
      <c r="O115" s="7">
        <v>148500</v>
      </c>
      <c r="P115" s="7">
        <v>94400</v>
      </c>
      <c r="Q115" s="8">
        <v>229000</v>
      </c>
      <c r="R115" s="8">
        <v>184000</v>
      </c>
      <c r="S115" s="8">
        <v>393500</v>
      </c>
      <c r="T115" s="8">
        <v>37200</v>
      </c>
      <c r="U115" s="8">
        <v>96800</v>
      </c>
      <c r="V115" s="7">
        <v>251000</v>
      </c>
      <c r="W115" s="7">
        <v>22500</v>
      </c>
      <c r="X115" s="7">
        <v>255500</v>
      </c>
      <c r="Y115" s="7">
        <v>33450</v>
      </c>
      <c r="Z115" s="7">
        <v>53900</v>
      </c>
      <c r="AA115" s="8">
        <v>165000</v>
      </c>
      <c r="AB115" s="8">
        <v>385500</v>
      </c>
      <c r="AC115" s="8">
        <v>11750</v>
      </c>
      <c r="AD115" s="8">
        <v>153500</v>
      </c>
      <c r="AE115" s="8">
        <v>36550</v>
      </c>
      <c r="AF115" s="7">
        <v>36200</v>
      </c>
      <c r="AG115" s="7">
        <v>98800</v>
      </c>
      <c r="AH115" s="7">
        <v>81000</v>
      </c>
      <c r="AI115" s="7">
        <v>47650</v>
      </c>
      <c r="AJ115" s="7">
        <v>27900</v>
      </c>
      <c r="AK115" s="8">
        <v>30050</v>
      </c>
      <c r="AL115" s="8">
        <v>234500</v>
      </c>
      <c r="AM115" s="8">
        <v>141500</v>
      </c>
      <c r="AN115" s="8">
        <v>28900</v>
      </c>
      <c r="AO115" s="8">
        <v>9590</v>
      </c>
      <c r="AP115" s="7">
        <v>668000</v>
      </c>
      <c r="AQ115" s="7">
        <v>316000</v>
      </c>
      <c r="AR115" s="7">
        <v>11650</v>
      </c>
      <c r="AS115" s="7">
        <v>39350</v>
      </c>
      <c r="AT115" s="7">
        <v>73500</v>
      </c>
      <c r="AU115" s="8">
        <v>205000</v>
      </c>
      <c r="AV115" s="8">
        <v>37250</v>
      </c>
      <c r="AW115" s="8">
        <v>7700</v>
      </c>
      <c r="AX115" s="8">
        <v>163000</v>
      </c>
      <c r="AY115" s="8">
        <v>38200</v>
      </c>
    </row>
    <row r="116" spans="1:51" x14ac:dyDescent="0.4">
      <c r="A116" s="11">
        <v>41288</v>
      </c>
      <c r="B116" s="7">
        <v>53500</v>
      </c>
      <c r="C116" s="7">
        <v>26950</v>
      </c>
      <c r="D116" s="7">
        <v>71600</v>
      </c>
      <c r="E116" s="7">
        <v>212500</v>
      </c>
      <c r="F116" s="7">
        <v>62000</v>
      </c>
      <c r="G116" s="8">
        <v>47550</v>
      </c>
      <c r="H116" s="8">
        <v>65200</v>
      </c>
      <c r="I116" s="8">
        <v>178000</v>
      </c>
      <c r="J116" s="8">
        <v>82900</v>
      </c>
      <c r="K116" s="8">
        <v>209000</v>
      </c>
      <c r="L116" s="7">
        <v>362000</v>
      </c>
      <c r="M116" s="7">
        <v>1552000</v>
      </c>
      <c r="N116" s="7">
        <v>55700</v>
      </c>
      <c r="O116" s="7">
        <v>149000</v>
      </c>
      <c r="P116" s="7">
        <v>94500</v>
      </c>
      <c r="Q116" s="8">
        <v>235500</v>
      </c>
      <c r="R116" s="8">
        <v>191500</v>
      </c>
      <c r="S116" s="8">
        <v>394500</v>
      </c>
      <c r="T116" s="8">
        <v>37850</v>
      </c>
      <c r="U116" s="8">
        <v>97400</v>
      </c>
      <c r="V116" s="7">
        <v>252000</v>
      </c>
      <c r="W116" s="7">
        <v>22800</v>
      </c>
      <c r="X116" s="7">
        <v>253000</v>
      </c>
      <c r="Y116" s="7">
        <v>34850</v>
      </c>
      <c r="Z116" s="7">
        <v>54200</v>
      </c>
      <c r="AA116" s="8">
        <v>160500</v>
      </c>
      <c r="AB116" s="8">
        <v>383000</v>
      </c>
      <c r="AC116" s="8">
        <v>11850</v>
      </c>
      <c r="AD116" s="8">
        <v>155000</v>
      </c>
      <c r="AE116" s="8">
        <v>37100</v>
      </c>
      <c r="AF116" s="7">
        <v>36300</v>
      </c>
      <c r="AG116" s="7">
        <v>97900</v>
      </c>
      <c r="AH116" s="7">
        <v>78600</v>
      </c>
      <c r="AI116" s="7">
        <v>48850</v>
      </c>
      <c r="AJ116" s="7">
        <v>28900</v>
      </c>
      <c r="AK116" s="8">
        <v>30000</v>
      </c>
      <c r="AL116" s="8">
        <v>237000</v>
      </c>
      <c r="AM116" s="8">
        <v>147000</v>
      </c>
      <c r="AN116" s="8">
        <v>29050</v>
      </c>
      <c r="AO116" s="8">
        <v>9740</v>
      </c>
      <c r="AP116" s="7">
        <v>653000</v>
      </c>
      <c r="AQ116" s="7">
        <v>318500</v>
      </c>
      <c r="AR116" s="7">
        <v>11500</v>
      </c>
      <c r="AS116" s="7">
        <v>39250</v>
      </c>
      <c r="AT116" s="7">
        <v>75200</v>
      </c>
      <c r="AU116" s="8">
        <v>205500</v>
      </c>
      <c r="AV116" s="8">
        <v>36900</v>
      </c>
      <c r="AW116" s="8">
        <v>7780</v>
      </c>
      <c r="AX116" s="8">
        <v>165500</v>
      </c>
      <c r="AY116" s="8">
        <v>38800</v>
      </c>
    </row>
    <row r="117" spans="1:51" x14ac:dyDescent="0.4">
      <c r="A117" s="11">
        <v>41285</v>
      </c>
      <c r="B117" s="7">
        <v>53700</v>
      </c>
      <c r="C117" s="7">
        <v>27100</v>
      </c>
      <c r="D117" s="7">
        <v>73200</v>
      </c>
      <c r="E117" s="7">
        <v>211000</v>
      </c>
      <c r="F117" s="7">
        <v>61100</v>
      </c>
      <c r="G117" s="8">
        <v>48150</v>
      </c>
      <c r="H117" s="8">
        <v>65500</v>
      </c>
      <c r="I117" s="8">
        <v>181000</v>
      </c>
      <c r="J117" s="8">
        <v>85300</v>
      </c>
      <c r="K117" s="8">
        <v>206000</v>
      </c>
      <c r="L117" s="7">
        <v>359500</v>
      </c>
      <c r="M117" s="7">
        <v>1533000</v>
      </c>
      <c r="N117" s="7">
        <v>56200</v>
      </c>
      <c r="O117" s="7">
        <v>150500</v>
      </c>
      <c r="P117" s="7">
        <v>96800</v>
      </c>
      <c r="Q117" s="8">
        <v>238000</v>
      </c>
      <c r="R117" s="8">
        <v>191500</v>
      </c>
      <c r="S117" s="8">
        <v>394000</v>
      </c>
      <c r="T117" s="8">
        <v>36750</v>
      </c>
      <c r="U117" s="8">
        <v>97600</v>
      </c>
      <c r="V117" s="7">
        <v>257500</v>
      </c>
      <c r="W117" s="7">
        <v>22350</v>
      </c>
      <c r="X117" s="7">
        <v>258000</v>
      </c>
      <c r="Y117" s="7">
        <v>33650</v>
      </c>
      <c r="Z117" s="7">
        <v>53900</v>
      </c>
      <c r="AA117" s="8">
        <v>154000</v>
      </c>
      <c r="AB117" s="8">
        <v>380000</v>
      </c>
      <c r="AC117" s="8">
        <v>11850</v>
      </c>
      <c r="AD117" s="8">
        <v>160500</v>
      </c>
      <c r="AE117" s="8">
        <v>36400</v>
      </c>
      <c r="AF117" s="7">
        <v>35150</v>
      </c>
      <c r="AG117" s="7">
        <v>96100</v>
      </c>
      <c r="AH117" s="7">
        <v>79100</v>
      </c>
      <c r="AI117" s="7">
        <v>47800</v>
      </c>
      <c r="AJ117" s="7">
        <v>29550</v>
      </c>
      <c r="AK117" s="8">
        <v>30000</v>
      </c>
      <c r="AL117" s="8">
        <v>228500</v>
      </c>
      <c r="AM117" s="8">
        <v>142000</v>
      </c>
      <c r="AN117" s="8">
        <v>28350</v>
      </c>
      <c r="AO117" s="8">
        <v>9510</v>
      </c>
      <c r="AP117" s="7">
        <v>650000</v>
      </c>
      <c r="AQ117" s="7">
        <v>324000</v>
      </c>
      <c r="AR117" s="7">
        <v>11350</v>
      </c>
      <c r="AS117" s="7">
        <v>38900</v>
      </c>
      <c r="AT117" s="7">
        <v>75100</v>
      </c>
      <c r="AU117" s="8">
        <v>210000</v>
      </c>
      <c r="AV117" s="8">
        <v>36100</v>
      </c>
      <c r="AW117" s="8">
        <v>7790</v>
      </c>
      <c r="AX117" s="8">
        <v>169000</v>
      </c>
      <c r="AY117" s="8">
        <v>37850</v>
      </c>
    </row>
    <row r="118" spans="1:51" x14ac:dyDescent="0.4">
      <c r="A118" s="11">
        <v>41284</v>
      </c>
      <c r="B118" s="7">
        <v>54900</v>
      </c>
      <c r="C118" s="7">
        <v>26800</v>
      </c>
      <c r="D118" s="7">
        <v>73800</v>
      </c>
      <c r="E118" s="7">
        <v>211000</v>
      </c>
      <c r="F118" s="7">
        <v>62500</v>
      </c>
      <c r="G118" s="8">
        <v>48350</v>
      </c>
      <c r="H118" s="8">
        <v>66400</v>
      </c>
      <c r="I118" s="8">
        <v>183500</v>
      </c>
      <c r="J118" s="8">
        <v>86200</v>
      </c>
      <c r="K118" s="8">
        <v>209500</v>
      </c>
      <c r="L118" s="7">
        <v>360500</v>
      </c>
      <c r="M118" s="7">
        <v>1530000</v>
      </c>
      <c r="N118" s="7">
        <v>56000</v>
      </c>
      <c r="O118" s="7">
        <v>154000</v>
      </c>
      <c r="P118" s="7">
        <v>98700</v>
      </c>
      <c r="Q118" s="8">
        <v>240000</v>
      </c>
      <c r="R118" s="8">
        <v>192000</v>
      </c>
      <c r="S118" s="8">
        <v>387500</v>
      </c>
      <c r="T118" s="8">
        <v>37450</v>
      </c>
      <c r="U118" s="8">
        <v>98500</v>
      </c>
      <c r="V118" s="7">
        <v>260000</v>
      </c>
      <c r="W118" s="7">
        <v>22200</v>
      </c>
      <c r="X118" s="7">
        <v>266000</v>
      </c>
      <c r="Y118" s="7">
        <v>32800</v>
      </c>
      <c r="Z118" s="7">
        <v>55500</v>
      </c>
      <c r="AA118" s="8">
        <v>153500</v>
      </c>
      <c r="AB118" s="8">
        <v>383000</v>
      </c>
      <c r="AC118" s="8">
        <v>11900</v>
      </c>
      <c r="AD118" s="8">
        <v>163500</v>
      </c>
      <c r="AE118" s="8">
        <v>37500</v>
      </c>
      <c r="AF118" s="7">
        <v>35550</v>
      </c>
      <c r="AG118" s="7">
        <v>97300</v>
      </c>
      <c r="AH118" s="7">
        <v>80100</v>
      </c>
      <c r="AI118" s="7">
        <v>48700</v>
      </c>
      <c r="AJ118" s="7">
        <v>29850</v>
      </c>
      <c r="AK118" s="8">
        <v>29700</v>
      </c>
      <c r="AL118" s="8">
        <v>229000</v>
      </c>
      <c r="AM118" s="8">
        <v>142000</v>
      </c>
      <c r="AN118" s="8">
        <v>28600</v>
      </c>
      <c r="AO118" s="8">
        <v>9640</v>
      </c>
      <c r="AP118" s="7">
        <v>664000</v>
      </c>
      <c r="AQ118" s="7">
        <v>327500</v>
      </c>
      <c r="AR118" s="7">
        <v>11550</v>
      </c>
      <c r="AS118" s="7">
        <v>39700</v>
      </c>
      <c r="AT118" s="7">
        <v>75800</v>
      </c>
      <c r="AU118" s="8">
        <v>213000</v>
      </c>
      <c r="AV118" s="8">
        <v>36400</v>
      </c>
      <c r="AW118" s="8">
        <v>8030</v>
      </c>
      <c r="AX118" s="8">
        <v>171000</v>
      </c>
      <c r="AY118" s="8">
        <v>38250</v>
      </c>
    </row>
    <row r="119" spans="1:51" x14ac:dyDescent="0.4">
      <c r="A119" s="12">
        <v>41283</v>
      </c>
      <c r="B119" s="9">
        <v>54400</v>
      </c>
      <c r="C119" s="9">
        <v>26050</v>
      </c>
      <c r="D119" s="9">
        <v>73800</v>
      </c>
      <c r="E119" s="9">
        <v>211500</v>
      </c>
      <c r="F119" s="9">
        <v>62900</v>
      </c>
      <c r="G119" s="10">
        <v>47300</v>
      </c>
      <c r="H119" s="10">
        <v>66700</v>
      </c>
      <c r="I119" s="10">
        <v>179500</v>
      </c>
      <c r="J119" s="10">
        <v>85100</v>
      </c>
      <c r="K119" s="10">
        <v>207500</v>
      </c>
      <c r="L119" s="9">
        <v>361000</v>
      </c>
      <c r="M119" s="9">
        <v>1500000</v>
      </c>
      <c r="N119" s="9">
        <v>56000</v>
      </c>
      <c r="O119" s="9">
        <v>155000</v>
      </c>
      <c r="P119" s="9">
        <v>99300</v>
      </c>
      <c r="Q119" s="10">
        <v>237000</v>
      </c>
      <c r="R119" s="10">
        <v>185500</v>
      </c>
      <c r="S119" s="10">
        <v>390000</v>
      </c>
      <c r="T119" s="10">
        <v>36750</v>
      </c>
      <c r="U119" s="10">
        <v>98400</v>
      </c>
      <c r="V119" s="9">
        <v>251500</v>
      </c>
      <c r="W119" s="9">
        <v>22250</v>
      </c>
      <c r="X119" s="9">
        <v>267000</v>
      </c>
      <c r="Y119" s="9">
        <v>31650</v>
      </c>
      <c r="Z119" s="9">
        <v>55200</v>
      </c>
      <c r="AA119" s="10">
        <v>153000</v>
      </c>
      <c r="AB119" s="10">
        <v>374000</v>
      </c>
      <c r="AC119" s="10">
        <v>11900</v>
      </c>
      <c r="AD119" s="10">
        <v>164000</v>
      </c>
      <c r="AE119" s="10">
        <v>37500</v>
      </c>
      <c r="AF119" s="9">
        <v>36000</v>
      </c>
      <c r="AG119" s="9">
        <v>97500</v>
      </c>
      <c r="AH119" s="9">
        <v>78400</v>
      </c>
      <c r="AI119" s="9">
        <v>46850</v>
      </c>
      <c r="AJ119" s="9">
        <v>29850</v>
      </c>
      <c r="AK119" s="10">
        <v>30100</v>
      </c>
      <c r="AL119" s="10">
        <v>233500</v>
      </c>
      <c r="AM119" s="10">
        <v>147500</v>
      </c>
      <c r="AN119" s="10">
        <v>27950</v>
      </c>
      <c r="AO119" s="10">
        <v>9670</v>
      </c>
      <c r="AP119" s="9">
        <v>685000</v>
      </c>
      <c r="AQ119" s="9">
        <v>324000</v>
      </c>
      <c r="AR119" s="9">
        <v>11650</v>
      </c>
      <c r="AS119" s="9">
        <v>40000</v>
      </c>
      <c r="AT119" s="9">
        <v>75900</v>
      </c>
      <c r="AU119" s="10">
        <v>212000</v>
      </c>
      <c r="AV119" s="10">
        <v>36500</v>
      </c>
      <c r="AW119" s="10">
        <v>8000</v>
      </c>
      <c r="AX119" s="10">
        <v>171000</v>
      </c>
      <c r="AY119" s="10">
        <v>38200</v>
      </c>
    </row>
    <row r="120" spans="1:51" x14ac:dyDescent="0.4">
      <c r="A120" s="11">
        <v>41282</v>
      </c>
      <c r="B120" s="7">
        <v>54500</v>
      </c>
      <c r="C120" s="7">
        <v>26250</v>
      </c>
      <c r="D120" s="7">
        <v>73700</v>
      </c>
      <c r="E120" s="7">
        <v>215000</v>
      </c>
      <c r="F120" s="7">
        <v>63400</v>
      </c>
      <c r="G120" s="8">
        <v>47650</v>
      </c>
      <c r="H120" s="8">
        <v>67000</v>
      </c>
      <c r="I120" s="8">
        <v>181500</v>
      </c>
      <c r="J120" s="8">
        <v>85500</v>
      </c>
      <c r="K120" s="8">
        <v>210000</v>
      </c>
      <c r="L120" s="7">
        <v>364000</v>
      </c>
      <c r="M120" s="7">
        <v>1500000</v>
      </c>
      <c r="N120" s="7">
        <v>56700</v>
      </c>
      <c r="O120" s="7">
        <v>154000</v>
      </c>
      <c r="P120" s="7">
        <v>100500</v>
      </c>
      <c r="Q120" s="8">
        <v>237000</v>
      </c>
      <c r="R120" s="8">
        <v>183500</v>
      </c>
      <c r="S120" s="8">
        <v>378500</v>
      </c>
      <c r="T120" s="8">
        <v>36850</v>
      </c>
      <c r="U120" s="8">
        <v>100000</v>
      </c>
      <c r="V120" s="7">
        <v>252000</v>
      </c>
      <c r="W120" s="7">
        <v>22500</v>
      </c>
      <c r="X120" s="7">
        <v>264500</v>
      </c>
      <c r="Y120" s="7">
        <v>30850</v>
      </c>
      <c r="Z120" s="7">
        <v>55500</v>
      </c>
      <c r="AA120" s="8">
        <v>154500</v>
      </c>
      <c r="AB120" s="8">
        <v>379500</v>
      </c>
      <c r="AC120" s="8">
        <v>11950</v>
      </c>
      <c r="AD120" s="8">
        <v>167000</v>
      </c>
      <c r="AE120" s="8">
        <v>37200</v>
      </c>
      <c r="AF120" s="7">
        <v>36300</v>
      </c>
      <c r="AG120" s="7">
        <v>96800</v>
      </c>
      <c r="AH120" s="7">
        <v>79800</v>
      </c>
      <c r="AI120" s="7">
        <v>47400</v>
      </c>
      <c r="AJ120" s="7">
        <v>29400</v>
      </c>
      <c r="AK120" s="8">
        <v>29550</v>
      </c>
      <c r="AL120" s="8">
        <v>237000</v>
      </c>
      <c r="AM120" s="8">
        <v>154500</v>
      </c>
      <c r="AN120" s="8">
        <v>27850</v>
      </c>
      <c r="AO120" s="8">
        <v>9880</v>
      </c>
      <c r="AP120" s="7">
        <v>677000</v>
      </c>
      <c r="AQ120" s="7">
        <v>325500</v>
      </c>
      <c r="AR120" s="7">
        <v>11900</v>
      </c>
      <c r="AS120" s="7">
        <v>40200</v>
      </c>
      <c r="AT120" s="7">
        <v>78400</v>
      </c>
      <c r="AU120" s="8">
        <v>213000</v>
      </c>
      <c r="AV120" s="8">
        <v>36900</v>
      </c>
      <c r="AW120" s="8">
        <v>8040</v>
      </c>
      <c r="AX120" s="8">
        <v>174500</v>
      </c>
      <c r="AY120" s="8">
        <v>38750</v>
      </c>
    </row>
    <row r="121" spans="1:51" x14ac:dyDescent="0.4">
      <c r="A121" s="11">
        <v>41281</v>
      </c>
      <c r="B121" s="7">
        <v>54000</v>
      </c>
      <c r="C121" s="7">
        <v>25900</v>
      </c>
      <c r="D121" s="7">
        <v>73200</v>
      </c>
      <c r="E121" s="7">
        <v>216000</v>
      </c>
      <c r="F121" s="7">
        <v>63700</v>
      </c>
      <c r="G121" s="8">
        <v>48400</v>
      </c>
      <c r="H121" s="8">
        <v>67600</v>
      </c>
      <c r="I121" s="8">
        <v>187000</v>
      </c>
      <c r="J121" s="8">
        <v>88200</v>
      </c>
      <c r="K121" s="8">
        <v>208500</v>
      </c>
      <c r="L121" s="7">
        <v>369000</v>
      </c>
      <c r="M121" s="7">
        <v>1520000</v>
      </c>
      <c r="N121" s="7">
        <v>57600</v>
      </c>
      <c r="O121" s="7">
        <v>153500</v>
      </c>
      <c r="P121" s="7">
        <v>100500</v>
      </c>
      <c r="Q121" s="8">
        <v>241500</v>
      </c>
      <c r="R121" s="8">
        <v>183000</v>
      </c>
      <c r="S121" s="8">
        <v>383500</v>
      </c>
      <c r="T121" s="8">
        <v>37550</v>
      </c>
      <c r="U121" s="8">
        <v>102500</v>
      </c>
      <c r="V121" s="7">
        <v>251000</v>
      </c>
      <c r="W121" s="7">
        <v>22600</v>
      </c>
      <c r="X121" s="7">
        <v>263500</v>
      </c>
      <c r="Y121" s="7">
        <v>30800</v>
      </c>
      <c r="Z121" s="7">
        <v>56100</v>
      </c>
      <c r="AA121" s="8">
        <v>156000</v>
      </c>
      <c r="AB121" s="8">
        <v>392000</v>
      </c>
      <c r="AC121" s="8">
        <v>12050</v>
      </c>
      <c r="AD121" s="8">
        <v>167500</v>
      </c>
      <c r="AE121" s="8">
        <v>37550</v>
      </c>
      <c r="AF121" s="7">
        <v>36800</v>
      </c>
      <c r="AG121" s="7">
        <v>97200</v>
      </c>
      <c r="AH121" s="7">
        <v>77800</v>
      </c>
      <c r="AI121" s="7">
        <v>49200</v>
      </c>
      <c r="AJ121" s="7">
        <v>30050</v>
      </c>
      <c r="AK121" s="8">
        <v>29750</v>
      </c>
      <c r="AL121" s="8">
        <v>240000</v>
      </c>
      <c r="AM121" s="8">
        <v>157000</v>
      </c>
      <c r="AN121" s="8">
        <v>27750</v>
      </c>
      <c r="AO121" s="8">
        <v>10050</v>
      </c>
      <c r="AP121" s="7">
        <v>659000</v>
      </c>
      <c r="AQ121" s="7">
        <v>325500</v>
      </c>
      <c r="AR121" s="7">
        <v>12200</v>
      </c>
      <c r="AS121" s="7">
        <v>40300</v>
      </c>
      <c r="AT121" s="7">
        <v>78700</v>
      </c>
      <c r="AU121" s="8">
        <v>214000</v>
      </c>
      <c r="AV121" s="8">
        <v>36800</v>
      </c>
      <c r="AW121" s="8">
        <v>8050</v>
      </c>
      <c r="AX121" s="8">
        <v>178500</v>
      </c>
      <c r="AY121" s="8">
        <v>39850</v>
      </c>
    </row>
    <row r="122" spans="1:51" x14ac:dyDescent="0.4">
      <c r="A122" s="11">
        <v>41278</v>
      </c>
      <c r="B122" s="7">
        <v>53600</v>
      </c>
      <c r="C122" s="7">
        <v>26350</v>
      </c>
      <c r="D122" s="7">
        <v>73700</v>
      </c>
      <c r="E122" s="7">
        <v>214000</v>
      </c>
      <c r="F122" s="7">
        <v>64400</v>
      </c>
      <c r="G122" s="8">
        <v>48400</v>
      </c>
      <c r="H122" s="8">
        <v>67200</v>
      </c>
      <c r="I122" s="8">
        <v>187500</v>
      </c>
      <c r="J122" s="8">
        <v>89000</v>
      </c>
      <c r="K122" s="8">
        <v>206000</v>
      </c>
      <c r="L122" s="7">
        <v>367000</v>
      </c>
      <c r="M122" s="7">
        <v>1525000</v>
      </c>
      <c r="N122" s="7">
        <v>58500</v>
      </c>
      <c r="O122" s="7">
        <v>157000</v>
      </c>
      <c r="P122" s="7">
        <v>99000</v>
      </c>
      <c r="Q122" s="8">
        <v>243500</v>
      </c>
      <c r="R122" s="8">
        <v>181000</v>
      </c>
      <c r="S122" s="8">
        <v>378000</v>
      </c>
      <c r="T122" s="8">
        <v>38300</v>
      </c>
      <c r="U122" s="8">
        <v>105000</v>
      </c>
      <c r="V122" s="7">
        <v>254500</v>
      </c>
      <c r="W122" s="7">
        <v>22550</v>
      </c>
      <c r="X122" s="7">
        <v>261000</v>
      </c>
      <c r="Y122" s="7">
        <v>31300</v>
      </c>
      <c r="Z122" s="7">
        <v>56300</v>
      </c>
      <c r="AA122" s="8">
        <v>153500</v>
      </c>
      <c r="AB122" s="8">
        <v>392000</v>
      </c>
      <c r="AC122" s="8">
        <v>11900</v>
      </c>
      <c r="AD122" s="8">
        <v>172500</v>
      </c>
      <c r="AE122" s="8">
        <v>37800</v>
      </c>
      <c r="AF122" s="7">
        <v>36500</v>
      </c>
      <c r="AG122" s="7">
        <v>97500</v>
      </c>
      <c r="AH122" s="7">
        <v>76200</v>
      </c>
      <c r="AI122" s="7">
        <v>49100</v>
      </c>
      <c r="AJ122" s="7">
        <v>30850</v>
      </c>
      <c r="AK122" s="8">
        <v>29600</v>
      </c>
      <c r="AL122" s="8">
        <v>226500</v>
      </c>
      <c r="AM122" s="8">
        <v>158500</v>
      </c>
      <c r="AN122" s="8">
        <v>28000</v>
      </c>
      <c r="AO122" s="8">
        <v>10100</v>
      </c>
      <c r="AP122" s="7">
        <v>646000</v>
      </c>
      <c r="AQ122" s="7">
        <v>331000</v>
      </c>
      <c r="AR122" s="7">
        <v>12200</v>
      </c>
      <c r="AS122" s="7">
        <v>40100</v>
      </c>
      <c r="AT122" s="7">
        <v>78700</v>
      </c>
      <c r="AU122" s="8">
        <v>210500</v>
      </c>
      <c r="AV122" s="8">
        <v>36550</v>
      </c>
      <c r="AW122" s="8">
        <v>8050</v>
      </c>
      <c r="AX122" s="8">
        <v>182000</v>
      </c>
      <c r="AY122" s="8">
        <v>39150</v>
      </c>
    </row>
    <row r="123" spans="1:51" x14ac:dyDescent="0.4">
      <c r="A123" s="11">
        <v>41277</v>
      </c>
      <c r="B123" s="7">
        <v>54600</v>
      </c>
      <c r="C123" s="7">
        <v>26650</v>
      </c>
      <c r="D123" s="7">
        <v>72900</v>
      </c>
      <c r="E123" s="7">
        <v>209000</v>
      </c>
      <c r="F123" s="7">
        <v>64500</v>
      </c>
      <c r="G123" s="8">
        <v>47300</v>
      </c>
      <c r="H123" s="8">
        <v>67800</v>
      </c>
      <c r="I123" s="8">
        <v>188500</v>
      </c>
      <c r="J123" s="8">
        <v>90600</v>
      </c>
      <c r="K123" s="8">
        <v>206000</v>
      </c>
      <c r="L123" s="7">
        <v>370000</v>
      </c>
      <c r="M123" s="7">
        <v>1543000</v>
      </c>
      <c r="N123" s="7">
        <v>59800</v>
      </c>
      <c r="O123" s="7">
        <v>155500</v>
      </c>
      <c r="P123" s="7">
        <v>100000</v>
      </c>
      <c r="Q123" s="8">
        <v>248500</v>
      </c>
      <c r="R123" s="8">
        <v>179000</v>
      </c>
      <c r="S123" s="8">
        <v>406500</v>
      </c>
      <c r="T123" s="8">
        <v>38550</v>
      </c>
      <c r="U123" s="8">
        <v>105500</v>
      </c>
      <c r="V123" s="7">
        <v>260000</v>
      </c>
      <c r="W123" s="7">
        <v>22800</v>
      </c>
      <c r="X123" s="7">
        <v>272000</v>
      </c>
      <c r="Y123" s="7">
        <v>31600</v>
      </c>
      <c r="Z123" s="7">
        <v>56800</v>
      </c>
      <c r="AA123" s="8">
        <v>150000</v>
      </c>
      <c r="AB123" s="8">
        <v>386000</v>
      </c>
      <c r="AC123" s="8">
        <v>12000</v>
      </c>
      <c r="AD123" s="8">
        <v>170500</v>
      </c>
      <c r="AE123" s="8">
        <v>37400</v>
      </c>
      <c r="AF123" s="7">
        <v>35800</v>
      </c>
      <c r="AG123" s="7">
        <v>96500</v>
      </c>
      <c r="AH123" s="7">
        <v>77000</v>
      </c>
      <c r="AI123" s="7">
        <v>48850</v>
      </c>
      <c r="AJ123" s="7">
        <v>31650</v>
      </c>
      <c r="AK123" s="8">
        <v>30050</v>
      </c>
      <c r="AL123" s="8">
        <v>221000</v>
      </c>
      <c r="AM123" s="8">
        <v>155000</v>
      </c>
      <c r="AN123" s="8">
        <v>28450</v>
      </c>
      <c r="AO123" s="8">
        <v>10250</v>
      </c>
      <c r="AP123" s="7">
        <v>643000</v>
      </c>
      <c r="AQ123" s="7">
        <v>342500</v>
      </c>
      <c r="AR123" s="7">
        <v>12250</v>
      </c>
      <c r="AS123" s="7">
        <v>40150</v>
      </c>
      <c r="AT123" s="7">
        <v>78500</v>
      </c>
      <c r="AU123" s="8">
        <v>205500</v>
      </c>
      <c r="AV123" s="8">
        <v>36700</v>
      </c>
      <c r="AW123" s="8">
        <v>8020</v>
      </c>
      <c r="AX123" s="8">
        <v>182000</v>
      </c>
      <c r="AY123" s="8">
        <v>39300</v>
      </c>
    </row>
    <row r="124" spans="1:51" x14ac:dyDescent="0.4">
      <c r="A124" s="12">
        <v>41276</v>
      </c>
      <c r="B124" s="9">
        <v>56300</v>
      </c>
      <c r="C124" s="9">
        <v>26600</v>
      </c>
      <c r="D124" s="9">
        <v>72000</v>
      </c>
      <c r="E124" s="9">
        <v>214000</v>
      </c>
      <c r="F124" s="9">
        <v>63700</v>
      </c>
      <c r="G124" s="10">
        <v>46500</v>
      </c>
      <c r="H124" s="10">
        <v>67000</v>
      </c>
      <c r="I124" s="10">
        <v>185000</v>
      </c>
      <c r="J124" s="10">
        <v>89600</v>
      </c>
      <c r="K124" s="10">
        <v>216000</v>
      </c>
      <c r="L124" s="9">
        <v>360500</v>
      </c>
      <c r="M124" s="9">
        <v>1576000</v>
      </c>
      <c r="N124" s="9">
        <v>59800</v>
      </c>
      <c r="O124" s="9">
        <v>152500</v>
      </c>
      <c r="P124" s="9">
        <v>101000</v>
      </c>
      <c r="Q124" s="10">
        <v>248500</v>
      </c>
      <c r="R124" s="10">
        <v>167500</v>
      </c>
      <c r="S124" s="10">
        <v>405000</v>
      </c>
      <c r="T124" s="10">
        <v>38650</v>
      </c>
      <c r="U124" s="10">
        <v>105500</v>
      </c>
      <c r="V124" s="9">
        <v>257000</v>
      </c>
      <c r="W124" s="9">
        <v>24050</v>
      </c>
      <c r="X124" s="9">
        <v>287500</v>
      </c>
      <c r="Y124" s="9">
        <v>31550</v>
      </c>
      <c r="Z124" s="9">
        <v>56300</v>
      </c>
      <c r="AA124" s="10">
        <v>150500</v>
      </c>
      <c r="AB124" s="10">
        <v>383000</v>
      </c>
      <c r="AC124" s="10">
        <v>11950</v>
      </c>
      <c r="AD124" s="10">
        <v>167000</v>
      </c>
      <c r="AE124" s="10">
        <v>36550</v>
      </c>
      <c r="AF124" s="9">
        <v>35400</v>
      </c>
      <c r="AG124" s="9">
        <v>95600</v>
      </c>
      <c r="AH124" s="9">
        <v>78700</v>
      </c>
      <c r="AI124" s="9">
        <v>45850</v>
      </c>
      <c r="AJ124" s="9">
        <v>31500</v>
      </c>
      <c r="AK124" s="10">
        <v>28650</v>
      </c>
      <c r="AL124" s="10">
        <v>227500</v>
      </c>
      <c r="AM124" s="10">
        <v>154000</v>
      </c>
      <c r="AN124" s="10">
        <v>28350</v>
      </c>
      <c r="AO124" s="10">
        <v>10150</v>
      </c>
      <c r="AP124" s="9">
        <v>651000</v>
      </c>
      <c r="AQ124" s="9">
        <v>340000</v>
      </c>
      <c r="AR124" s="9">
        <v>11900</v>
      </c>
      <c r="AS124" s="9">
        <v>40050</v>
      </c>
      <c r="AT124" s="9">
        <v>77500</v>
      </c>
      <c r="AU124" s="10">
        <v>220000</v>
      </c>
      <c r="AV124" s="10">
        <v>36300</v>
      </c>
      <c r="AW124" s="10">
        <v>7800</v>
      </c>
      <c r="AX124" s="10">
        <v>179000</v>
      </c>
      <c r="AY124" s="10">
        <v>38800</v>
      </c>
    </row>
    <row r="125" spans="1:51" x14ac:dyDescent="0.4">
      <c r="A125" s="11">
        <v>41271</v>
      </c>
      <c r="B125" s="7">
        <v>56500</v>
      </c>
      <c r="C125" s="7">
        <v>25750</v>
      </c>
      <c r="D125" s="7">
        <v>70000</v>
      </c>
      <c r="E125" s="7">
        <v>218000</v>
      </c>
      <c r="F125" s="7">
        <v>62600</v>
      </c>
      <c r="G125" s="8">
        <v>45300</v>
      </c>
      <c r="H125" s="8">
        <v>65200</v>
      </c>
      <c r="I125" s="8">
        <v>179000</v>
      </c>
      <c r="J125" s="8">
        <v>87800</v>
      </c>
      <c r="K125" s="8">
        <v>218500</v>
      </c>
      <c r="L125" s="7">
        <v>349000</v>
      </c>
      <c r="M125" s="7">
        <v>1522000</v>
      </c>
      <c r="N125" s="7">
        <v>57300</v>
      </c>
      <c r="O125" s="7">
        <v>151000</v>
      </c>
      <c r="P125" s="7">
        <v>99200</v>
      </c>
      <c r="Q125" s="8">
        <v>242000</v>
      </c>
      <c r="R125" s="8">
        <v>165500</v>
      </c>
      <c r="S125" s="8">
        <v>405000</v>
      </c>
      <c r="T125" s="8">
        <v>38550</v>
      </c>
      <c r="U125" s="8">
        <v>104000</v>
      </c>
      <c r="V125" s="7">
        <v>245500</v>
      </c>
      <c r="W125" s="7">
        <v>23600</v>
      </c>
      <c r="X125" s="7">
        <v>288000</v>
      </c>
      <c r="Y125" s="7">
        <v>30450</v>
      </c>
      <c r="Z125" s="7">
        <v>53400</v>
      </c>
      <c r="AA125" s="8">
        <v>152500</v>
      </c>
      <c r="AB125" s="8">
        <v>377000</v>
      </c>
      <c r="AC125" s="8">
        <v>11850</v>
      </c>
      <c r="AD125" s="8">
        <v>165500</v>
      </c>
      <c r="AE125" s="8">
        <v>36500</v>
      </c>
      <c r="AF125" s="7">
        <v>35500</v>
      </c>
      <c r="AG125" s="7">
        <v>94300</v>
      </c>
      <c r="AH125" s="7">
        <v>80800</v>
      </c>
      <c r="AI125" s="7">
        <v>45200</v>
      </c>
      <c r="AJ125" s="7">
        <v>31050</v>
      </c>
      <c r="AK125" s="8">
        <v>29250</v>
      </c>
      <c r="AL125" s="8">
        <v>227000</v>
      </c>
      <c r="AM125" s="8">
        <v>150500</v>
      </c>
      <c r="AN125" s="8">
        <v>27150</v>
      </c>
      <c r="AO125" s="8">
        <v>9950</v>
      </c>
      <c r="AP125" s="7">
        <v>657000</v>
      </c>
      <c r="AQ125" s="7">
        <v>330000</v>
      </c>
      <c r="AR125" s="7">
        <v>11800</v>
      </c>
      <c r="AS125" s="7">
        <v>38850</v>
      </c>
      <c r="AT125" s="7">
        <v>73600</v>
      </c>
      <c r="AU125" s="8">
        <v>221500</v>
      </c>
      <c r="AV125" s="8">
        <v>34700</v>
      </c>
      <c r="AW125" s="8">
        <v>7760</v>
      </c>
      <c r="AX125" s="8">
        <v>174000</v>
      </c>
      <c r="AY125" s="8">
        <v>37900</v>
      </c>
    </row>
    <row r="126" spans="1:51" x14ac:dyDescent="0.4">
      <c r="A126" s="11">
        <v>41270</v>
      </c>
      <c r="B126" s="7">
        <v>57200</v>
      </c>
      <c r="C126" s="7">
        <v>25750</v>
      </c>
      <c r="D126" s="7">
        <v>70000</v>
      </c>
      <c r="E126" s="7">
        <v>217000</v>
      </c>
      <c r="F126" s="7">
        <v>62100</v>
      </c>
      <c r="G126" s="8">
        <v>45150</v>
      </c>
      <c r="H126" s="8">
        <v>65200</v>
      </c>
      <c r="I126" s="8">
        <v>177000</v>
      </c>
      <c r="J126" s="8">
        <v>87000</v>
      </c>
      <c r="K126" s="8">
        <v>223000</v>
      </c>
      <c r="L126" s="7">
        <v>348500</v>
      </c>
      <c r="M126" s="7">
        <v>1496000</v>
      </c>
      <c r="N126" s="7">
        <v>56700</v>
      </c>
      <c r="O126" s="7">
        <v>152000</v>
      </c>
      <c r="P126" s="7">
        <v>100500</v>
      </c>
      <c r="Q126" s="8">
        <v>240000</v>
      </c>
      <c r="R126" s="8">
        <v>164000</v>
      </c>
      <c r="S126" s="8">
        <v>400000</v>
      </c>
      <c r="T126" s="8">
        <v>37700</v>
      </c>
      <c r="U126" s="8">
        <v>105500</v>
      </c>
      <c r="V126" s="7">
        <v>241500</v>
      </c>
      <c r="W126" s="7">
        <v>23600</v>
      </c>
      <c r="X126" s="7">
        <v>293500</v>
      </c>
      <c r="Y126" s="7">
        <v>29700</v>
      </c>
      <c r="Z126" s="7">
        <v>53400</v>
      </c>
      <c r="AA126" s="8">
        <v>152000</v>
      </c>
      <c r="AB126" s="8">
        <v>376500</v>
      </c>
      <c r="AC126" s="8">
        <v>11800</v>
      </c>
      <c r="AD126" s="8">
        <v>165000</v>
      </c>
      <c r="AE126" s="8">
        <v>36350</v>
      </c>
      <c r="AF126" s="7">
        <v>35500</v>
      </c>
      <c r="AG126" s="7">
        <v>95800</v>
      </c>
      <c r="AH126" s="7">
        <v>80600</v>
      </c>
      <c r="AI126" s="7">
        <v>44750</v>
      </c>
      <c r="AJ126" s="7">
        <v>30950</v>
      </c>
      <c r="AK126" s="8">
        <v>29650</v>
      </c>
      <c r="AL126" s="8">
        <v>225000</v>
      </c>
      <c r="AM126" s="8">
        <v>145500</v>
      </c>
      <c r="AN126" s="8">
        <v>27250</v>
      </c>
      <c r="AO126" s="8">
        <v>10000</v>
      </c>
      <c r="AP126" s="7">
        <v>654000</v>
      </c>
      <c r="AQ126" s="7">
        <v>329000</v>
      </c>
      <c r="AR126" s="7">
        <v>11800</v>
      </c>
      <c r="AS126" s="7">
        <v>38600</v>
      </c>
      <c r="AT126" s="7">
        <v>73400</v>
      </c>
      <c r="AU126" s="8">
        <v>220000</v>
      </c>
      <c r="AV126" s="8">
        <v>34600</v>
      </c>
      <c r="AW126" s="8">
        <v>8070</v>
      </c>
      <c r="AX126" s="8">
        <v>173500</v>
      </c>
      <c r="AY126" s="8">
        <v>37600</v>
      </c>
    </row>
    <row r="127" spans="1:51" x14ac:dyDescent="0.4">
      <c r="A127" s="11">
        <v>41269</v>
      </c>
      <c r="B127" s="7">
        <v>58000</v>
      </c>
      <c r="C127" s="7">
        <v>25450</v>
      </c>
      <c r="D127" s="7">
        <v>69600</v>
      </c>
      <c r="E127" s="7">
        <v>217000</v>
      </c>
      <c r="F127" s="7">
        <v>61300</v>
      </c>
      <c r="G127" s="8">
        <v>44900</v>
      </c>
      <c r="H127" s="8">
        <v>65600</v>
      </c>
      <c r="I127" s="8">
        <v>170500</v>
      </c>
      <c r="J127" s="8">
        <v>86000</v>
      </c>
      <c r="K127" s="8">
        <v>223000</v>
      </c>
      <c r="L127" s="7">
        <v>351500</v>
      </c>
      <c r="M127" s="7">
        <v>1470000</v>
      </c>
      <c r="N127" s="7">
        <v>56700</v>
      </c>
      <c r="O127" s="7">
        <v>153000</v>
      </c>
      <c r="P127" s="7">
        <v>99100</v>
      </c>
      <c r="Q127" s="8">
        <v>239500</v>
      </c>
      <c r="R127" s="8">
        <v>164500</v>
      </c>
      <c r="S127" s="8">
        <v>392000</v>
      </c>
      <c r="T127" s="8">
        <v>38150</v>
      </c>
      <c r="U127" s="8">
        <v>106500</v>
      </c>
      <c r="V127" s="7">
        <v>241000</v>
      </c>
      <c r="W127" s="7">
        <v>23650</v>
      </c>
      <c r="X127" s="7">
        <v>298000</v>
      </c>
      <c r="Y127" s="7">
        <v>29300</v>
      </c>
      <c r="Z127" s="7">
        <v>53100</v>
      </c>
      <c r="AA127" s="8">
        <v>158500</v>
      </c>
      <c r="AB127" s="8">
        <v>375500</v>
      </c>
      <c r="AC127" s="8">
        <v>12100</v>
      </c>
      <c r="AD127" s="8">
        <v>168000</v>
      </c>
      <c r="AE127" s="8">
        <v>37100</v>
      </c>
      <c r="AF127" s="7">
        <v>37500</v>
      </c>
      <c r="AG127" s="7">
        <v>96400</v>
      </c>
      <c r="AH127" s="7">
        <v>82900</v>
      </c>
      <c r="AI127" s="7">
        <v>45250</v>
      </c>
      <c r="AJ127" s="7">
        <v>29850</v>
      </c>
      <c r="AK127" s="8">
        <v>29900</v>
      </c>
      <c r="AL127" s="8">
        <v>226000</v>
      </c>
      <c r="AM127" s="8">
        <v>147000</v>
      </c>
      <c r="AN127" s="8">
        <v>27350</v>
      </c>
      <c r="AO127" s="8">
        <v>10150</v>
      </c>
      <c r="AP127" s="7">
        <v>652000</v>
      </c>
      <c r="AQ127" s="7">
        <v>332000</v>
      </c>
      <c r="AR127" s="7">
        <v>11650</v>
      </c>
      <c r="AS127" s="7">
        <v>38900</v>
      </c>
      <c r="AT127" s="7">
        <v>72200</v>
      </c>
      <c r="AU127" s="8">
        <v>222000</v>
      </c>
      <c r="AV127" s="8">
        <v>35000</v>
      </c>
      <c r="AW127" s="8">
        <v>7990</v>
      </c>
      <c r="AX127" s="8">
        <v>173500</v>
      </c>
      <c r="AY127" s="8">
        <v>37800</v>
      </c>
    </row>
    <row r="128" spans="1:51" x14ac:dyDescent="0.4">
      <c r="A128" s="11">
        <v>41267</v>
      </c>
      <c r="B128" s="7">
        <v>57800</v>
      </c>
      <c r="C128" s="7">
        <v>25150</v>
      </c>
      <c r="D128" s="7">
        <v>70400</v>
      </c>
      <c r="E128" s="7">
        <v>221500</v>
      </c>
      <c r="F128" s="7">
        <v>61300</v>
      </c>
      <c r="G128" s="8">
        <v>44750</v>
      </c>
      <c r="H128" s="8">
        <v>66000</v>
      </c>
      <c r="I128" s="8">
        <v>170500</v>
      </c>
      <c r="J128" s="8">
        <v>87000</v>
      </c>
      <c r="K128" s="8">
        <v>222500</v>
      </c>
      <c r="L128" s="7">
        <v>350000</v>
      </c>
      <c r="M128" s="7">
        <v>1474000</v>
      </c>
      <c r="N128" s="7">
        <v>56900</v>
      </c>
      <c r="O128" s="7">
        <v>153500</v>
      </c>
      <c r="P128" s="7">
        <v>100500</v>
      </c>
      <c r="Q128" s="8">
        <v>240000</v>
      </c>
      <c r="R128" s="8">
        <v>165500</v>
      </c>
      <c r="S128" s="8">
        <v>395500</v>
      </c>
      <c r="T128" s="8">
        <v>38300</v>
      </c>
      <c r="U128" s="8">
        <v>106000</v>
      </c>
      <c r="V128" s="7">
        <v>242000</v>
      </c>
      <c r="W128" s="7">
        <v>23750</v>
      </c>
      <c r="X128" s="7">
        <v>294000</v>
      </c>
      <c r="Y128" s="7">
        <v>28800</v>
      </c>
      <c r="Z128" s="7">
        <v>53000</v>
      </c>
      <c r="AA128" s="8">
        <v>159500</v>
      </c>
      <c r="AB128" s="8">
        <v>365000</v>
      </c>
      <c r="AC128" s="8">
        <v>12050</v>
      </c>
      <c r="AD128" s="8">
        <v>171000</v>
      </c>
      <c r="AE128" s="8">
        <v>37250</v>
      </c>
      <c r="AF128" s="7">
        <v>38050</v>
      </c>
      <c r="AG128" s="7">
        <v>96100</v>
      </c>
      <c r="AH128" s="7">
        <v>83800</v>
      </c>
      <c r="AI128" s="7">
        <v>45750</v>
      </c>
      <c r="AJ128" s="7">
        <v>29700</v>
      </c>
      <c r="AK128" s="8">
        <v>30300</v>
      </c>
      <c r="AL128" s="8">
        <v>230000</v>
      </c>
      <c r="AM128" s="8">
        <v>149000</v>
      </c>
      <c r="AN128" s="8">
        <v>27450</v>
      </c>
      <c r="AO128" s="8">
        <v>10000</v>
      </c>
      <c r="AP128" s="7">
        <v>646000</v>
      </c>
      <c r="AQ128" s="7">
        <v>334000</v>
      </c>
      <c r="AR128" s="7">
        <v>11700</v>
      </c>
      <c r="AS128" s="7">
        <v>38750</v>
      </c>
      <c r="AT128" s="7">
        <v>73000</v>
      </c>
      <c r="AU128" s="8">
        <v>221000</v>
      </c>
      <c r="AV128" s="8">
        <v>35300</v>
      </c>
      <c r="AW128" s="8">
        <v>7800</v>
      </c>
      <c r="AX128" s="8">
        <v>173500</v>
      </c>
      <c r="AY128" s="8">
        <v>37800</v>
      </c>
    </row>
    <row r="129" spans="1:51" x14ac:dyDescent="0.4">
      <c r="A129" s="12">
        <v>41264</v>
      </c>
      <c r="B129" s="9">
        <v>57800</v>
      </c>
      <c r="C129" s="9">
        <v>25400</v>
      </c>
      <c r="D129" s="9">
        <v>70400</v>
      </c>
      <c r="E129" s="9">
        <v>223000</v>
      </c>
      <c r="F129" s="9">
        <v>62100</v>
      </c>
      <c r="G129" s="10">
        <v>45000</v>
      </c>
      <c r="H129" s="10">
        <v>66000</v>
      </c>
      <c r="I129" s="10">
        <v>171500</v>
      </c>
      <c r="J129" s="10">
        <v>88900</v>
      </c>
      <c r="K129" s="10">
        <v>222500</v>
      </c>
      <c r="L129" s="9">
        <v>351000</v>
      </c>
      <c r="M129" s="9">
        <v>1442000</v>
      </c>
      <c r="N129" s="9">
        <v>57400</v>
      </c>
      <c r="O129" s="9">
        <v>153000</v>
      </c>
      <c r="P129" s="9">
        <v>102000</v>
      </c>
      <c r="Q129" s="10">
        <v>244000</v>
      </c>
      <c r="R129" s="10">
        <v>167000</v>
      </c>
      <c r="S129" s="10">
        <v>383500</v>
      </c>
      <c r="T129" s="10">
        <v>38850</v>
      </c>
      <c r="U129" s="10">
        <v>106000</v>
      </c>
      <c r="V129" s="9">
        <v>245000</v>
      </c>
      <c r="W129" s="9">
        <v>23850</v>
      </c>
      <c r="X129" s="9">
        <v>295000</v>
      </c>
      <c r="Y129" s="9">
        <v>29850</v>
      </c>
      <c r="Z129" s="9">
        <v>53500</v>
      </c>
      <c r="AA129" s="10">
        <v>161000</v>
      </c>
      <c r="AB129" s="10">
        <v>371000</v>
      </c>
      <c r="AC129" s="10">
        <v>11900</v>
      </c>
      <c r="AD129" s="10">
        <v>172500</v>
      </c>
      <c r="AE129" s="10">
        <v>37350</v>
      </c>
      <c r="AF129" s="9">
        <v>38550</v>
      </c>
      <c r="AG129" s="9">
        <v>96600</v>
      </c>
      <c r="AH129" s="9">
        <v>85000</v>
      </c>
      <c r="AI129" s="9">
        <v>45400</v>
      </c>
      <c r="AJ129" s="9">
        <v>30250</v>
      </c>
      <c r="AK129" s="10">
        <v>30550</v>
      </c>
      <c r="AL129" s="10">
        <v>227000</v>
      </c>
      <c r="AM129" s="10">
        <v>150000</v>
      </c>
      <c r="AN129" s="10">
        <v>27900</v>
      </c>
      <c r="AO129" s="10">
        <v>9980</v>
      </c>
      <c r="AP129" s="9">
        <v>637000</v>
      </c>
      <c r="AQ129" s="9">
        <v>337500</v>
      </c>
      <c r="AR129" s="9">
        <v>11850</v>
      </c>
      <c r="AS129" s="9">
        <v>38950</v>
      </c>
      <c r="AT129" s="9">
        <v>73800</v>
      </c>
      <c r="AU129" s="10">
        <v>220500</v>
      </c>
      <c r="AV129" s="10">
        <v>35700</v>
      </c>
      <c r="AW129" s="10">
        <v>8150</v>
      </c>
      <c r="AX129" s="10">
        <v>173500</v>
      </c>
      <c r="AY129" s="10">
        <v>38200</v>
      </c>
    </row>
    <row r="130" spans="1:51" x14ac:dyDescent="0.4">
      <c r="A130" s="11">
        <v>41263</v>
      </c>
      <c r="B130" s="7">
        <v>58100</v>
      </c>
      <c r="C130" s="7">
        <v>26300</v>
      </c>
      <c r="D130" s="7">
        <v>72600</v>
      </c>
      <c r="E130" s="7">
        <v>218000</v>
      </c>
      <c r="F130" s="7">
        <v>63300</v>
      </c>
      <c r="G130" s="8">
        <v>45300</v>
      </c>
      <c r="H130" s="8">
        <v>65100</v>
      </c>
      <c r="I130" s="8">
        <v>170000</v>
      </c>
      <c r="J130" s="8">
        <v>89000</v>
      </c>
      <c r="K130" s="8">
        <v>222500</v>
      </c>
      <c r="L130" s="7">
        <v>355500</v>
      </c>
      <c r="M130" s="7">
        <v>1503000</v>
      </c>
      <c r="N130" s="7">
        <v>58200</v>
      </c>
      <c r="O130" s="7">
        <v>156000</v>
      </c>
      <c r="P130" s="7">
        <v>106000</v>
      </c>
      <c r="Q130" s="8">
        <v>240500</v>
      </c>
      <c r="R130" s="8">
        <v>167000</v>
      </c>
      <c r="S130" s="8">
        <v>402500</v>
      </c>
      <c r="T130" s="8">
        <v>38800</v>
      </c>
      <c r="U130" s="8">
        <v>107500</v>
      </c>
      <c r="V130" s="7">
        <v>247000</v>
      </c>
      <c r="W130" s="7">
        <v>24250</v>
      </c>
      <c r="X130" s="7">
        <v>294500</v>
      </c>
      <c r="Y130" s="7">
        <v>29800</v>
      </c>
      <c r="Z130" s="7">
        <v>53300</v>
      </c>
      <c r="AA130" s="8">
        <v>159000</v>
      </c>
      <c r="AB130" s="8">
        <v>370500</v>
      </c>
      <c r="AC130" s="8">
        <v>11950</v>
      </c>
      <c r="AD130" s="8">
        <v>175500</v>
      </c>
      <c r="AE130" s="8">
        <v>37550</v>
      </c>
      <c r="AF130" s="7">
        <v>38450</v>
      </c>
      <c r="AG130" s="7">
        <v>96900</v>
      </c>
      <c r="AH130" s="7">
        <v>82500</v>
      </c>
      <c r="AI130" s="7">
        <v>44800</v>
      </c>
      <c r="AJ130" s="7">
        <v>31350</v>
      </c>
      <c r="AK130" s="8">
        <v>30400</v>
      </c>
      <c r="AL130" s="8">
        <v>216500</v>
      </c>
      <c r="AM130" s="8">
        <v>147500</v>
      </c>
      <c r="AN130" s="8">
        <v>27450</v>
      </c>
      <c r="AO130" s="8">
        <v>10050</v>
      </c>
      <c r="AP130" s="7">
        <v>641000</v>
      </c>
      <c r="AQ130" s="7">
        <v>339000</v>
      </c>
      <c r="AR130" s="7">
        <v>11700</v>
      </c>
      <c r="AS130" s="7">
        <v>38600</v>
      </c>
      <c r="AT130" s="7">
        <v>72700</v>
      </c>
      <c r="AU130" s="8">
        <v>222000</v>
      </c>
      <c r="AV130" s="8">
        <v>35200</v>
      </c>
      <c r="AW130" s="8">
        <v>7950</v>
      </c>
      <c r="AX130" s="8">
        <v>175000</v>
      </c>
      <c r="AY130" s="8">
        <v>38350</v>
      </c>
    </row>
    <row r="131" spans="1:51" x14ac:dyDescent="0.4">
      <c r="A131" s="11">
        <v>41261</v>
      </c>
      <c r="B131" s="7">
        <v>58700</v>
      </c>
      <c r="C131" s="7">
        <v>26500</v>
      </c>
      <c r="D131" s="7">
        <v>69800</v>
      </c>
      <c r="E131" s="7">
        <v>210500</v>
      </c>
      <c r="F131" s="7">
        <v>62600</v>
      </c>
      <c r="G131" s="8">
        <v>46000</v>
      </c>
      <c r="H131" s="8">
        <v>64100</v>
      </c>
      <c r="I131" s="8">
        <v>169500</v>
      </c>
      <c r="J131" s="8">
        <v>87600</v>
      </c>
      <c r="K131" s="8">
        <v>224000</v>
      </c>
      <c r="L131" s="7">
        <v>354500</v>
      </c>
      <c r="M131" s="7">
        <v>1515000</v>
      </c>
      <c r="N131" s="7">
        <v>55800</v>
      </c>
      <c r="O131" s="7">
        <v>154500</v>
      </c>
      <c r="P131" s="7">
        <v>104500</v>
      </c>
      <c r="Q131" s="8">
        <v>234000</v>
      </c>
      <c r="R131" s="8">
        <v>166000</v>
      </c>
      <c r="S131" s="8">
        <v>412000</v>
      </c>
      <c r="T131" s="8">
        <v>38050</v>
      </c>
      <c r="U131" s="8">
        <v>107000</v>
      </c>
      <c r="V131" s="7">
        <v>242500</v>
      </c>
      <c r="W131" s="7">
        <v>24300</v>
      </c>
      <c r="X131" s="7">
        <v>289500</v>
      </c>
      <c r="Y131" s="7">
        <v>28700</v>
      </c>
      <c r="Z131" s="7">
        <v>52300</v>
      </c>
      <c r="AA131" s="8">
        <v>158500</v>
      </c>
      <c r="AB131" s="8">
        <v>370000</v>
      </c>
      <c r="AC131" s="8">
        <v>11900</v>
      </c>
      <c r="AD131" s="8">
        <v>173000</v>
      </c>
      <c r="AE131" s="8">
        <v>37650</v>
      </c>
      <c r="AF131" s="7">
        <v>38450</v>
      </c>
      <c r="AG131" s="7">
        <v>96000</v>
      </c>
      <c r="AH131" s="7">
        <v>82900</v>
      </c>
      <c r="AI131" s="7">
        <v>45950</v>
      </c>
      <c r="AJ131" s="7">
        <v>31550</v>
      </c>
      <c r="AK131" s="8">
        <v>30000</v>
      </c>
      <c r="AL131" s="8">
        <v>231000</v>
      </c>
      <c r="AM131" s="8">
        <v>157000</v>
      </c>
      <c r="AN131" s="8">
        <v>27200</v>
      </c>
      <c r="AO131" s="8">
        <v>9590</v>
      </c>
      <c r="AP131" s="7">
        <v>639000</v>
      </c>
      <c r="AQ131" s="7">
        <v>332500</v>
      </c>
      <c r="AR131" s="7">
        <v>11350</v>
      </c>
      <c r="AS131" s="7">
        <v>37850</v>
      </c>
      <c r="AT131" s="7">
        <v>72200</v>
      </c>
      <c r="AU131" s="8">
        <v>220000</v>
      </c>
      <c r="AV131" s="8">
        <v>34800</v>
      </c>
      <c r="AW131" s="8">
        <v>7840</v>
      </c>
      <c r="AX131" s="8">
        <v>173500</v>
      </c>
      <c r="AY131" s="8">
        <v>38200</v>
      </c>
    </row>
    <row r="132" spans="1:51" x14ac:dyDescent="0.4">
      <c r="A132" s="11">
        <v>41260</v>
      </c>
      <c r="B132" s="7">
        <v>59200</v>
      </c>
      <c r="C132" s="7">
        <v>26650</v>
      </c>
      <c r="D132" s="7">
        <v>70800</v>
      </c>
      <c r="E132" s="7">
        <v>216500</v>
      </c>
      <c r="F132" s="7">
        <v>62000</v>
      </c>
      <c r="G132" s="8">
        <v>44950</v>
      </c>
      <c r="H132" s="8">
        <v>64600</v>
      </c>
      <c r="I132" s="8">
        <v>172500</v>
      </c>
      <c r="J132" s="8">
        <v>85800</v>
      </c>
      <c r="K132" s="8">
        <v>225000</v>
      </c>
      <c r="L132" s="7">
        <v>353000</v>
      </c>
      <c r="M132" s="7">
        <v>1503000</v>
      </c>
      <c r="N132" s="7">
        <v>55900</v>
      </c>
      <c r="O132" s="7">
        <v>153000</v>
      </c>
      <c r="P132" s="7">
        <v>102500</v>
      </c>
      <c r="Q132" s="8">
        <v>231500</v>
      </c>
      <c r="R132" s="8">
        <v>165000</v>
      </c>
      <c r="S132" s="8">
        <v>401000</v>
      </c>
      <c r="T132" s="8">
        <v>39000</v>
      </c>
      <c r="U132" s="8">
        <v>106000</v>
      </c>
      <c r="V132" s="7">
        <v>241000</v>
      </c>
      <c r="W132" s="7">
        <v>23850</v>
      </c>
      <c r="X132" s="7">
        <v>291500</v>
      </c>
      <c r="Y132" s="7">
        <v>28650</v>
      </c>
      <c r="Z132" s="7">
        <v>52100</v>
      </c>
      <c r="AA132" s="8">
        <v>156500</v>
      </c>
      <c r="AB132" s="8">
        <v>367000</v>
      </c>
      <c r="AC132" s="8">
        <v>11800</v>
      </c>
      <c r="AD132" s="8">
        <v>173000</v>
      </c>
      <c r="AE132" s="8">
        <v>36750</v>
      </c>
      <c r="AF132" s="7">
        <v>38100</v>
      </c>
      <c r="AG132" s="7">
        <v>95600</v>
      </c>
      <c r="AH132" s="7">
        <v>83100</v>
      </c>
      <c r="AI132" s="7">
        <v>46600</v>
      </c>
      <c r="AJ132" s="7">
        <v>30800</v>
      </c>
      <c r="AK132" s="8">
        <v>29600</v>
      </c>
      <c r="AL132" s="8">
        <v>227000</v>
      </c>
      <c r="AM132" s="8">
        <v>158000</v>
      </c>
      <c r="AN132" s="8">
        <v>26650</v>
      </c>
      <c r="AO132" s="8">
        <v>9550</v>
      </c>
      <c r="AP132" s="7">
        <v>621000</v>
      </c>
      <c r="AQ132" s="7">
        <v>324500</v>
      </c>
      <c r="AR132" s="7">
        <v>11300</v>
      </c>
      <c r="AS132" s="7">
        <v>38000</v>
      </c>
      <c r="AT132" s="7">
        <v>72100</v>
      </c>
      <c r="AU132" s="8">
        <v>220500</v>
      </c>
      <c r="AV132" s="8">
        <v>34900</v>
      </c>
      <c r="AW132" s="8">
        <v>7850</v>
      </c>
      <c r="AX132" s="8">
        <v>170000</v>
      </c>
      <c r="AY132" s="8">
        <v>37550</v>
      </c>
    </row>
    <row r="133" spans="1:51" x14ac:dyDescent="0.4">
      <c r="A133" s="11">
        <v>41257</v>
      </c>
      <c r="B133" s="7">
        <v>61400</v>
      </c>
      <c r="C133" s="7">
        <v>26200</v>
      </c>
      <c r="D133" s="7">
        <v>71800</v>
      </c>
      <c r="E133" s="7">
        <v>218000</v>
      </c>
      <c r="F133" s="7">
        <v>62700</v>
      </c>
      <c r="G133" s="8">
        <v>45500</v>
      </c>
      <c r="H133" s="8">
        <v>64500</v>
      </c>
      <c r="I133" s="8">
        <v>167000</v>
      </c>
      <c r="J133" s="8">
        <v>86400</v>
      </c>
      <c r="K133" s="8">
        <v>229500</v>
      </c>
      <c r="L133" s="7">
        <v>350000</v>
      </c>
      <c r="M133" s="7">
        <v>1515000</v>
      </c>
      <c r="N133" s="7">
        <v>57100</v>
      </c>
      <c r="O133" s="7">
        <v>156000</v>
      </c>
      <c r="P133" s="7">
        <v>105000</v>
      </c>
      <c r="Q133" s="8">
        <v>231500</v>
      </c>
      <c r="R133" s="8">
        <v>166000</v>
      </c>
      <c r="S133" s="8">
        <v>402000</v>
      </c>
      <c r="T133" s="8">
        <v>38900</v>
      </c>
      <c r="U133" s="8">
        <v>106500</v>
      </c>
      <c r="V133" s="7">
        <v>241000</v>
      </c>
      <c r="W133" s="7">
        <v>24050</v>
      </c>
      <c r="X133" s="7">
        <v>300500</v>
      </c>
      <c r="Y133" s="7">
        <v>27750</v>
      </c>
      <c r="Z133" s="7">
        <v>52400</v>
      </c>
      <c r="AA133" s="8">
        <v>156000</v>
      </c>
      <c r="AB133" s="8">
        <v>365500</v>
      </c>
      <c r="AC133" s="8">
        <v>11800</v>
      </c>
      <c r="AD133" s="8">
        <v>174000</v>
      </c>
      <c r="AE133" s="8">
        <v>37550</v>
      </c>
      <c r="AF133" s="7">
        <v>38100</v>
      </c>
      <c r="AG133" s="7">
        <v>95400</v>
      </c>
      <c r="AH133" s="7">
        <v>83700</v>
      </c>
      <c r="AI133" s="7">
        <v>46100</v>
      </c>
      <c r="AJ133" s="7">
        <v>31700</v>
      </c>
      <c r="AK133" s="8">
        <v>29600</v>
      </c>
      <c r="AL133" s="8">
        <v>236000</v>
      </c>
      <c r="AM133" s="8">
        <v>165000</v>
      </c>
      <c r="AN133" s="8">
        <v>26700</v>
      </c>
      <c r="AO133" s="8">
        <v>9810</v>
      </c>
      <c r="AP133" s="7">
        <v>622000</v>
      </c>
      <c r="AQ133" s="7">
        <v>328000</v>
      </c>
      <c r="AR133" s="7">
        <v>11300</v>
      </c>
      <c r="AS133" s="7">
        <v>37950</v>
      </c>
      <c r="AT133" s="7">
        <v>72200</v>
      </c>
      <c r="AU133" s="8">
        <v>226000</v>
      </c>
      <c r="AV133" s="8">
        <v>34950</v>
      </c>
      <c r="AW133" s="8">
        <v>7800</v>
      </c>
      <c r="AX133" s="8">
        <v>173500</v>
      </c>
      <c r="AY133" s="8">
        <v>37700</v>
      </c>
    </row>
    <row r="134" spans="1:51" x14ac:dyDescent="0.4">
      <c r="A134" s="12">
        <v>41256</v>
      </c>
      <c r="B134" s="9">
        <v>61800</v>
      </c>
      <c r="C134" s="9">
        <v>26250</v>
      </c>
      <c r="D134" s="9">
        <v>72000</v>
      </c>
      <c r="E134" s="9">
        <v>218500</v>
      </c>
      <c r="F134" s="9">
        <v>62000</v>
      </c>
      <c r="G134" s="10">
        <v>45950</v>
      </c>
      <c r="H134" s="10">
        <v>65200</v>
      </c>
      <c r="I134" s="10">
        <v>174500</v>
      </c>
      <c r="J134" s="10">
        <v>85400</v>
      </c>
      <c r="K134" s="10">
        <v>230500</v>
      </c>
      <c r="L134" s="9">
        <v>347000</v>
      </c>
      <c r="M134" s="9">
        <v>1533000</v>
      </c>
      <c r="N134" s="9">
        <v>55700</v>
      </c>
      <c r="O134" s="9">
        <v>154000</v>
      </c>
      <c r="P134" s="9">
        <v>105500</v>
      </c>
      <c r="Q134" s="10">
        <v>231500</v>
      </c>
      <c r="R134" s="10">
        <v>164500</v>
      </c>
      <c r="S134" s="10">
        <v>419500</v>
      </c>
      <c r="T134" s="10">
        <v>39350</v>
      </c>
      <c r="U134" s="10">
        <v>105500</v>
      </c>
      <c r="V134" s="9">
        <v>237000</v>
      </c>
      <c r="W134" s="9">
        <v>24100</v>
      </c>
      <c r="X134" s="9">
        <v>301000</v>
      </c>
      <c r="Y134" s="9">
        <v>27100</v>
      </c>
      <c r="Z134" s="9">
        <v>52000</v>
      </c>
      <c r="AA134" s="10">
        <v>156500</v>
      </c>
      <c r="AB134" s="10">
        <v>367500</v>
      </c>
      <c r="AC134" s="10">
        <v>11900</v>
      </c>
      <c r="AD134" s="10">
        <v>173500</v>
      </c>
      <c r="AE134" s="10">
        <v>38000</v>
      </c>
      <c r="AF134" s="9">
        <v>38200</v>
      </c>
      <c r="AG134" s="9">
        <v>95200</v>
      </c>
      <c r="AH134" s="9">
        <v>83500</v>
      </c>
      <c r="AI134" s="9">
        <v>45900</v>
      </c>
      <c r="AJ134" s="9">
        <v>33000</v>
      </c>
      <c r="AK134" s="10">
        <v>30000</v>
      </c>
      <c r="AL134" s="10">
        <v>239500</v>
      </c>
      <c r="AM134" s="10">
        <v>165000</v>
      </c>
      <c r="AN134" s="10">
        <v>26700</v>
      </c>
      <c r="AO134" s="10">
        <v>9800</v>
      </c>
      <c r="AP134" s="9">
        <v>628000</v>
      </c>
      <c r="AQ134" s="9">
        <v>330000</v>
      </c>
      <c r="AR134" s="9">
        <v>11350</v>
      </c>
      <c r="AS134" s="9">
        <v>38150</v>
      </c>
      <c r="AT134" s="9">
        <v>73800</v>
      </c>
      <c r="AU134" s="10">
        <v>217500</v>
      </c>
      <c r="AV134" s="10">
        <v>35250</v>
      </c>
      <c r="AW134" s="10">
        <v>7850</v>
      </c>
      <c r="AX134" s="10">
        <v>174500</v>
      </c>
      <c r="AY134" s="10">
        <v>37700</v>
      </c>
    </row>
    <row r="135" spans="1:51" x14ac:dyDescent="0.4">
      <c r="A135" s="11">
        <v>41255</v>
      </c>
      <c r="B135" s="7">
        <v>61200</v>
      </c>
      <c r="C135" s="7">
        <v>26050</v>
      </c>
      <c r="D135" s="7">
        <v>71800</v>
      </c>
      <c r="E135" s="7">
        <v>213500</v>
      </c>
      <c r="F135" s="7">
        <v>60600</v>
      </c>
      <c r="G135" s="8">
        <v>45500</v>
      </c>
      <c r="H135" s="8">
        <v>64200</v>
      </c>
      <c r="I135" s="8">
        <v>175500</v>
      </c>
      <c r="J135" s="8">
        <v>86500</v>
      </c>
      <c r="K135" s="8">
        <v>227000</v>
      </c>
      <c r="L135" s="7">
        <v>345000</v>
      </c>
      <c r="M135" s="7">
        <v>1490000</v>
      </c>
      <c r="N135" s="7">
        <v>55400</v>
      </c>
      <c r="O135" s="7">
        <v>151500</v>
      </c>
      <c r="P135" s="7">
        <v>104500</v>
      </c>
      <c r="Q135" s="8">
        <v>230000</v>
      </c>
      <c r="R135" s="8">
        <v>158500</v>
      </c>
      <c r="S135" s="8">
        <v>436000</v>
      </c>
      <c r="T135" s="8">
        <v>39000</v>
      </c>
      <c r="U135" s="8">
        <v>103500</v>
      </c>
      <c r="V135" s="7">
        <v>232000</v>
      </c>
      <c r="W135" s="7">
        <v>23200</v>
      </c>
      <c r="X135" s="7">
        <v>294500</v>
      </c>
      <c r="Y135" s="7">
        <v>27000</v>
      </c>
      <c r="Z135" s="7">
        <v>51600</v>
      </c>
      <c r="AA135" s="8">
        <v>155500</v>
      </c>
      <c r="AB135" s="8">
        <v>358000</v>
      </c>
      <c r="AC135" s="8">
        <v>11750</v>
      </c>
      <c r="AD135" s="8">
        <v>173000</v>
      </c>
      <c r="AE135" s="8">
        <v>36250</v>
      </c>
      <c r="AF135" s="7">
        <v>38050</v>
      </c>
      <c r="AG135" s="7">
        <v>93800</v>
      </c>
      <c r="AH135" s="7">
        <v>83900</v>
      </c>
      <c r="AI135" s="7">
        <v>45350</v>
      </c>
      <c r="AJ135" s="7">
        <v>32700</v>
      </c>
      <c r="AK135" s="8">
        <v>30100</v>
      </c>
      <c r="AL135" s="8">
        <v>235000</v>
      </c>
      <c r="AM135" s="8">
        <v>156000</v>
      </c>
      <c r="AN135" s="8">
        <v>26450</v>
      </c>
      <c r="AO135" s="8">
        <v>9650</v>
      </c>
      <c r="AP135" s="7">
        <v>630000</v>
      </c>
      <c r="AQ135" s="7">
        <v>329000</v>
      </c>
      <c r="AR135" s="7">
        <v>11150</v>
      </c>
      <c r="AS135" s="7">
        <v>37250</v>
      </c>
      <c r="AT135" s="7">
        <v>74000</v>
      </c>
      <c r="AU135" s="8">
        <v>220000</v>
      </c>
      <c r="AV135" s="8">
        <v>35250</v>
      </c>
      <c r="AW135" s="8">
        <v>7540</v>
      </c>
      <c r="AX135" s="8">
        <v>172500</v>
      </c>
      <c r="AY135" s="8">
        <v>36700</v>
      </c>
    </row>
    <row r="136" spans="1:51" x14ac:dyDescent="0.4">
      <c r="A136" s="11">
        <v>41254</v>
      </c>
      <c r="B136" s="7">
        <v>62300</v>
      </c>
      <c r="C136" s="7">
        <v>25950</v>
      </c>
      <c r="D136" s="7">
        <v>71500</v>
      </c>
      <c r="E136" s="7">
        <v>211000</v>
      </c>
      <c r="F136" s="7">
        <v>60400</v>
      </c>
      <c r="G136" s="8">
        <v>44900</v>
      </c>
      <c r="H136" s="8">
        <v>64900</v>
      </c>
      <c r="I136" s="8">
        <v>172500</v>
      </c>
      <c r="J136" s="8">
        <v>85700</v>
      </c>
      <c r="K136" s="8">
        <v>228500</v>
      </c>
      <c r="L136" s="7">
        <v>342500</v>
      </c>
      <c r="M136" s="7">
        <v>1476000</v>
      </c>
      <c r="N136" s="7">
        <v>55100</v>
      </c>
      <c r="O136" s="7">
        <v>152500</v>
      </c>
      <c r="P136" s="7">
        <v>105500</v>
      </c>
      <c r="Q136" s="8">
        <v>225500</v>
      </c>
      <c r="R136" s="8">
        <v>156000</v>
      </c>
      <c r="S136" s="8">
        <v>434000</v>
      </c>
      <c r="T136" s="8">
        <v>38900</v>
      </c>
      <c r="U136" s="8">
        <v>102000</v>
      </c>
      <c r="V136" s="7">
        <v>229000</v>
      </c>
      <c r="W136" s="7">
        <v>22850</v>
      </c>
      <c r="X136" s="7">
        <v>295000</v>
      </c>
      <c r="Y136" s="7">
        <v>26750</v>
      </c>
      <c r="Z136" s="7">
        <v>50800</v>
      </c>
      <c r="AA136" s="8">
        <v>155500</v>
      </c>
      <c r="AB136" s="8">
        <v>355000</v>
      </c>
      <c r="AC136" s="8">
        <v>11650</v>
      </c>
      <c r="AD136" s="8">
        <v>171000</v>
      </c>
      <c r="AE136" s="8">
        <v>36150</v>
      </c>
      <c r="AF136" s="7">
        <v>37750</v>
      </c>
      <c r="AG136" s="7">
        <v>92000</v>
      </c>
      <c r="AH136" s="7">
        <v>84000</v>
      </c>
      <c r="AI136" s="7">
        <v>46100</v>
      </c>
      <c r="AJ136" s="7">
        <v>34400</v>
      </c>
      <c r="AK136" s="8">
        <v>29750</v>
      </c>
      <c r="AL136" s="8">
        <v>242000</v>
      </c>
      <c r="AM136" s="8">
        <v>156000</v>
      </c>
      <c r="AN136" s="8">
        <v>25950</v>
      </c>
      <c r="AO136" s="8">
        <v>9540</v>
      </c>
      <c r="AP136" s="7">
        <v>618000</v>
      </c>
      <c r="AQ136" s="7">
        <v>327000</v>
      </c>
      <c r="AR136" s="7">
        <v>10950</v>
      </c>
      <c r="AS136" s="7">
        <v>36350</v>
      </c>
      <c r="AT136" s="7">
        <v>75600</v>
      </c>
      <c r="AU136" s="8">
        <v>218000</v>
      </c>
      <c r="AV136" s="8">
        <v>34350</v>
      </c>
      <c r="AW136" s="8">
        <v>7450</v>
      </c>
      <c r="AX136" s="8">
        <v>170500</v>
      </c>
      <c r="AY136" s="8">
        <v>36350</v>
      </c>
    </row>
    <row r="137" spans="1:51" x14ac:dyDescent="0.4">
      <c r="A137" s="11">
        <v>41253</v>
      </c>
      <c r="B137" s="7">
        <v>61500</v>
      </c>
      <c r="C137" s="7">
        <v>26000</v>
      </c>
      <c r="D137" s="7">
        <v>69000</v>
      </c>
      <c r="E137" s="7">
        <v>213000</v>
      </c>
      <c r="F137" s="7">
        <v>59900</v>
      </c>
      <c r="G137" s="8">
        <v>43750</v>
      </c>
      <c r="H137" s="8">
        <v>64300</v>
      </c>
      <c r="I137" s="8">
        <v>178000</v>
      </c>
      <c r="J137" s="8">
        <v>82500</v>
      </c>
      <c r="K137" s="8">
        <v>227500</v>
      </c>
      <c r="L137" s="7">
        <v>337000</v>
      </c>
      <c r="M137" s="7">
        <v>1491000</v>
      </c>
      <c r="N137" s="7">
        <v>53300</v>
      </c>
      <c r="O137" s="7">
        <v>152500</v>
      </c>
      <c r="P137" s="7">
        <v>108000</v>
      </c>
      <c r="Q137" s="8">
        <v>217000</v>
      </c>
      <c r="R137" s="8">
        <v>154500</v>
      </c>
      <c r="S137" s="8">
        <v>431000</v>
      </c>
      <c r="T137" s="8">
        <v>37750</v>
      </c>
      <c r="U137" s="8">
        <v>100500</v>
      </c>
      <c r="V137" s="7">
        <v>221500</v>
      </c>
      <c r="W137" s="7">
        <v>22950</v>
      </c>
      <c r="X137" s="7">
        <v>293000</v>
      </c>
      <c r="Y137" s="7">
        <v>26950</v>
      </c>
      <c r="Z137" s="7">
        <v>50100</v>
      </c>
      <c r="AA137" s="8">
        <v>156500</v>
      </c>
      <c r="AB137" s="8">
        <v>352000</v>
      </c>
      <c r="AC137" s="8">
        <v>11450</v>
      </c>
      <c r="AD137" s="8">
        <v>168500</v>
      </c>
      <c r="AE137" s="8">
        <v>35100</v>
      </c>
      <c r="AF137" s="7">
        <v>37900</v>
      </c>
      <c r="AG137" s="7">
        <v>92500</v>
      </c>
      <c r="AH137" s="7">
        <v>83700</v>
      </c>
      <c r="AI137" s="7">
        <v>43600</v>
      </c>
      <c r="AJ137" s="7">
        <v>34650</v>
      </c>
      <c r="AK137" s="8">
        <v>29900</v>
      </c>
      <c r="AL137" s="8">
        <v>242000</v>
      </c>
      <c r="AM137" s="8">
        <v>156000</v>
      </c>
      <c r="AN137" s="8">
        <v>24500</v>
      </c>
      <c r="AO137" s="8">
        <v>9250</v>
      </c>
      <c r="AP137" s="7">
        <v>623000</v>
      </c>
      <c r="AQ137" s="7">
        <v>318000</v>
      </c>
      <c r="AR137" s="7">
        <v>10450</v>
      </c>
      <c r="AS137" s="7">
        <v>34900</v>
      </c>
      <c r="AT137" s="7">
        <v>74800</v>
      </c>
      <c r="AU137" s="8">
        <v>223500</v>
      </c>
      <c r="AV137" s="8">
        <v>33700</v>
      </c>
      <c r="AW137" s="8">
        <v>7440</v>
      </c>
      <c r="AX137" s="8">
        <v>169000</v>
      </c>
      <c r="AY137" s="8">
        <v>35950</v>
      </c>
    </row>
    <row r="138" spans="1:51" x14ac:dyDescent="0.4">
      <c r="A138" s="11">
        <v>41250</v>
      </c>
      <c r="B138" s="7">
        <v>60900</v>
      </c>
      <c r="C138" s="7">
        <v>25900</v>
      </c>
      <c r="D138" s="7">
        <v>69200</v>
      </c>
      <c r="E138" s="7">
        <v>215500</v>
      </c>
      <c r="F138" s="7">
        <v>60400</v>
      </c>
      <c r="G138" s="8">
        <v>44250</v>
      </c>
      <c r="H138" s="8">
        <v>64800</v>
      </c>
      <c r="I138" s="8">
        <v>181000</v>
      </c>
      <c r="J138" s="8">
        <v>83300</v>
      </c>
      <c r="K138" s="8">
        <v>226000</v>
      </c>
      <c r="L138" s="7">
        <v>338000</v>
      </c>
      <c r="M138" s="7">
        <v>1480000</v>
      </c>
      <c r="N138" s="7">
        <v>53500</v>
      </c>
      <c r="O138" s="7">
        <v>153000</v>
      </c>
      <c r="P138" s="7">
        <v>108000</v>
      </c>
      <c r="Q138" s="8">
        <v>219000</v>
      </c>
      <c r="R138" s="8">
        <v>153000</v>
      </c>
      <c r="S138" s="8">
        <v>427000</v>
      </c>
      <c r="T138" s="8">
        <v>38400</v>
      </c>
      <c r="U138" s="8">
        <v>100000</v>
      </c>
      <c r="V138" s="7">
        <v>227500</v>
      </c>
      <c r="W138" s="7">
        <v>23050</v>
      </c>
      <c r="X138" s="7">
        <v>287500</v>
      </c>
      <c r="Y138" s="7">
        <v>26500</v>
      </c>
      <c r="Z138" s="7">
        <v>50600</v>
      </c>
      <c r="AA138" s="8">
        <v>154500</v>
      </c>
      <c r="AB138" s="8">
        <v>357500</v>
      </c>
      <c r="AC138" s="8">
        <v>11500</v>
      </c>
      <c r="AD138" s="8">
        <v>172000</v>
      </c>
      <c r="AE138" s="8">
        <v>34700</v>
      </c>
      <c r="AF138" s="7">
        <v>37650</v>
      </c>
      <c r="AG138" s="7">
        <v>92300</v>
      </c>
      <c r="AH138" s="7">
        <v>84100</v>
      </c>
      <c r="AI138" s="7">
        <v>43300</v>
      </c>
      <c r="AJ138" s="7">
        <v>35400</v>
      </c>
      <c r="AK138" s="8">
        <v>29800</v>
      </c>
      <c r="AL138" s="8">
        <v>238000</v>
      </c>
      <c r="AM138" s="8">
        <v>149500</v>
      </c>
      <c r="AN138" s="8">
        <v>24900</v>
      </c>
      <c r="AO138" s="8">
        <v>9320</v>
      </c>
      <c r="AP138" s="7">
        <v>611000</v>
      </c>
      <c r="AQ138" s="7">
        <v>320000</v>
      </c>
      <c r="AR138" s="7">
        <v>10350</v>
      </c>
      <c r="AS138" s="7">
        <v>35350</v>
      </c>
      <c r="AT138" s="7">
        <v>74500</v>
      </c>
      <c r="AU138" s="8">
        <v>225000</v>
      </c>
      <c r="AV138" s="8">
        <v>34000</v>
      </c>
      <c r="AW138" s="8">
        <v>7550</v>
      </c>
      <c r="AX138" s="8">
        <v>167500</v>
      </c>
      <c r="AY138" s="8">
        <v>36150</v>
      </c>
    </row>
    <row r="139" spans="1:51" x14ac:dyDescent="0.4">
      <c r="A139" s="12">
        <v>41249</v>
      </c>
      <c r="B139" s="9">
        <v>61500</v>
      </c>
      <c r="C139" s="9">
        <v>24850</v>
      </c>
      <c r="D139" s="9">
        <v>68800</v>
      </c>
      <c r="E139" s="9">
        <v>217500</v>
      </c>
      <c r="F139" s="9">
        <v>60800</v>
      </c>
      <c r="G139" s="10">
        <v>44850</v>
      </c>
      <c r="H139" s="10">
        <v>65000</v>
      </c>
      <c r="I139" s="10">
        <v>184000</v>
      </c>
      <c r="J139" s="10">
        <v>83000</v>
      </c>
      <c r="K139" s="10">
        <v>229500</v>
      </c>
      <c r="L139" s="9">
        <v>331500</v>
      </c>
      <c r="M139" s="9">
        <v>1454000</v>
      </c>
      <c r="N139" s="9">
        <v>52800</v>
      </c>
      <c r="O139" s="9">
        <v>151500</v>
      </c>
      <c r="P139" s="9">
        <v>108000</v>
      </c>
      <c r="Q139" s="10">
        <v>217500</v>
      </c>
      <c r="R139" s="10">
        <v>152000</v>
      </c>
      <c r="S139" s="10">
        <v>434500</v>
      </c>
      <c r="T139" s="10">
        <v>37300</v>
      </c>
      <c r="U139" s="10">
        <v>99900</v>
      </c>
      <c r="V139" s="9">
        <v>224500</v>
      </c>
      <c r="W139" s="9">
        <v>22350</v>
      </c>
      <c r="X139" s="9">
        <v>294000</v>
      </c>
      <c r="Y139" s="9">
        <v>26450</v>
      </c>
      <c r="Z139" s="9">
        <v>50100</v>
      </c>
      <c r="AA139" s="10">
        <v>153000</v>
      </c>
      <c r="AB139" s="10">
        <v>360000</v>
      </c>
      <c r="AC139" s="10">
        <v>11550</v>
      </c>
      <c r="AD139" s="10">
        <v>169000</v>
      </c>
      <c r="AE139" s="10">
        <v>34650</v>
      </c>
      <c r="AF139" s="9">
        <v>37350</v>
      </c>
      <c r="AG139" s="9">
        <v>92800</v>
      </c>
      <c r="AH139" s="9">
        <v>85000</v>
      </c>
      <c r="AI139" s="9">
        <v>42700</v>
      </c>
      <c r="AJ139" s="9">
        <v>35100</v>
      </c>
      <c r="AK139" s="10">
        <v>29500</v>
      </c>
      <c r="AL139" s="10">
        <v>233000</v>
      </c>
      <c r="AM139" s="10">
        <v>144000</v>
      </c>
      <c r="AN139" s="10">
        <v>24350</v>
      </c>
      <c r="AO139" s="10">
        <v>9250</v>
      </c>
      <c r="AP139" s="9">
        <v>623000</v>
      </c>
      <c r="AQ139" s="9">
        <v>319500</v>
      </c>
      <c r="AR139" s="9">
        <v>10350</v>
      </c>
      <c r="AS139" s="9">
        <v>35250</v>
      </c>
      <c r="AT139" s="9">
        <v>74000</v>
      </c>
      <c r="AU139" s="10">
        <v>228000</v>
      </c>
      <c r="AV139" s="10">
        <v>33600</v>
      </c>
      <c r="AW139" s="10">
        <v>7490</v>
      </c>
      <c r="AX139" s="10">
        <v>168500</v>
      </c>
      <c r="AY139" s="10">
        <v>36000</v>
      </c>
    </row>
    <row r="140" spans="1:51" x14ac:dyDescent="0.4">
      <c r="A140" s="11">
        <v>41248</v>
      </c>
      <c r="B140" s="7">
        <v>62300</v>
      </c>
      <c r="C140" s="7">
        <v>24850</v>
      </c>
      <c r="D140" s="7">
        <v>67400</v>
      </c>
      <c r="E140" s="7">
        <v>221000</v>
      </c>
      <c r="F140" s="7">
        <v>60500</v>
      </c>
      <c r="G140" s="8">
        <v>44900</v>
      </c>
      <c r="H140" s="8">
        <v>66400</v>
      </c>
      <c r="I140" s="8">
        <v>180500</v>
      </c>
      <c r="J140" s="8">
        <v>79300</v>
      </c>
      <c r="K140" s="8">
        <v>226500</v>
      </c>
      <c r="L140" s="7">
        <v>322000</v>
      </c>
      <c r="M140" s="7">
        <v>1455000</v>
      </c>
      <c r="N140" s="7">
        <v>51600</v>
      </c>
      <c r="O140" s="7">
        <v>154000</v>
      </c>
      <c r="P140" s="7">
        <v>107500</v>
      </c>
      <c r="Q140" s="8">
        <v>211000</v>
      </c>
      <c r="R140" s="8">
        <v>150000</v>
      </c>
      <c r="S140" s="8">
        <v>443000</v>
      </c>
      <c r="T140" s="8">
        <v>36950</v>
      </c>
      <c r="U140" s="8">
        <v>96700</v>
      </c>
      <c r="V140" s="7">
        <v>215500</v>
      </c>
      <c r="W140" s="7">
        <v>22650</v>
      </c>
      <c r="X140" s="7">
        <v>288000</v>
      </c>
      <c r="Y140" s="7">
        <v>26750</v>
      </c>
      <c r="Z140" s="7">
        <v>49950</v>
      </c>
      <c r="AA140" s="8">
        <v>154000</v>
      </c>
      <c r="AB140" s="8">
        <v>359500</v>
      </c>
      <c r="AC140" s="8">
        <v>11400</v>
      </c>
      <c r="AD140" s="8">
        <v>166000</v>
      </c>
      <c r="AE140" s="8">
        <v>34700</v>
      </c>
      <c r="AF140" s="7">
        <v>38000</v>
      </c>
      <c r="AG140" s="7">
        <v>92700</v>
      </c>
      <c r="AH140" s="7">
        <v>85100</v>
      </c>
      <c r="AI140" s="7">
        <v>40800</v>
      </c>
      <c r="AJ140" s="7">
        <v>35350</v>
      </c>
      <c r="AK140" s="8">
        <v>29550</v>
      </c>
      <c r="AL140" s="8">
        <v>253000</v>
      </c>
      <c r="AM140" s="8">
        <v>147000</v>
      </c>
      <c r="AN140" s="8">
        <v>24050</v>
      </c>
      <c r="AO140" s="8">
        <v>9240</v>
      </c>
      <c r="AP140" s="7">
        <v>644000</v>
      </c>
      <c r="AQ140" s="7">
        <v>314000</v>
      </c>
      <c r="AR140" s="7">
        <v>10100</v>
      </c>
      <c r="AS140" s="7">
        <v>34150</v>
      </c>
      <c r="AT140" s="7">
        <v>75100</v>
      </c>
      <c r="AU140" s="8">
        <v>231500</v>
      </c>
      <c r="AV140" s="8">
        <v>33000</v>
      </c>
      <c r="AW140" s="8">
        <v>7550</v>
      </c>
      <c r="AX140" s="8">
        <v>164500</v>
      </c>
      <c r="AY140" s="8">
        <v>35650</v>
      </c>
    </row>
    <row r="141" spans="1:51" x14ac:dyDescent="0.4">
      <c r="A141" s="11">
        <v>41247</v>
      </c>
      <c r="B141" s="7">
        <v>62300</v>
      </c>
      <c r="C141" s="7">
        <v>24450</v>
      </c>
      <c r="D141" s="7">
        <v>66500</v>
      </c>
      <c r="E141" s="7">
        <v>220000</v>
      </c>
      <c r="F141" s="7">
        <v>59600</v>
      </c>
      <c r="G141" s="8">
        <v>44300</v>
      </c>
      <c r="H141" s="8">
        <v>66100</v>
      </c>
      <c r="I141" s="8">
        <v>183500</v>
      </c>
      <c r="J141" s="8">
        <v>78500</v>
      </c>
      <c r="K141" s="8">
        <v>228000</v>
      </c>
      <c r="L141" s="7">
        <v>318500</v>
      </c>
      <c r="M141" s="7">
        <v>1430000</v>
      </c>
      <c r="N141" s="7">
        <v>51700</v>
      </c>
      <c r="O141" s="7">
        <v>156000</v>
      </c>
      <c r="P141" s="7">
        <v>107000</v>
      </c>
      <c r="Q141" s="8">
        <v>210500</v>
      </c>
      <c r="R141" s="8">
        <v>149500</v>
      </c>
      <c r="S141" s="8">
        <v>434000</v>
      </c>
      <c r="T141" s="8">
        <v>36700</v>
      </c>
      <c r="U141" s="8">
        <v>96800</v>
      </c>
      <c r="V141" s="7">
        <v>208000</v>
      </c>
      <c r="W141" s="7">
        <v>22700</v>
      </c>
      <c r="X141" s="7">
        <v>280500</v>
      </c>
      <c r="Y141" s="7">
        <v>26750</v>
      </c>
      <c r="Z141" s="7">
        <v>49500</v>
      </c>
      <c r="AA141" s="8">
        <v>153000</v>
      </c>
      <c r="AB141" s="8">
        <v>357000</v>
      </c>
      <c r="AC141" s="8">
        <v>11450</v>
      </c>
      <c r="AD141" s="8">
        <v>163000</v>
      </c>
      <c r="AE141" s="8">
        <v>35200</v>
      </c>
      <c r="AF141" s="7">
        <v>38500</v>
      </c>
      <c r="AG141" s="7">
        <v>93200</v>
      </c>
      <c r="AH141" s="7">
        <v>84800</v>
      </c>
      <c r="AI141" s="7">
        <v>40900</v>
      </c>
      <c r="AJ141" s="7">
        <v>34550</v>
      </c>
      <c r="AK141" s="8">
        <v>30700</v>
      </c>
      <c r="AL141" s="8">
        <v>263500</v>
      </c>
      <c r="AM141" s="8">
        <v>158500</v>
      </c>
      <c r="AN141" s="8">
        <v>24000</v>
      </c>
      <c r="AO141" s="8">
        <v>9330</v>
      </c>
      <c r="AP141" s="7">
        <v>640000</v>
      </c>
      <c r="AQ141" s="7">
        <v>310500</v>
      </c>
      <c r="AR141" s="7">
        <v>9980</v>
      </c>
      <c r="AS141" s="7">
        <v>34100</v>
      </c>
      <c r="AT141" s="7">
        <v>75800</v>
      </c>
      <c r="AU141" s="8">
        <v>232000</v>
      </c>
      <c r="AV141" s="8">
        <v>32700</v>
      </c>
      <c r="AW141" s="8">
        <v>7460</v>
      </c>
      <c r="AX141" s="8">
        <v>164500</v>
      </c>
      <c r="AY141" s="8">
        <v>35250</v>
      </c>
    </row>
    <row r="142" spans="1:51" x14ac:dyDescent="0.4">
      <c r="A142" s="11">
        <v>41246</v>
      </c>
      <c r="B142" s="7">
        <v>62600</v>
      </c>
      <c r="C142" s="7">
        <v>24400</v>
      </c>
      <c r="D142" s="7">
        <v>67000</v>
      </c>
      <c r="E142" s="7">
        <v>224000</v>
      </c>
      <c r="F142" s="7">
        <v>59800</v>
      </c>
      <c r="G142" s="8">
        <v>44050</v>
      </c>
      <c r="H142" s="8">
        <v>66600</v>
      </c>
      <c r="I142" s="8">
        <v>182000</v>
      </c>
      <c r="J142" s="8">
        <v>79500</v>
      </c>
      <c r="K142" s="8">
        <v>228500</v>
      </c>
      <c r="L142" s="7">
        <v>324500</v>
      </c>
      <c r="M142" s="7">
        <v>1430000</v>
      </c>
      <c r="N142" s="7">
        <v>52300</v>
      </c>
      <c r="O142" s="7">
        <v>156000</v>
      </c>
      <c r="P142" s="7">
        <v>107000</v>
      </c>
      <c r="Q142" s="8">
        <v>208500</v>
      </c>
      <c r="R142" s="8">
        <v>150500</v>
      </c>
      <c r="S142" s="8">
        <v>437500</v>
      </c>
      <c r="T142" s="8">
        <v>36800</v>
      </c>
      <c r="U142" s="8">
        <v>97500</v>
      </c>
      <c r="V142" s="7">
        <v>211000</v>
      </c>
      <c r="W142" s="7">
        <v>22700</v>
      </c>
      <c r="X142" s="7">
        <v>285000</v>
      </c>
      <c r="Y142" s="7">
        <v>26900</v>
      </c>
      <c r="Z142" s="7">
        <v>49500</v>
      </c>
      <c r="AA142" s="8">
        <v>151500</v>
      </c>
      <c r="AB142" s="8">
        <v>359000</v>
      </c>
      <c r="AC142" s="8">
        <v>11450</v>
      </c>
      <c r="AD142" s="8">
        <v>162000</v>
      </c>
      <c r="AE142" s="8">
        <v>36000</v>
      </c>
      <c r="AF142" s="7">
        <v>38200</v>
      </c>
      <c r="AG142" s="7">
        <v>92100</v>
      </c>
      <c r="AH142" s="7">
        <v>87500</v>
      </c>
      <c r="AI142" s="7">
        <v>40150</v>
      </c>
      <c r="AJ142" s="7">
        <v>34300</v>
      </c>
      <c r="AK142" s="8">
        <v>30400</v>
      </c>
      <c r="AL142" s="8">
        <v>262000</v>
      </c>
      <c r="AM142" s="8">
        <v>161500</v>
      </c>
      <c r="AN142" s="8">
        <v>23950</v>
      </c>
      <c r="AO142" s="8">
        <v>9320</v>
      </c>
      <c r="AP142" s="7">
        <v>647000</v>
      </c>
      <c r="AQ142" s="7">
        <v>314000</v>
      </c>
      <c r="AR142" s="7">
        <v>10150</v>
      </c>
      <c r="AS142" s="7">
        <v>34350</v>
      </c>
      <c r="AT142" s="7">
        <v>77200</v>
      </c>
      <c r="AU142" s="8">
        <v>235500</v>
      </c>
      <c r="AV142" s="8">
        <v>33450</v>
      </c>
      <c r="AW142" s="8">
        <v>7460</v>
      </c>
      <c r="AX142" s="8">
        <v>164500</v>
      </c>
      <c r="AY142" s="8">
        <v>35700</v>
      </c>
    </row>
    <row r="143" spans="1:51" x14ac:dyDescent="0.4">
      <c r="A143" s="11">
        <v>41243</v>
      </c>
      <c r="B143" s="7">
        <v>61900</v>
      </c>
      <c r="C143" s="7">
        <v>24400</v>
      </c>
      <c r="D143" s="7">
        <v>68000</v>
      </c>
      <c r="E143" s="7">
        <v>219000</v>
      </c>
      <c r="F143" s="7">
        <v>59400</v>
      </c>
      <c r="G143" s="8">
        <v>44950</v>
      </c>
      <c r="H143" s="8">
        <v>65000</v>
      </c>
      <c r="I143" s="8">
        <v>179500</v>
      </c>
      <c r="J143" s="8">
        <v>80300</v>
      </c>
      <c r="K143" s="8">
        <v>225500</v>
      </c>
      <c r="L143" s="7">
        <v>323500</v>
      </c>
      <c r="M143" s="7">
        <v>1406000</v>
      </c>
      <c r="N143" s="7">
        <v>53400</v>
      </c>
      <c r="O143" s="7">
        <v>155500</v>
      </c>
      <c r="P143" s="7">
        <v>105500</v>
      </c>
      <c r="Q143" s="8">
        <v>211000</v>
      </c>
      <c r="R143" s="8">
        <v>151000</v>
      </c>
      <c r="S143" s="8">
        <v>436500</v>
      </c>
      <c r="T143" s="8">
        <v>36450</v>
      </c>
      <c r="U143" s="8">
        <v>97900</v>
      </c>
      <c r="V143" s="7">
        <v>214500</v>
      </c>
      <c r="W143" s="7">
        <v>22700</v>
      </c>
      <c r="X143" s="7">
        <v>285500</v>
      </c>
      <c r="Y143" s="7">
        <v>26700</v>
      </c>
      <c r="Z143" s="7">
        <v>49500</v>
      </c>
      <c r="AA143" s="8">
        <v>150500</v>
      </c>
      <c r="AB143" s="8">
        <v>358500</v>
      </c>
      <c r="AC143" s="8">
        <v>11500</v>
      </c>
      <c r="AD143" s="8">
        <v>162000</v>
      </c>
      <c r="AE143" s="8">
        <v>36350</v>
      </c>
      <c r="AF143" s="7">
        <v>37700</v>
      </c>
      <c r="AG143" s="7">
        <v>93000</v>
      </c>
      <c r="AH143" s="7">
        <v>85700</v>
      </c>
      <c r="AI143" s="7">
        <v>40650</v>
      </c>
      <c r="AJ143" s="7">
        <v>34600</v>
      </c>
      <c r="AK143" s="8">
        <v>30950</v>
      </c>
      <c r="AL143" s="8">
        <v>252000</v>
      </c>
      <c r="AM143" s="8">
        <v>161500</v>
      </c>
      <c r="AN143" s="8">
        <v>24300</v>
      </c>
      <c r="AO143" s="8">
        <v>9500</v>
      </c>
      <c r="AP143" s="7">
        <v>646000</v>
      </c>
      <c r="AQ143" s="7">
        <v>312000</v>
      </c>
      <c r="AR143" s="7">
        <v>10150</v>
      </c>
      <c r="AS143" s="7">
        <v>34650</v>
      </c>
      <c r="AT143" s="7">
        <v>76300</v>
      </c>
      <c r="AU143" s="8">
        <v>236000</v>
      </c>
      <c r="AV143" s="8">
        <v>33600</v>
      </c>
      <c r="AW143" s="8">
        <v>7520</v>
      </c>
      <c r="AX143" s="8">
        <v>165500</v>
      </c>
      <c r="AY143" s="8">
        <v>35650</v>
      </c>
    </row>
    <row r="144" spans="1:51" x14ac:dyDescent="0.4">
      <c r="A144" s="12">
        <v>41242</v>
      </c>
      <c r="B144" s="9">
        <v>62000</v>
      </c>
      <c r="C144" s="9">
        <v>25400</v>
      </c>
      <c r="D144" s="9">
        <v>67800</v>
      </c>
      <c r="E144" s="9">
        <v>220500</v>
      </c>
      <c r="F144" s="9">
        <v>60300</v>
      </c>
      <c r="G144" s="10">
        <v>44950</v>
      </c>
      <c r="H144" s="10">
        <v>64800</v>
      </c>
      <c r="I144" s="10">
        <v>181000</v>
      </c>
      <c r="J144" s="10">
        <v>81300</v>
      </c>
      <c r="K144" s="10">
        <v>230500</v>
      </c>
      <c r="L144" s="9">
        <v>319500</v>
      </c>
      <c r="M144" s="9">
        <v>1414000</v>
      </c>
      <c r="N144" s="9">
        <v>53000</v>
      </c>
      <c r="O144" s="9">
        <v>155000</v>
      </c>
      <c r="P144" s="9">
        <v>105500</v>
      </c>
      <c r="Q144" s="10">
        <v>210000</v>
      </c>
      <c r="R144" s="10">
        <v>152000</v>
      </c>
      <c r="S144" s="10">
        <v>441000</v>
      </c>
      <c r="T144" s="10">
        <v>35800</v>
      </c>
      <c r="U144" s="10">
        <v>97200</v>
      </c>
      <c r="V144" s="9">
        <v>212500</v>
      </c>
      <c r="W144" s="9">
        <v>22600</v>
      </c>
      <c r="X144" s="9">
        <v>291000</v>
      </c>
      <c r="Y144" s="9">
        <v>26650</v>
      </c>
      <c r="Z144" s="9">
        <v>49350</v>
      </c>
      <c r="AA144" s="10">
        <v>148000</v>
      </c>
      <c r="AB144" s="10">
        <v>358500</v>
      </c>
      <c r="AC144" s="10">
        <v>11400</v>
      </c>
      <c r="AD144" s="10">
        <v>160500</v>
      </c>
      <c r="AE144" s="10">
        <v>37900</v>
      </c>
      <c r="AF144" s="9">
        <v>37350</v>
      </c>
      <c r="AG144" s="9">
        <v>92600</v>
      </c>
      <c r="AH144" s="9">
        <v>84200</v>
      </c>
      <c r="AI144" s="9">
        <v>41700</v>
      </c>
      <c r="AJ144" s="9">
        <v>34400</v>
      </c>
      <c r="AK144" s="10">
        <v>30600</v>
      </c>
      <c r="AL144" s="10">
        <v>254000</v>
      </c>
      <c r="AM144" s="10">
        <v>165000</v>
      </c>
      <c r="AN144" s="10">
        <v>23600</v>
      </c>
      <c r="AO144" s="10">
        <v>9450</v>
      </c>
      <c r="AP144" s="9">
        <v>662000</v>
      </c>
      <c r="AQ144" s="9">
        <v>314000</v>
      </c>
      <c r="AR144" s="9">
        <v>9940</v>
      </c>
      <c r="AS144" s="9">
        <v>34500</v>
      </c>
      <c r="AT144" s="9">
        <v>76700</v>
      </c>
      <c r="AU144" s="10">
        <v>233000</v>
      </c>
      <c r="AV144" s="10">
        <v>33350</v>
      </c>
      <c r="AW144" s="10">
        <v>7440</v>
      </c>
      <c r="AX144" s="10">
        <v>164000</v>
      </c>
      <c r="AY144" s="10">
        <v>35350</v>
      </c>
    </row>
    <row r="145" spans="1:51" x14ac:dyDescent="0.4">
      <c r="A145" s="11">
        <v>41241</v>
      </c>
      <c r="B145" s="7">
        <v>59200</v>
      </c>
      <c r="C145" s="7">
        <v>25350</v>
      </c>
      <c r="D145" s="7">
        <v>65900</v>
      </c>
      <c r="E145" s="7">
        <v>217500</v>
      </c>
      <c r="F145" s="7">
        <v>59500</v>
      </c>
      <c r="G145" s="8">
        <v>44350</v>
      </c>
      <c r="H145" s="8">
        <v>64800</v>
      </c>
      <c r="I145" s="8">
        <v>186500</v>
      </c>
      <c r="J145" s="8">
        <v>79200</v>
      </c>
      <c r="K145" s="8">
        <v>224500</v>
      </c>
      <c r="L145" s="7">
        <v>312500</v>
      </c>
      <c r="M145" s="7">
        <v>1413000</v>
      </c>
      <c r="N145" s="7">
        <v>51000</v>
      </c>
      <c r="O145" s="7">
        <v>155500</v>
      </c>
      <c r="P145" s="7">
        <v>106000</v>
      </c>
      <c r="Q145" s="8">
        <v>203000</v>
      </c>
      <c r="R145" s="8">
        <v>149000</v>
      </c>
      <c r="S145" s="8">
        <v>434000</v>
      </c>
      <c r="T145" s="8">
        <v>34600</v>
      </c>
      <c r="U145" s="8">
        <v>99300</v>
      </c>
      <c r="V145" s="7">
        <v>205500</v>
      </c>
      <c r="W145" s="7">
        <v>23050</v>
      </c>
      <c r="X145" s="7">
        <v>282000</v>
      </c>
      <c r="Y145" s="7">
        <v>26700</v>
      </c>
      <c r="Z145" s="7">
        <v>48250</v>
      </c>
      <c r="AA145" s="8">
        <v>149000</v>
      </c>
      <c r="AB145" s="8">
        <v>356000</v>
      </c>
      <c r="AC145" s="8">
        <v>11150</v>
      </c>
      <c r="AD145" s="8">
        <v>153000</v>
      </c>
      <c r="AE145" s="8">
        <v>37850</v>
      </c>
      <c r="AF145" s="7">
        <v>37850</v>
      </c>
      <c r="AG145" s="7">
        <v>92400</v>
      </c>
      <c r="AH145" s="7">
        <v>83700</v>
      </c>
      <c r="AI145" s="7">
        <v>41750</v>
      </c>
      <c r="AJ145" s="7">
        <v>35750</v>
      </c>
      <c r="AK145" s="8">
        <v>30500</v>
      </c>
      <c r="AL145" s="8">
        <v>256000</v>
      </c>
      <c r="AM145" s="8">
        <v>166500</v>
      </c>
      <c r="AN145" s="8">
        <v>22200</v>
      </c>
      <c r="AO145" s="8">
        <v>9450</v>
      </c>
      <c r="AP145" s="7">
        <v>655000</v>
      </c>
      <c r="AQ145" s="7">
        <v>306500</v>
      </c>
      <c r="AR145" s="7">
        <v>9740</v>
      </c>
      <c r="AS145" s="7">
        <v>33550</v>
      </c>
      <c r="AT145" s="7">
        <v>74900</v>
      </c>
      <c r="AU145" s="8">
        <v>227500</v>
      </c>
      <c r="AV145" s="8">
        <v>32400</v>
      </c>
      <c r="AW145" s="8">
        <v>7450</v>
      </c>
      <c r="AX145" s="8">
        <v>161000</v>
      </c>
      <c r="AY145" s="8">
        <v>34350</v>
      </c>
    </row>
    <row r="146" spans="1:51" x14ac:dyDescent="0.4">
      <c r="A146" s="11">
        <v>41240</v>
      </c>
      <c r="B146" s="7">
        <v>59500</v>
      </c>
      <c r="C146" s="7">
        <v>25550</v>
      </c>
      <c r="D146" s="7">
        <v>66600</v>
      </c>
      <c r="E146" s="7">
        <v>215000</v>
      </c>
      <c r="F146" s="7">
        <v>60400</v>
      </c>
      <c r="G146" s="8">
        <v>44500</v>
      </c>
      <c r="H146" s="8">
        <v>65600</v>
      </c>
      <c r="I146" s="8">
        <v>186000</v>
      </c>
      <c r="J146" s="8">
        <v>80400</v>
      </c>
      <c r="K146" s="8">
        <v>225000</v>
      </c>
      <c r="L146" s="7">
        <v>319500</v>
      </c>
      <c r="M146" s="7">
        <v>1416000</v>
      </c>
      <c r="N146" s="7">
        <v>51600</v>
      </c>
      <c r="O146" s="7">
        <v>153000</v>
      </c>
      <c r="P146" s="7">
        <v>105000</v>
      </c>
      <c r="Q146" s="8">
        <v>206000</v>
      </c>
      <c r="R146" s="8">
        <v>149500</v>
      </c>
      <c r="S146" s="8">
        <v>449500</v>
      </c>
      <c r="T146" s="8">
        <v>35300</v>
      </c>
      <c r="U146" s="8">
        <v>99100</v>
      </c>
      <c r="V146" s="7">
        <v>205000</v>
      </c>
      <c r="W146" s="7">
        <v>23550</v>
      </c>
      <c r="X146" s="7">
        <v>284500</v>
      </c>
      <c r="Y146" s="7">
        <v>26800</v>
      </c>
      <c r="Z146" s="7">
        <v>48400</v>
      </c>
      <c r="AA146" s="8">
        <v>150000</v>
      </c>
      <c r="AB146" s="8">
        <v>351000</v>
      </c>
      <c r="AC146" s="8">
        <v>11150</v>
      </c>
      <c r="AD146" s="8">
        <v>153500</v>
      </c>
      <c r="AE146" s="8">
        <v>39000</v>
      </c>
      <c r="AF146" s="7">
        <v>38300</v>
      </c>
      <c r="AG146" s="7">
        <v>92500</v>
      </c>
      <c r="AH146" s="7">
        <v>84600</v>
      </c>
      <c r="AI146" s="7">
        <v>42500</v>
      </c>
      <c r="AJ146" s="7">
        <v>36200</v>
      </c>
      <c r="AK146" s="8">
        <v>30100</v>
      </c>
      <c r="AL146" s="8">
        <v>257500</v>
      </c>
      <c r="AM146" s="8">
        <v>166500</v>
      </c>
      <c r="AN146" s="8">
        <v>22600</v>
      </c>
      <c r="AO146" s="8">
        <v>9540</v>
      </c>
      <c r="AP146" s="7">
        <v>665000</v>
      </c>
      <c r="AQ146" s="7">
        <v>309000</v>
      </c>
      <c r="AR146" s="7">
        <v>9990</v>
      </c>
      <c r="AS146" s="7">
        <v>34100</v>
      </c>
      <c r="AT146" s="7">
        <v>77000</v>
      </c>
      <c r="AU146" s="8">
        <v>228500</v>
      </c>
      <c r="AV146" s="8">
        <v>32600</v>
      </c>
      <c r="AW146" s="8">
        <v>7550</v>
      </c>
      <c r="AX146" s="8">
        <v>162500</v>
      </c>
      <c r="AY146" s="8">
        <v>35050</v>
      </c>
    </row>
    <row r="147" spans="1:51" x14ac:dyDescent="0.4">
      <c r="A147" s="11">
        <v>41239</v>
      </c>
      <c r="B147" s="7">
        <v>57800</v>
      </c>
      <c r="C147" s="7">
        <v>25800</v>
      </c>
      <c r="D147" s="7">
        <v>63000</v>
      </c>
      <c r="E147" s="7">
        <v>217500</v>
      </c>
      <c r="F147" s="7">
        <v>58400</v>
      </c>
      <c r="G147" s="8">
        <v>44000</v>
      </c>
      <c r="H147" s="8">
        <v>65300</v>
      </c>
      <c r="I147" s="8">
        <v>178000</v>
      </c>
      <c r="J147" s="8">
        <v>77100</v>
      </c>
      <c r="K147" s="8">
        <v>217000</v>
      </c>
      <c r="L147" s="7">
        <v>318000</v>
      </c>
      <c r="M147" s="7">
        <v>1404000</v>
      </c>
      <c r="N147" s="7">
        <v>48650</v>
      </c>
      <c r="O147" s="7">
        <v>154000</v>
      </c>
      <c r="P147" s="7">
        <v>103000</v>
      </c>
      <c r="Q147" s="8">
        <v>198000</v>
      </c>
      <c r="R147" s="8">
        <v>146500</v>
      </c>
      <c r="S147" s="8">
        <v>437000</v>
      </c>
      <c r="T147" s="8">
        <v>34900</v>
      </c>
      <c r="U147" s="8">
        <v>97500</v>
      </c>
      <c r="V147" s="7">
        <v>193500</v>
      </c>
      <c r="W147" s="7">
        <v>24300</v>
      </c>
      <c r="X147" s="7">
        <v>269500</v>
      </c>
      <c r="Y147" s="7">
        <v>27150</v>
      </c>
      <c r="Z147" s="7">
        <v>46750</v>
      </c>
      <c r="AA147" s="8">
        <v>152000</v>
      </c>
      <c r="AB147" s="8">
        <v>358500</v>
      </c>
      <c r="AC147" s="8">
        <v>11050</v>
      </c>
      <c r="AD147" s="8">
        <v>148000</v>
      </c>
      <c r="AE147" s="8">
        <v>37800</v>
      </c>
      <c r="AF147" s="7">
        <v>39550</v>
      </c>
      <c r="AG147" s="7">
        <v>92900</v>
      </c>
      <c r="AH147" s="7">
        <v>85300</v>
      </c>
      <c r="AI147" s="7">
        <v>42000</v>
      </c>
      <c r="AJ147" s="7">
        <v>35800</v>
      </c>
      <c r="AK147" s="8">
        <v>31500</v>
      </c>
      <c r="AL147" s="8">
        <v>265000</v>
      </c>
      <c r="AM147" s="8">
        <v>164500</v>
      </c>
      <c r="AN147" s="8">
        <v>22050</v>
      </c>
      <c r="AO147" s="8">
        <v>9340</v>
      </c>
      <c r="AP147" s="7">
        <v>646000</v>
      </c>
      <c r="AQ147" s="7">
        <v>306000</v>
      </c>
      <c r="AR147" s="7">
        <v>9760</v>
      </c>
      <c r="AS147" s="7">
        <v>34000</v>
      </c>
      <c r="AT147" s="7">
        <v>76200</v>
      </c>
      <c r="AU147" s="8">
        <v>219500</v>
      </c>
      <c r="AV147" s="8">
        <v>32300</v>
      </c>
      <c r="AW147" s="8">
        <v>7500</v>
      </c>
      <c r="AX147" s="8">
        <v>158000</v>
      </c>
      <c r="AY147" s="8">
        <v>34500</v>
      </c>
    </row>
    <row r="148" spans="1:51" x14ac:dyDescent="0.4">
      <c r="A148" s="11">
        <v>41236</v>
      </c>
      <c r="B148" s="7">
        <v>57400</v>
      </c>
      <c r="C148" s="7">
        <v>25700</v>
      </c>
      <c r="D148" s="7">
        <v>62700</v>
      </c>
      <c r="E148" s="7">
        <v>215000</v>
      </c>
      <c r="F148" s="7">
        <v>58900</v>
      </c>
      <c r="G148" s="8">
        <v>44250</v>
      </c>
      <c r="H148" s="8">
        <v>65300</v>
      </c>
      <c r="I148" s="8">
        <v>180000</v>
      </c>
      <c r="J148" s="8">
        <v>76400</v>
      </c>
      <c r="K148" s="8">
        <v>216500</v>
      </c>
      <c r="L148" s="7">
        <v>313500</v>
      </c>
      <c r="M148" s="7">
        <v>1437000</v>
      </c>
      <c r="N148" s="7">
        <v>48750</v>
      </c>
      <c r="O148" s="7">
        <v>155000</v>
      </c>
      <c r="P148" s="7">
        <v>103500</v>
      </c>
      <c r="Q148" s="8">
        <v>195500</v>
      </c>
      <c r="R148" s="8">
        <v>146500</v>
      </c>
      <c r="S148" s="8">
        <v>439000</v>
      </c>
      <c r="T148" s="8">
        <v>34250</v>
      </c>
      <c r="U148" s="8">
        <v>96800</v>
      </c>
      <c r="V148" s="7">
        <v>191000</v>
      </c>
      <c r="W148" s="7">
        <v>23850</v>
      </c>
      <c r="X148" s="7">
        <v>267000</v>
      </c>
      <c r="Y148" s="7">
        <v>27050</v>
      </c>
      <c r="Z148" s="7">
        <v>46950</v>
      </c>
      <c r="AA148" s="8">
        <v>152000</v>
      </c>
      <c r="AB148" s="8">
        <v>355000</v>
      </c>
      <c r="AC148" s="8">
        <v>11050</v>
      </c>
      <c r="AD148" s="8">
        <v>152500</v>
      </c>
      <c r="AE148" s="8">
        <v>37550</v>
      </c>
      <c r="AF148" s="7">
        <v>39750</v>
      </c>
      <c r="AG148" s="7">
        <v>92500</v>
      </c>
      <c r="AH148" s="7">
        <v>85300</v>
      </c>
      <c r="AI148" s="7">
        <v>42700</v>
      </c>
      <c r="AJ148" s="7">
        <v>36200</v>
      </c>
      <c r="AK148" s="8">
        <v>27800</v>
      </c>
      <c r="AL148" s="8">
        <v>265500</v>
      </c>
      <c r="AM148" s="8">
        <v>163000</v>
      </c>
      <c r="AN148" s="8">
        <v>21550</v>
      </c>
      <c r="AO148" s="8">
        <v>9130</v>
      </c>
      <c r="AP148" s="7">
        <v>662000</v>
      </c>
      <c r="AQ148" s="7">
        <v>301000</v>
      </c>
      <c r="AR148" s="7">
        <v>9910</v>
      </c>
      <c r="AS148" s="7">
        <v>34300</v>
      </c>
      <c r="AT148" s="7">
        <v>76300</v>
      </c>
      <c r="AU148" s="8">
        <v>215500</v>
      </c>
      <c r="AV148" s="8">
        <v>32300</v>
      </c>
      <c r="AW148" s="8">
        <v>7410</v>
      </c>
      <c r="AX148" s="8">
        <v>157000</v>
      </c>
      <c r="AY148" s="8">
        <v>34850</v>
      </c>
    </row>
    <row r="149" spans="1:51" x14ac:dyDescent="0.4">
      <c r="A149" s="12">
        <v>41235</v>
      </c>
      <c r="B149" s="9">
        <v>55800</v>
      </c>
      <c r="C149" s="9">
        <v>25600</v>
      </c>
      <c r="D149" s="9">
        <v>63200</v>
      </c>
      <c r="E149" s="9">
        <v>213500</v>
      </c>
      <c r="F149" s="9">
        <v>59000</v>
      </c>
      <c r="G149" s="10">
        <v>45100</v>
      </c>
      <c r="H149" s="10">
        <v>66100</v>
      </c>
      <c r="I149" s="10">
        <v>180000</v>
      </c>
      <c r="J149" s="10">
        <v>76100</v>
      </c>
      <c r="K149" s="10">
        <v>210000</v>
      </c>
      <c r="L149" s="9">
        <v>309000</v>
      </c>
      <c r="M149" s="9">
        <v>1417000</v>
      </c>
      <c r="N149" s="9">
        <v>49850</v>
      </c>
      <c r="O149" s="9">
        <v>153000</v>
      </c>
      <c r="P149" s="9">
        <v>98800</v>
      </c>
      <c r="Q149" s="10">
        <v>198000</v>
      </c>
      <c r="R149" s="10">
        <v>147000</v>
      </c>
      <c r="S149" s="10">
        <v>435500</v>
      </c>
      <c r="T149" s="10">
        <v>33850</v>
      </c>
      <c r="U149" s="10">
        <v>97100</v>
      </c>
      <c r="V149" s="9">
        <v>192000</v>
      </c>
      <c r="W149" s="9">
        <v>24200</v>
      </c>
      <c r="X149" s="9">
        <v>263500</v>
      </c>
      <c r="Y149" s="9">
        <v>27200</v>
      </c>
      <c r="Z149" s="9">
        <v>46750</v>
      </c>
      <c r="AA149" s="10">
        <v>152500</v>
      </c>
      <c r="AB149" s="10">
        <v>359500</v>
      </c>
      <c r="AC149" s="10">
        <v>11150</v>
      </c>
      <c r="AD149" s="10">
        <v>145500</v>
      </c>
      <c r="AE149" s="10">
        <v>38300</v>
      </c>
      <c r="AF149" s="9">
        <v>39450</v>
      </c>
      <c r="AG149" s="9">
        <v>93000</v>
      </c>
      <c r="AH149" s="9">
        <v>86400</v>
      </c>
      <c r="AI149" s="9">
        <v>42750</v>
      </c>
      <c r="AJ149" s="9">
        <v>35800</v>
      </c>
      <c r="AK149" s="10">
        <v>27800</v>
      </c>
      <c r="AL149" s="10">
        <v>262000</v>
      </c>
      <c r="AM149" s="10">
        <v>159500</v>
      </c>
      <c r="AN149" s="10">
        <v>21650</v>
      </c>
      <c r="AO149" s="10">
        <v>9250</v>
      </c>
      <c r="AP149" s="9">
        <v>659000</v>
      </c>
      <c r="AQ149" s="9">
        <v>296500</v>
      </c>
      <c r="AR149" s="9">
        <v>9870</v>
      </c>
      <c r="AS149" s="9">
        <v>34450</v>
      </c>
      <c r="AT149" s="9">
        <v>77300</v>
      </c>
      <c r="AU149" s="10">
        <v>216000</v>
      </c>
      <c r="AV149" s="10">
        <v>32200</v>
      </c>
      <c r="AW149" s="10">
        <v>7490</v>
      </c>
      <c r="AX149" s="10">
        <v>156000</v>
      </c>
      <c r="AY149" s="10">
        <v>34900</v>
      </c>
    </row>
    <row r="150" spans="1:51" x14ac:dyDescent="0.4">
      <c r="A150" s="11">
        <v>41234</v>
      </c>
      <c r="B150" s="7">
        <v>54700</v>
      </c>
      <c r="C150" s="7">
        <v>24900</v>
      </c>
      <c r="D150" s="7">
        <v>62000</v>
      </c>
      <c r="E150" s="7">
        <v>211500</v>
      </c>
      <c r="F150" s="7">
        <v>56500</v>
      </c>
      <c r="G150" s="8">
        <v>45150</v>
      </c>
      <c r="H150" s="8">
        <v>66200</v>
      </c>
      <c r="I150" s="8">
        <v>179000</v>
      </c>
      <c r="J150" s="8">
        <v>75900</v>
      </c>
      <c r="K150" s="8">
        <v>212500</v>
      </c>
      <c r="L150" s="7">
        <v>308000</v>
      </c>
      <c r="M150" s="7">
        <v>1384000</v>
      </c>
      <c r="N150" s="7">
        <v>49000</v>
      </c>
      <c r="O150" s="7">
        <v>152500</v>
      </c>
      <c r="P150" s="7">
        <v>95400</v>
      </c>
      <c r="Q150" s="8">
        <v>199500</v>
      </c>
      <c r="R150" s="8">
        <v>146500</v>
      </c>
      <c r="S150" s="8">
        <v>429000</v>
      </c>
      <c r="T150" s="8">
        <v>34000</v>
      </c>
      <c r="U150" s="8">
        <v>95900</v>
      </c>
      <c r="V150" s="7">
        <v>194000</v>
      </c>
      <c r="W150" s="7">
        <v>24000</v>
      </c>
      <c r="X150" s="7">
        <v>264500</v>
      </c>
      <c r="Y150" s="7">
        <v>27000</v>
      </c>
      <c r="Z150" s="7">
        <v>46600</v>
      </c>
      <c r="AA150" s="8">
        <v>150500</v>
      </c>
      <c r="AB150" s="8">
        <v>349000</v>
      </c>
      <c r="AC150" s="8">
        <v>11000</v>
      </c>
      <c r="AD150" s="8">
        <v>145000</v>
      </c>
      <c r="AE150" s="8">
        <v>41000</v>
      </c>
      <c r="AF150" s="7">
        <v>38750</v>
      </c>
      <c r="AG150" s="7">
        <v>93300</v>
      </c>
      <c r="AH150" s="7">
        <v>85800</v>
      </c>
      <c r="AI150" s="7">
        <v>42250</v>
      </c>
      <c r="AJ150" s="7">
        <v>35100</v>
      </c>
      <c r="AK150" s="8">
        <v>28050</v>
      </c>
      <c r="AL150" s="8">
        <v>261500</v>
      </c>
      <c r="AM150" s="8">
        <v>158500</v>
      </c>
      <c r="AN150" s="8">
        <v>21500</v>
      </c>
      <c r="AO150" s="8">
        <v>9140</v>
      </c>
      <c r="AP150" s="7">
        <v>660000</v>
      </c>
      <c r="AQ150" s="7">
        <v>296500</v>
      </c>
      <c r="AR150" s="7">
        <v>9760</v>
      </c>
      <c r="AS150" s="7">
        <v>34250</v>
      </c>
      <c r="AT150" s="7">
        <v>76400</v>
      </c>
      <c r="AU150" s="8">
        <v>215500</v>
      </c>
      <c r="AV150" s="8">
        <v>32000</v>
      </c>
      <c r="AW150" s="8">
        <v>7450</v>
      </c>
      <c r="AX150" s="8">
        <v>156000</v>
      </c>
      <c r="AY150" s="8">
        <v>34350</v>
      </c>
    </row>
    <row r="151" spans="1:51" x14ac:dyDescent="0.4">
      <c r="A151" s="11">
        <v>41233</v>
      </c>
      <c r="B151" s="7">
        <v>55500</v>
      </c>
      <c r="C151" s="7">
        <v>25350</v>
      </c>
      <c r="D151" s="7">
        <v>63100</v>
      </c>
      <c r="E151" s="7">
        <v>213000</v>
      </c>
      <c r="F151" s="7">
        <v>56100</v>
      </c>
      <c r="G151" s="8">
        <v>46000</v>
      </c>
      <c r="H151" s="8">
        <v>67500</v>
      </c>
      <c r="I151" s="8">
        <v>174000</v>
      </c>
      <c r="J151" s="8">
        <v>78000</v>
      </c>
      <c r="K151" s="8">
        <v>212500</v>
      </c>
      <c r="L151" s="7">
        <v>316500</v>
      </c>
      <c r="M151" s="7">
        <v>1364000</v>
      </c>
      <c r="N151" s="7">
        <v>49650</v>
      </c>
      <c r="O151" s="7">
        <v>151000</v>
      </c>
      <c r="P151" s="7">
        <v>97400</v>
      </c>
      <c r="Q151" s="8">
        <v>201500</v>
      </c>
      <c r="R151" s="8">
        <v>148500</v>
      </c>
      <c r="S151" s="8">
        <v>435000</v>
      </c>
      <c r="T151" s="8">
        <v>34600</v>
      </c>
      <c r="U151" s="8">
        <v>97200</v>
      </c>
      <c r="V151" s="7">
        <v>199000</v>
      </c>
      <c r="W151" s="7">
        <v>24100</v>
      </c>
      <c r="X151" s="7">
        <v>267500</v>
      </c>
      <c r="Y151" s="7">
        <v>27300</v>
      </c>
      <c r="Z151" s="7">
        <v>47250</v>
      </c>
      <c r="AA151" s="8">
        <v>151500</v>
      </c>
      <c r="AB151" s="8">
        <v>347000</v>
      </c>
      <c r="AC151" s="8">
        <v>11100</v>
      </c>
      <c r="AD151" s="8">
        <v>145000</v>
      </c>
      <c r="AE151" s="8">
        <v>41650</v>
      </c>
      <c r="AF151" s="7">
        <v>39100</v>
      </c>
      <c r="AG151" s="7">
        <v>93300</v>
      </c>
      <c r="AH151" s="7">
        <v>82500</v>
      </c>
      <c r="AI151" s="7">
        <v>42900</v>
      </c>
      <c r="AJ151" s="7">
        <v>36050</v>
      </c>
      <c r="AK151" s="8">
        <v>28100</v>
      </c>
      <c r="AL151" s="8">
        <v>262500</v>
      </c>
      <c r="AM151" s="8">
        <v>166000</v>
      </c>
      <c r="AN151" s="8">
        <v>21750</v>
      </c>
      <c r="AO151" s="8">
        <v>9000</v>
      </c>
      <c r="AP151" s="7">
        <v>645000</v>
      </c>
      <c r="AQ151" s="7">
        <v>300000</v>
      </c>
      <c r="AR151" s="7">
        <v>10000</v>
      </c>
      <c r="AS151" s="7">
        <v>34550</v>
      </c>
      <c r="AT151" s="7">
        <v>79300</v>
      </c>
      <c r="AU151" s="8">
        <v>208000</v>
      </c>
      <c r="AV151" s="8">
        <v>32200</v>
      </c>
      <c r="AW151" s="8">
        <v>7470</v>
      </c>
      <c r="AX151" s="8">
        <v>158500</v>
      </c>
      <c r="AY151" s="8">
        <v>34900</v>
      </c>
    </row>
    <row r="152" spans="1:51" x14ac:dyDescent="0.4">
      <c r="A152" s="11">
        <v>41232</v>
      </c>
      <c r="B152" s="7">
        <v>56800</v>
      </c>
      <c r="C152" s="7">
        <v>25200</v>
      </c>
      <c r="D152" s="7">
        <v>63000</v>
      </c>
      <c r="E152" s="7">
        <v>217500</v>
      </c>
      <c r="F152" s="7">
        <v>55600</v>
      </c>
      <c r="G152" s="8">
        <v>45650</v>
      </c>
      <c r="H152" s="8">
        <v>67100</v>
      </c>
      <c r="I152" s="8">
        <v>176500</v>
      </c>
      <c r="J152" s="8">
        <v>78000</v>
      </c>
      <c r="K152" s="8">
        <v>214000</v>
      </c>
      <c r="L152" s="7">
        <v>317000</v>
      </c>
      <c r="M152" s="7">
        <v>1332000</v>
      </c>
      <c r="N152" s="7">
        <v>49000</v>
      </c>
      <c r="O152" s="7">
        <v>151500</v>
      </c>
      <c r="P152" s="7">
        <v>97100</v>
      </c>
      <c r="Q152" s="8">
        <v>203000</v>
      </c>
      <c r="R152" s="8">
        <v>148000</v>
      </c>
      <c r="S152" s="8">
        <v>416500</v>
      </c>
      <c r="T152" s="8">
        <v>34250</v>
      </c>
      <c r="U152" s="8">
        <v>97100</v>
      </c>
      <c r="V152" s="7">
        <v>196000</v>
      </c>
      <c r="W152" s="7">
        <v>24150</v>
      </c>
      <c r="X152" s="7">
        <v>271500</v>
      </c>
      <c r="Y152" s="7">
        <v>27400</v>
      </c>
      <c r="Z152" s="7">
        <v>46900</v>
      </c>
      <c r="AA152" s="8">
        <v>151500</v>
      </c>
      <c r="AB152" s="8">
        <v>331000</v>
      </c>
      <c r="AC152" s="8">
        <v>11150</v>
      </c>
      <c r="AD152" s="8">
        <v>144500</v>
      </c>
      <c r="AE152" s="8">
        <v>41850</v>
      </c>
      <c r="AF152" s="7">
        <v>39550</v>
      </c>
      <c r="AG152" s="7">
        <v>93300</v>
      </c>
      <c r="AH152" s="7">
        <v>82300</v>
      </c>
      <c r="AI152" s="7">
        <v>41900</v>
      </c>
      <c r="AJ152" s="7">
        <v>34650</v>
      </c>
      <c r="AK152" s="8">
        <v>27750</v>
      </c>
      <c r="AL152" s="8">
        <v>247000</v>
      </c>
      <c r="AM152" s="8">
        <v>156000</v>
      </c>
      <c r="AN152" s="8">
        <v>21800</v>
      </c>
      <c r="AO152" s="8">
        <v>9080</v>
      </c>
      <c r="AP152" s="7">
        <v>641000</v>
      </c>
      <c r="AQ152" s="7">
        <v>297000</v>
      </c>
      <c r="AR152" s="7">
        <v>9940</v>
      </c>
      <c r="AS152" s="7">
        <v>34700</v>
      </c>
      <c r="AT152" s="7">
        <v>79300</v>
      </c>
      <c r="AU152" s="8">
        <v>210500</v>
      </c>
      <c r="AV152" s="8">
        <v>31450</v>
      </c>
      <c r="AW152" s="8">
        <v>7540</v>
      </c>
      <c r="AX152" s="8">
        <v>158000</v>
      </c>
      <c r="AY152" s="8">
        <v>34800</v>
      </c>
    </row>
    <row r="153" spans="1:51" x14ac:dyDescent="0.4">
      <c r="A153" s="11">
        <v>41229</v>
      </c>
      <c r="B153" s="7">
        <v>58200</v>
      </c>
      <c r="C153" s="7">
        <v>24950</v>
      </c>
      <c r="D153" s="7">
        <v>60900</v>
      </c>
      <c r="E153" s="7">
        <v>216000</v>
      </c>
      <c r="F153" s="7">
        <v>55100</v>
      </c>
      <c r="G153" s="8">
        <v>45100</v>
      </c>
      <c r="H153" s="8">
        <v>67700</v>
      </c>
      <c r="I153" s="8">
        <v>169500</v>
      </c>
      <c r="J153" s="8">
        <v>76100</v>
      </c>
      <c r="K153" s="8">
        <v>215500</v>
      </c>
      <c r="L153" s="7">
        <v>316000</v>
      </c>
      <c r="M153" s="7">
        <v>1307000</v>
      </c>
      <c r="N153" s="7">
        <v>47500</v>
      </c>
      <c r="O153" s="7">
        <v>151500</v>
      </c>
      <c r="P153" s="7">
        <v>96900</v>
      </c>
      <c r="Q153" s="8">
        <v>197500</v>
      </c>
      <c r="R153" s="8">
        <v>147500</v>
      </c>
      <c r="S153" s="8">
        <v>423000</v>
      </c>
      <c r="T153" s="8">
        <v>33650</v>
      </c>
      <c r="U153" s="8">
        <v>96000</v>
      </c>
      <c r="V153" s="7">
        <v>195000</v>
      </c>
      <c r="W153" s="7">
        <v>24000</v>
      </c>
      <c r="X153" s="7">
        <v>271000</v>
      </c>
      <c r="Y153" s="7">
        <v>27600</v>
      </c>
      <c r="Z153" s="7">
        <v>46250</v>
      </c>
      <c r="AA153" s="8">
        <v>151000</v>
      </c>
      <c r="AB153" s="8">
        <v>332500</v>
      </c>
      <c r="AC153" s="8">
        <v>11300</v>
      </c>
      <c r="AD153" s="8">
        <v>145000</v>
      </c>
      <c r="AE153" s="8">
        <v>41600</v>
      </c>
      <c r="AF153" s="7">
        <v>39550</v>
      </c>
      <c r="AG153" s="7">
        <v>92500</v>
      </c>
      <c r="AH153" s="7">
        <v>81900</v>
      </c>
      <c r="AI153" s="7">
        <v>41800</v>
      </c>
      <c r="AJ153" s="7">
        <v>34050</v>
      </c>
      <c r="AK153" s="8">
        <v>26400</v>
      </c>
      <c r="AL153" s="8">
        <v>244000</v>
      </c>
      <c r="AM153" s="8">
        <v>156000</v>
      </c>
      <c r="AN153" s="8">
        <v>21200</v>
      </c>
      <c r="AO153" s="8">
        <v>8860</v>
      </c>
      <c r="AP153" s="7">
        <v>629000</v>
      </c>
      <c r="AQ153" s="7">
        <v>295000</v>
      </c>
      <c r="AR153" s="7">
        <v>9970</v>
      </c>
      <c r="AS153" s="7">
        <v>34800</v>
      </c>
      <c r="AT153" s="7">
        <v>80500</v>
      </c>
      <c r="AU153" s="8">
        <v>215000</v>
      </c>
      <c r="AV153" s="8">
        <v>31200</v>
      </c>
      <c r="AW153" s="8">
        <v>7420</v>
      </c>
      <c r="AX153" s="8">
        <v>156500</v>
      </c>
      <c r="AY153" s="8">
        <v>34850</v>
      </c>
    </row>
    <row r="154" spans="1:51" x14ac:dyDescent="0.4">
      <c r="A154" s="12">
        <v>41228</v>
      </c>
      <c r="B154" s="9">
        <v>54900</v>
      </c>
      <c r="C154" s="9">
        <v>26150</v>
      </c>
      <c r="D154" s="9">
        <v>60900</v>
      </c>
      <c r="E154" s="9">
        <v>212500</v>
      </c>
      <c r="F154" s="9">
        <v>56500</v>
      </c>
      <c r="G154" s="10">
        <v>46300</v>
      </c>
      <c r="H154" s="10">
        <v>68500</v>
      </c>
      <c r="I154" s="10">
        <v>169000</v>
      </c>
      <c r="J154" s="10">
        <v>75900</v>
      </c>
      <c r="K154" s="10">
        <v>211500</v>
      </c>
      <c r="L154" s="9">
        <v>318000</v>
      </c>
      <c r="M154" s="9">
        <v>1331000</v>
      </c>
      <c r="N154" s="9">
        <v>48500</v>
      </c>
      <c r="O154" s="9">
        <v>149000</v>
      </c>
      <c r="P154" s="9">
        <v>96400</v>
      </c>
      <c r="Q154" s="10">
        <v>196500</v>
      </c>
      <c r="R154" s="10">
        <v>152000</v>
      </c>
      <c r="S154" s="10">
        <v>418000</v>
      </c>
      <c r="T154" s="10">
        <v>33400</v>
      </c>
      <c r="U154" s="10">
        <v>96200</v>
      </c>
      <c r="V154" s="9">
        <v>197500</v>
      </c>
      <c r="W154" s="9">
        <v>24200</v>
      </c>
      <c r="X154" s="9">
        <v>268500</v>
      </c>
      <c r="Y154" s="9">
        <v>27300</v>
      </c>
      <c r="Z154" s="9">
        <v>46650</v>
      </c>
      <c r="AA154" s="10">
        <v>151500</v>
      </c>
      <c r="AB154" s="10">
        <v>335500</v>
      </c>
      <c r="AC154" s="10">
        <v>11500</v>
      </c>
      <c r="AD154" s="10">
        <v>144000</v>
      </c>
      <c r="AE154" s="10">
        <v>42350</v>
      </c>
      <c r="AF154" s="9">
        <v>39050</v>
      </c>
      <c r="AG154" s="9">
        <v>93500</v>
      </c>
      <c r="AH154" s="9">
        <v>82300</v>
      </c>
      <c r="AI154" s="9">
        <v>42850</v>
      </c>
      <c r="AJ154" s="9">
        <v>34250</v>
      </c>
      <c r="AK154" s="10">
        <v>26500</v>
      </c>
      <c r="AL154" s="10">
        <v>241000</v>
      </c>
      <c r="AM154" s="10">
        <v>162500</v>
      </c>
      <c r="AN154" s="10">
        <v>21700</v>
      </c>
      <c r="AO154" s="10">
        <v>8940</v>
      </c>
      <c r="AP154" s="9">
        <v>633000</v>
      </c>
      <c r="AQ154" s="9">
        <v>296000</v>
      </c>
      <c r="AR154" s="9">
        <v>10050</v>
      </c>
      <c r="AS154" s="9">
        <v>35000</v>
      </c>
      <c r="AT154" s="9">
        <v>81000</v>
      </c>
      <c r="AU154" s="10">
        <v>207000</v>
      </c>
      <c r="AV154" s="10">
        <v>30350</v>
      </c>
      <c r="AW154" s="10">
        <v>7540</v>
      </c>
      <c r="AX154" s="10">
        <v>156000</v>
      </c>
      <c r="AY154" s="10">
        <v>34950</v>
      </c>
    </row>
    <row r="155" spans="1:51" x14ac:dyDescent="0.4">
      <c r="A155" s="11">
        <v>41227</v>
      </c>
      <c r="B155" s="7">
        <v>55300</v>
      </c>
      <c r="C155" s="7">
        <v>26600</v>
      </c>
      <c r="D155" s="7">
        <v>60600</v>
      </c>
      <c r="E155" s="7">
        <v>213000</v>
      </c>
      <c r="F155" s="7">
        <v>56900</v>
      </c>
      <c r="G155" s="8">
        <v>47150</v>
      </c>
      <c r="H155" s="8">
        <v>69100</v>
      </c>
      <c r="I155" s="8">
        <v>168000</v>
      </c>
      <c r="J155" s="8">
        <v>75900</v>
      </c>
      <c r="K155" s="8">
        <v>216500</v>
      </c>
      <c r="L155" s="7">
        <v>325000</v>
      </c>
      <c r="M155" s="7">
        <v>1355000</v>
      </c>
      <c r="N155" s="7">
        <v>50000</v>
      </c>
      <c r="O155" s="7">
        <v>149000</v>
      </c>
      <c r="P155" s="7">
        <v>94900</v>
      </c>
      <c r="Q155" s="8">
        <v>199500</v>
      </c>
      <c r="R155" s="8">
        <v>153500</v>
      </c>
      <c r="S155" s="8">
        <v>431000</v>
      </c>
      <c r="T155" s="8">
        <v>33600</v>
      </c>
      <c r="U155" s="8">
        <v>96100</v>
      </c>
      <c r="V155" s="7">
        <v>202000</v>
      </c>
      <c r="W155" s="7">
        <v>25000</v>
      </c>
      <c r="X155" s="7">
        <v>273000</v>
      </c>
      <c r="Y155" s="7">
        <v>27100</v>
      </c>
      <c r="Z155" s="7">
        <v>47200</v>
      </c>
      <c r="AA155" s="8">
        <v>151000</v>
      </c>
      <c r="AB155" s="8">
        <v>344000</v>
      </c>
      <c r="AC155" s="8">
        <v>11750</v>
      </c>
      <c r="AD155" s="8">
        <v>152000</v>
      </c>
      <c r="AE155" s="8">
        <v>42500</v>
      </c>
      <c r="AF155" s="7">
        <v>38700</v>
      </c>
      <c r="AG155" s="7">
        <v>93400</v>
      </c>
      <c r="AH155" s="7">
        <v>83500</v>
      </c>
      <c r="AI155" s="7">
        <v>43650</v>
      </c>
      <c r="AJ155" s="7">
        <v>34950</v>
      </c>
      <c r="AK155" s="8">
        <v>27400</v>
      </c>
      <c r="AL155" s="8">
        <v>236000</v>
      </c>
      <c r="AM155" s="8">
        <v>159500</v>
      </c>
      <c r="AN155" s="8">
        <v>22250</v>
      </c>
      <c r="AO155" s="8">
        <v>9040</v>
      </c>
      <c r="AP155" s="7">
        <v>644000</v>
      </c>
      <c r="AQ155" s="7">
        <v>296000</v>
      </c>
      <c r="AR155" s="7">
        <v>10300</v>
      </c>
      <c r="AS155" s="7">
        <v>35200</v>
      </c>
      <c r="AT155" s="7">
        <v>82000</v>
      </c>
      <c r="AU155" s="8">
        <v>214000</v>
      </c>
      <c r="AV155" s="8">
        <v>30650</v>
      </c>
      <c r="AW155" s="8">
        <v>7630</v>
      </c>
      <c r="AX155" s="8">
        <v>158500</v>
      </c>
      <c r="AY155" s="8">
        <v>35150</v>
      </c>
    </row>
    <row r="156" spans="1:51" x14ac:dyDescent="0.4">
      <c r="A156" s="11">
        <v>41226</v>
      </c>
      <c r="B156" s="7">
        <v>55300</v>
      </c>
      <c r="C156" s="7">
        <v>25350</v>
      </c>
      <c r="D156" s="7">
        <v>60100</v>
      </c>
      <c r="E156" s="7">
        <v>214500</v>
      </c>
      <c r="F156" s="7">
        <v>55900</v>
      </c>
      <c r="G156" s="8">
        <v>47450</v>
      </c>
      <c r="H156" s="8">
        <v>68500</v>
      </c>
      <c r="I156" s="8">
        <v>171500</v>
      </c>
      <c r="J156" s="8">
        <v>75400</v>
      </c>
      <c r="K156" s="8">
        <v>212000</v>
      </c>
      <c r="L156" s="7">
        <v>325000</v>
      </c>
      <c r="M156" s="7">
        <v>1349000</v>
      </c>
      <c r="N156" s="7">
        <v>50000</v>
      </c>
      <c r="O156" s="7">
        <v>148500</v>
      </c>
      <c r="P156" s="7">
        <v>94100</v>
      </c>
      <c r="Q156" s="8">
        <v>200000</v>
      </c>
      <c r="R156" s="8">
        <v>153500</v>
      </c>
      <c r="S156" s="8">
        <v>439000</v>
      </c>
      <c r="T156" s="8">
        <v>33150</v>
      </c>
      <c r="U156" s="8">
        <v>95300</v>
      </c>
      <c r="V156" s="7">
        <v>204000</v>
      </c>
      <c r="W156" s="7">
        <v>24850</v>
      </c>
      <c r="X156" s="7">
        <v>271500</v>
      </c>
      <c r="Y156" s="7">
        <v>26650</v>
      </c>
      <c r="Z156" s="7">
        <v>47200</v>
      </c>
      <c r="AA156" s="8">
        <v>150500</v>
      </c>
      <c r="AB156" s="8">
        <v>341000</v>
      </c>
      <c r="AC156" s="8">
        <v>11650</v>
      </c>
      <c r="AD156" s="8">
        <v>149000</v>
      </c>
      <c r="AE156" s="8">
        <v>42550</v>
      </c>
      <c r="AF156" s="7">
        <v>38200</v>
      </c>
      <c r="AG156" s="7">
        <v>93000</v>
      </c>
      <c r="AH156" s="7">
        <v>82200</v>
      </c>
      <c r="AI156" s="7">
        <v>42000</v>
      </c>
      <c r="AJ156" s="7">
        <v>35050</v>
      </c>
      <c r="AK156" s="8">
        <v>27350</v>
      </c>
      <c r="AL156" s="8">
        <v>251000</v>
      </c>
      <c r="AM156" s="8">
        <v>169000</v>
      </c>
      <c r="AN156" s="8">
        <v>21850</v>
      </c>
      <c r="AO156" s="8">
        <v>8920</v>
      </c>
      <c r="AP156" s="7">
        <v>636000</v>
      </c>
      <c r="AQ156" s="7">
        <v>302000</v>
      </c>
      <c r="AR156" s="7">
        <v>10350</v>
      </c>
      <c r="AS156" s="7">
        <v>35100</v>
      </c>
      <c r="AT156" s="7">
        <v>78400</v>
      </c>
      <c r="AU156" s="8">
        <v>210500</v>
      </c>
      <c r="AV156" s="8">
        <v>31000</v>
      </c>
      <c r="AW156" s="8">
        <v>7440</v>
      </c>
      <c r="AX156" s="8">
        <v>157500</v>
      </c>
      <c r="AY156" s="8">
        <v>35400</v>
      </c>
    </row>
    <row r="157" spans="1:51" x14ac:dyDescent="0.4">
      <c r="A157" s="11">
        <v>41225</v>
      </c>
      <c r="B157" s="7">
        <v>56500</v>
      </c>
      <c r="C157" s="7">
        <v>25300</v>
      </c>
      <c r="D157" s="7">
        <v>60100</v>
      </c>
      <c r="E157" s="7">
        <v>211000</v>
      </c>
      <c r="F157" s="7">
        <v>56600</v>
      </c>
      <c r="G157" s="8">
        <v>47650</v>
      </c>
      <c r="H157" s="8">
        <v>67900</v>
      </c>
      <c r="I157" s="8">
        <v>173000</v>
      </c>
      <c r="J157" s="8">
        <v>75200</v>
      </c>
      <c r="K157" s="8">
        <v>216500</v>
      </c>
      <c r="L157" s="7">
        <v>323000</v>
      </c>
      <c r="M157" s="7">
        <v>1345000</v>
      </c>
      <c r="N157" s="7">
        <v>50800</v>
      </c>
      <c r="O157" s="7">
        <v>149500</v>
      </c>
      <c r="P157" s="7">
        <v>94300</v>
      </c>
      <c r="Q157" s="8">
        <v>204500</v>
      </c>
      <c r="R157" s="8">
        <v>153500</v>
      </c>
      <c r="S157" s="8">
        <v>451000</v>
      </c>
      <c r="T157" s="8">
        <v>34350</v>
      </c>
      <c r="U157" s="8">
        <v>96700</v>
      </c>
      <c r="V157" s="7">
        <v>214500</v>
      </c>
      <c r="W157" s="7">
        <v>25200</v>
      </c>
      <c r="X157" s="7">
        <v>271500</v>
      </c>
      <c r="Y157" s="7">
        <v>27000</v>
      </c>
      <c r="Z157" s="7">
        <v>47750</v>
      </c>
      <c r="AA157" s="8">
        <v>150500</v>
      </c>
      <c r="AB157" s="8">
        <v>333500</v>
      </c>
      <c r="AC157" s="8">
        <v>11650</v>
      </c>
      <c r="AD157" s="8">
        <v>149000</v>
      </c>
      <c r="AE157" s="8">
        <v>42450</v>
      </c>
      <c r="AF157" s="7">
        <v>37950</v>
      </c>
      <c r="AG157" s="7">
        <v>92600</v>
      </c>
      <c r="AH157" s="7">
        <v>82800</v>
      </c>
      <c r="AI157" s="7">
        <v>42050</v>
      </c>
      <c r="AJ157" s="7">
        <v>35350</v>
      </c>
      <c r="AK157" s="8">
        <v>27000</v>
      </c>
      <c r="AL157" s="8">
        <v>257000</v>
      </c>
      <c r="AM157" s="8">
        <v>170500</v>
      </c>
      <c r="AN157" s="8">
        <v>22900</v>
      </c>
      <c r="AO157" s="8">
        <v>8850</v>
      </c>
      <c r="AP157" s="7">
        <v>633000</v>
      </c>
      <c r="AQ157" s="7">
        <v>305500</v>
      </c>
      <c r="AR157" s="7">
        <v>10300</v>
      </c>
      <c r="AS157" s="7">
        <v>35250</v>
      </c>
      <c r="AT157" s="7">
        <v>76400</v>
      </c>
      <c r="AU157" s="8">
        <v>216500</v>
      </c>
      <c r="AV157" s="8">
        <v>31200</v>
      </c>
      <c r="AW157" s="8">
        <v>7350</v>
      </c>
      <c r="AX157" s="8">
        <v>159000</v>
      </c>
      <c r="AY157" s="8">
        <v>35700</v>
      </c>
    </row>
    <row r="158" spans="1:51" x14ac:dyDescent="0.4">
      <c r="A158" s="11">
        <v>41222</v>
      </c>
      <c r="B158" s="7">
        <v>56600</v>
      </c>
      <c r="C158" s="7">
        <v>25400</v>
      </c>
      <c r="D158" s="7">
        <v>61900</v>
      </c>
      <c r="E158" s="7">
        <v>216000</v>
      </c>
      <c r="F158" s="7">
        <v>57500</v>
      </c>
      <c r="G158" s="8">
        <v>48200</v>
      </c>
      <c r="H158" s="8">
        <v>68300</v>
      </c>
      <c r="I158" s="8">
        <v>171500</v>
      </c>
      <c r="J158" s="8">
        <v>76000</v>
      </c>
      <c r="K158" s="8">
        <v>214000</v>
      </c>
      <c r="L158" s="7">
        <v>326500</v>
      </c>
      <c r="M158" s="7">
        <v>1341000</v>
      </c>
      <c r="N158" s="7">
        <v>52800</v>
      </c>
      <c r="O158" s="7">
        <v>150500</v>
      </c>
      <c r="P158" s="7">
        <v>94600</v>
      </c>
      <c r="Q158" s="8">
        <v>211000</v>
      </c>
      <c r="R158" s="8">
        <v>155000</v>
      </c>
      <c r="S158" s="8">
        <v>454500</v>
      </c>
      <c r="T158" s="8">
        <v>35200</v>
      </c>
      <c r="U158" s="8">
        <v>96900</v>
      </c>
      <c r="V158" s="7">
        <v>219500</v>
      </c>
      <c r="W158" s="7">
        <v>25500</v>
      </c>
      <c r="X158" s="7">
        <v>266000</v>
      </c>
      <c r="Y158" s="7">
        <v>26950</v>
      </c>
      <c r="Z158" s="7">
        <v>48050</v>
      </c>
      <c r="AA158" s="8">
        <v>149000</v>
      </c>
      <c r="AB158" s="8">
        <v>333500</v>
      </c>
      <c r="AC158" s="8">
        <v>11800</v>
      </c>
      <c r="AD158" s="8">
        <v>151000</v>
      </c>
      <c r="AE158" s="8">
        <v>42350</v>
      </c>
      <c r="AF158" s="7">
        <v>37950</v>
      </c>
      <c r="AG158" s="7">
        <v>92300</v>
      </c>
      <c r="AH158" s="7">
        <v>83800</v>
      </c>
      <c r="AI158" s="7">
        <v>43900</v>
      </c>
      <c r="AJ158" s="7">
        <v>35400</v>
      </c>
      <c r="AK158" s="8">
        <v>26650</v>
      </c>
      <c r="AL158" s="8">
        <v>254500</v>
      </c>
      <c r="AM158" s="8">
        <v>178500</v>
      </c>
      <c r="AN158" s="8">
        <v>23850</v>
      </c>
      <c r="AO158" s="8">
        <v>8800</v>
      </c>
      <c r="AP158" s="7">
        <v>635000</v>
      </c>
      <c r="AQ158" s="7">
        <v>307500</v>
      </c>
      <c r="AR158" s="7">
        <v>10250</v>
      </c>
      <c r="AS158" s="7">
        <v>35450</v>
      </c>
      <c r="AT158" s="7">
        <v>76900</v>
      </c>
      <c r="AU158" s="8">
        <v>216000</v>
      </c>
      <c r="AV158" s="8">
        <v>31550</v>
      </c>
      <c r="AW158" s="8">
        <v>7330</v>
      </c>
      <c r="AX158" s="8">
        <v>161000</v>
      </c>
      <c r="AY158" s="8">
        <v>35900</v>
      </c>
    </row>
    <row r="159" spans="1:51" x14ac:dyDescent="0.4">
      <c r="A159" s="12">
        <v>41221</v>
      </c>
      <c r="B159" s="9">
        <v>57500</v>
      </c>
      <c r="C159" s="9">
        <v>26050</v>
      </c>
      <c r="D159" s="9">
        <v>62400</v>
      </c>
      <c r="E159" s="9">
        <v>219000</v>
      </c>
      <c r="F159" s="9">
        <v>57800</v>
      </c>
      <c r="G159" s="10">
        <v>47050</v>
      </c>
      <c r="H159" s="10">
        <v>66600</v>
      </c>
      <c r="I159" s="10">
        <v>169500</v>
      </c>
      <c r="J159" s="10">
        <v>76800</v>
      </c>
      <c r="K159" s="10">
        <v>213000</v>
      </c>
      <c r="L159" s="9">
        <v>331500</v>
      </c>
      <c r="M159" s="9">
        <v>1350000</v>
      </c>
      <c r="N159" s="9">
        <v>54500</v>
      </c>
      <c r="O159" s="9">
        <v>146500</v>
      </c>
      <c r="P159" s="9">
        <v>93000</v>
      </c>
      <c r="Q159" s="10">
        <v>215500</v>
      </c>
      <c r="R159" s="10">
        <v>157000</v>
      </c>
      <c r="S159" s="10">
        <v>448500</v>
      </c>
      <c r="T159" s="10">
        <v>35200</v>
      </c>
      <c r="U159" s="10">
        <v>97700</v>
      </c>
      <c r="V159" s="9">
        <v>222500</v>
      </c>
      <c r="W159" s="9">
        <v>25300</v>
      </c>
      <c r="X159" s="9">
        <v>273500</v>
      </c>
      <c r="Y159" s="9">
        <v>27350</v>
      </c>
      <c r="Z159" s="9">
        <v>48600</v>
      </c>
      <c r="AA159" s="10">
        <v>148000</v>
      </c>
      <c r="AB159" s="10">
        <v>339500</v>
      </c>
      <c r="AC159" s="10">
        <v>11850</v>
      </c>
      <c r="AD159" s="10">
        <v>149000</v>
      </c>
      <c r="AE159" s="10">
        <v>42350</v>
      </c>
      <c r="AF159" s="9">
        <v>38000</v>
      </c>
      <c r="AG159" s="9">
        <v>92100</v>
      </c>
      <c r="AH159" s="9">
        <v>83100</v>
      </c>
      <c r="AI159" s="9">
        <v>45750</v>
      </c>
      <c r="AJ159" s="9">
        <v>36100</v>
      </c>
      <c r="AK159" s="10">
        <v>26650</v>
      </c>
      <c r="AL159" s="10">
        <v>260000</v>
      </c>
      <c r="AM159" s="10">
        <v>185500</v>
      </c>
      <c r="AN159" s="10">
        <v>23900</v>
      </c>
      <c r="AO159" s="10">
        <v>8960</v>
      </c>
      <c r="AP159" s="9">
        <v>641000</v>
      </c>
      <c r="AQ159" s="9">
        <v>305500</v>
      </c>
      <c r="AR159" s="9">
        <v>10300</v>
      </c>
      <c r="AS159" s="9">
        <v>35950</v>
      </c>
      <c r="AT159" s="9">
        <v>74800</v>
      </c>
      <c r="AU159" s="10">
        <v>218000</v>
      </c>
      <c r="AV159" s="10">
        <v>31350</v>
      </c>
      <c r="AW159" s="10">
        <v>7510</v>
      </c>
      <c r="AX159" s="10">
        <v>161500</v>
      </c>
      <c r="AY159" s="10">
        <v>36150</v>
      </c>
    </row>
    <row r="160" spans="1:51" x14ac:dyDescent="0.4">
      <c r="A160" s="11">
        <v>41220</v>
      </c>
      <c r="B160" s="7">
        <v>58800</v>
      </c>
      <c r="C160" s="7">
        <v>26000</v>
      </c>
      <c r="D160" s="7">
        <v>65000</v>
      </c>
      <c r="E160" s="7">
        <v>221500</v>
      </c>
      <c r="F160" s="7">
        <v>59700</v>
      </c>
      <c r="G160" s="8">
        <v>47850</v>
      </c>
      <c r="H160" s="8">
        <v>68100</v>
      </c>
      <c r="I160" s="8">
        <v>169000</v>
      </c>
      <c r="J160" s="8">
        <v>78900</v>
      </c>
      <c r="K160" s="8">
        <v>212500</v>
      </c>
      <c r="L160" s="7">
        <v>336000</v>
      </c>
      <c r="M160" s="7">
        <v>1362000</v>
      </c>
      <c r="N160" s="7">
        <v>61400</v>
      </c>
      <c r="O160" s="7">
        <v>148500</v>
      </c>
      <c r="P160" s="7">
        <v>93200</v>
      </c>
      <c r="Q160" s="8">
        <v>223000</v>
      </c>
      <c r="R160" s="8">
        <v>160500</v>
      </c>
      <c r="S160" s="8">
        <v>465000</v>
      </c>
      <c r="T160" s="8">
        <v>36000</v>
      </c>
      <c r="U160" s="8">
        <v>100000</v>
      </c>
      <c r="V160" s="7">
        <v>229000</v>
      </c>
      <c r="W160" s="7">
        <v>26350</v>
      </c>
      <c r="X160" s="7">
        <v>271000</v>
      </c>
      <c r="Y160" s="7">
        <v>27350</v>
      </c>
      <c r="Z160" s="7">
        <v>49500</v>
      </c>
      <c r="AA160" s="8">
        <v>151000</v>
      </c>
      <c r="AB160" s="8">
        <v>342000</v>
      </c>
      <c r="AC160" s="8">
        <v>12000</v>
      </c>
      <c r="AD160" s="8">
        <v>155500</v>
      </c>
      <c r="AE160" s="8">
        <v>42350</v>
      </c>
      <c r="AF160" s="7">
        <v>38150</v>
      </c>
      <c r="AG160" s="7">
        <v>93000</v>
      </c>
      <c r="AH160" s="7">
        <v>84300</v>
      </c>
      <c r="AI160" s="7">
        <v>46700</v>
      </c>
      <c r="AJ160" s="7">
        <v>36150</v>
      </c>
      <c r="AK160" s="8">
        <v>26900</v>
      </c>
      <c r="AL160" s="8">
        <v>253500</v>
      </c>
      <c r="AM160" s="8">
        <v>213000</v>
      </c>
      <c r="AN160" s="8">
        <v>24800</v>
      </c>
      <c r="AO160" s="8">
        <v>9440</v>
      </c>
      <c r="AP160" s="7">
        <v>651000</v>
      </c>
      <c r="AQ160" s="7">
        <v>316000</v>
      </c>
      <c r="AR160" s="7">
        <v>10650</v>
      </c>
      <c r="AS160" s="7">
        <v>37600</v>
      </c>
      <c r="AT160" s="7">
        <v>77300</v>
      </c>
      <c r="AU160" s="8">
        <v>220000</v>
      </c>
      <c r="AV160" s="8">
        <v>32450</v>
      </c>
      <c r="AW160" s="8">
        <v>7660</v>
      </c>
      <c r="AX160" s="8">
        <v>166000</v>
      </c>
      <c r="AY160" s="8">
        <v>36900</v>
      </c>
    </row>
    <row r="161" spans="1:51" x14ac:dyDescent="0.4">
      <c r="A161" s="11">
        <v>41219</v>
      </c>
      <c r="B161" s="7">
        <v>57200</v>
      </c>
      <c r="C161" s="7">
        <v>25900</v>
      </c>
      <c r="D161" s="7">
        <v>64800</v>
      </c>
      <c r="E161" s="7">
        <v>225000</v>
      </c>
      <c r="F161" s="7">
        <v>59800</v>
      </c>
      <c r="G161" s="8">
        <v>47950</v>
      </c>
      <c r="H161" s="8">
        <v>68100</v>
      </c>
      <c r="I161" s="8">
        <v>165000</v>
      </c>
      <c r="J161" s="8">
        <v>77900</v>
      </c>
      <c r="K161" s="8">
        <v>208000</v>
      </c>
      <c r="L161" s="7">
        <v>335500</v>
      </c>
      <c r="M161" s="7">
        <v>1349000</v>
      </c>
      <c r="N161" s="7">
        <v>60800</v>
      </c>
      <c r="O161" s="7">
        <v>146500</v>
      </c>
      <c r="P161" s="7">
        <v>92600</v>
      </c>
      <c r="Q161" s="8">
        <v>223000</v>
      </c>
      <c r="R161" s="8">
        <v>158500</v>
      </c>
      <c r="S161" s="8">
        <v>446000</v>
      </c>
      <c r="T161" s="8">
        <v>35750</v>
      </c>
      <c r="U161" s="8">
        <v>101000</v>
      </c>
      <c r="V161" s="7">
        <v>231500</v>
      </c>
      <c r="W161" s="7">
        <v>26000</v>
      </c>
      <c r="X161" s="7">
        <v>268000</v>
      </c>
      <c r="Y161" s="7">
        <v>28200</v>
      </c>
      <c r="Z161" s="7">
        <v>49200</v>
      </c>
      <c r="AA161" s="8">
        <v>156000</v>
      </c>
      <c r="AB161" s="8">
        <v>342500</v>
      </c>
      <c r="AC161" s="8">
        <v>12100</v>
      </c>
      <c r="AD161" s="8">
        <v>149000</v>
      </c>
      <c r="AE161" s="8">
        <v>42550</v>
      </c>
      <c r="AF161" s="7">
        <v>38450</v>
      </c>
      <c r="AG161" s="7">
        <v>93900</v>
      </c>
      <c r="AH161" s="7">
        <v>83000</v>
      </c>
      <c r="AI161" s="7">
        <v>46150</v>
      </c>
      <c r="AJ161" s="7">
        <v>35100</v>
      </c>
      <c r="AK161" s="8">
        <v>26850</v>
      </c>
      <c r="AL161" s="8">
        <v>254500</v>
      </c>
      <c r="AM161" s="8">
        <v>211500</v>
      </c>
      <c r="AN161" s="8">
        <v>24450</v>
      </c>
      <c r="AO161" s="8">
        <v>9190</v>
      </c>
      <c r="AP161" s="7">
        <v>650000</v>
      </c>
      <c r="AQ161" s="7">
        <v>315500</v>
      </c>
      <c r="AR161" s="7">
        <v>10600</v>
      </c>
      <c r="AS161" s="7">
        <v>37850</v>
      </c>
      <c r="AT161" s="7">
        <v>76700</v>
      </c>
      <c r="AU161" s="8">
        <v>218000</v>
      </c>
      <c r="AV161" s="8">
        <v>32800</v>
      </c>
      <c r="AW161" s="8">
        <v>7690</v>
      </c>
      <c r="AX161" s="8">
        <v>165500</v>
      </c>
      <c r="AY161" s="8">
        <v>37250</v>
      </c>
    </row>
    <row r="162" spans="1:51" x14ac:dyDescent="0.4">
      <c r="A162" s="11">
        <v>41218</v>
      </c>
      <c r="B162" s="7">
        <v>56300</v>
      </c>
      <c r="C162" s="7">
        <v>26150</v>
      </c>
      <c r="D162" s="7">
        <v>64200</v>
      </c>
      <c r="E162" s="7">
        <v>227000</v>
      </c>
      <c r="F162" s="7">
        <v>59200</v>
      </c>
      <c r="G162" s="8">
        <v>47800</v>
      </c>
      <c r="H162" s="8">
        <v>68300</v>
      </c>
      <c r="I162" s="8">
        <v>156000</v>
      </c>
      <c r="J162" s="8">
        <v>77200</v>
      </c>
      <c r="K162" s="8">
        <v>199500</v>
      </c>
      <c r="L162" s="7">
        <v>334000</v>
      </c>
      <c r="M162" s="7">
        <v>1341000</v>
      </c>
      <c r="N162" s="7">
        <v>59600</v>
      </c>
      <c r="O162" s="7">
        <v>143500</v>
      </c>
      <c r="P162" s="7">
        <v>90800</v>
      </c>
      <c r="Q162" s="8">
        <v>223500</v>
      </c>
      <c r="R162" s="8">
        <v>153000</v>
      </c>
      <c r="S162" s="8">
        <v>424000</v>
      </c>
      <c r="T162" s="8">
        <v>34550</v>
      </c>
      <c r="U162" s="8">
        <v>100000</v>
      </c>
      <c r="V162" s="7">
        <v>229000</v>
      </c>
      <c r="W162" s="7">
        <v>26000</v>
      </c>
      <c r="X162" s="7">
        <v>259500</v>
      </c>
      <c r="Y162" s="7">
        <v>28800</v>
      </c>
      <c r="Z162" s="7">
        <v>48750</v>
      </c>
      <c r="AA162" s="8">
        <v>155500</v>
      </c>
      <c r="AB162" s="8">
        <v>340000</v>
      </c>
      <c r="AC162" s="8">
        <v>12000</v>
      </c>
      <c r="AD162" s="8">
        <v>143000</v>
      </c>
      <c r="AE162" s="8">
        <v>42550</v>
      </c>
      <c r="AF162" s="7">
        <v>38400</v>
      </c>
      <c r="AG162" s="7">
        <v>93500</v>
      </c>
      <c r="AH162" s="7">
        <v>83000</v>
      </c>
      <c r="AI162" s="7">
        <v>45750</v>
      </c>
      <c r="AJ162" s="7">
        <v>34750</v>
      </c>
      <c r="AK162" s="8">
        <v>26800</v>
      </c>
      <c r="AL162" s="8">
        <v>255000</v>
      </c>
      <c r="AM162" s="8">
        <v>203500</v>
      </c>
      <c r="AN162" s="8">
        <v>24000</v>
      </c>
      <c r="AO162" s="8">
        <v>9090</v>
      </c>
      <c r="AP162" s="7">
        <v>660000</v>
      </c>
      <c r="AQ162" s="7">
        <v>310500</v>
      </c>
      <c r="AR162" s="7">
        <v>10600</v>
      </c>
      <c r="AS162" s="7">
        <v>37550</v>
      </c>
      <c r="AT162" s="7">
        <v>76200</v>
      </c>
      <c r="AU162" s="8">
        <v>208000</v>
      </c>
      <c r="AV162" s="8">
        <v>32000</v>
      </c>
      <c r="AW162" s="8">
        <v>7610</v>
      </c>
      <c r="AX162" s="8">
        <v>162000</v>
      </c>
      <c r="AY162" s="8">
        <v>37000</v>
      </c>
    </row>
    <row r="163" spans="1:51" x14ac:dyDescent="0.4">
      <c r="A163" s="11">
        <v>41215</v>
      </c>
      <c r="B163" s="7">
        <v>60500</v>
      </c>
      <c r="C163" s="7">
        <v>25950</v>
      </c>
      <c r="D163" s="7">
        <v>65700</v>
      </c>
      <c r="E163" s="7">
        <v>225000</v>
      </c>
      <c r="F163" s="7">
        <v>59200</v>
      </c>
      <c r="G163" s="8">
        <v>47700</v>
      </c>
      <c r="H163" s="8">
        <v>68900</v>
      </c>
      <c r="I163" s="8">
        <v>154500</v>
      </c>
      <c r="J163" s="8">
        <v>78300</v>
      </c>
      <c r="K163" s="8">
        <v>215000</v>
      </c>
      <c r="L163" s="7">
        <v>337500</v>
      </c>
      <c r="M163" s="7">
        <v>1327000</v>
      </c>
      <c r="N163" s="7">
        <v>61000</v>
      </c>
      <c r="O163" s="7">
        <v>137500</v>
      </c>
      <c r="P163" s="7">
        <v>90100</v>
      </c>
      <c r="Q163" s="8">
        <v>226500</v>
      </c>
      <c r="R163" s="8">
        <v>153500</v>
      </c>
      <c r="S163" s="8">
        <v>438000</v>
      </c>
      <c r="T163" s="8">
        <v>34700</v>
      </c>
      <c r="U163" s="8">
        <v>99500</v>
      </c>
      <c r="V163" s="7">
        <v>228500</v>
      </c>
      <c r="W163" s="7">
        <v>26000</v>
      </c>
      <c r="X163" s="7">
        <v>270500</v>
      </c>
      <c r="Y163" s="7">
        <v>29800</v>
      </c>
      <c r="Z163" s="7">
        <v>49100</v>
      </c>
      <c r="AA163" s="8">
        <v>156500</v>
      </c>
      <c r="AB163" s="8">
        <v>341000</v>
      </c>
      <c r="AC163" s="8">
        <v>12150</v>
      </c>
      <c r="AD163" s="8">
        <v>144500</v>
      </c>
      <c r="AE163" s="8">
        <v>42200</v>
      </c>
      <c r="AF163" s="7">
        <v>37050</v>
      </c>
      <c r="AG163" s="7">
        <v>94000</v>
      </c>
      <c r="AH163" s="7">
        <v>83800</v>
      </c>
      <c r="AI163" s="7">
        <v>45700</v>
      </c>
      <c r="AJ163" s="7">
        <v>34350</v>
      </c>
      <c r="AK163" s="8">
        <v>26000</v>
      </c>
      <c r="AL163" s="8">
        <v>249000</v>
      </c>
      <c r="AM163" s="8">
        <v>208000</v>
      </c>
      <c r="AN163" s="8">
        <v>24300</v>
      </c>
      <c r="AO163" s="8">
        <v>9100</v>
      </c>
      <c r="AP163" s="7">
        <v>656000</v>
      </c>
      <c r="AQ163" s="7">
        <v>314500</v>
      </c>
      <c r="AR163" s="7">
        <v>10600</v>
      </c>
      <c r="AS163" s="7">
        <v>38000</v>
      </c>
      <c r="AT163" s="7">
        <v>78200</v>
      </c>
      <c r="AU163" s="8">
        <v>216000</v>
      </c>
      <c r="AV163" s="8">
        <v>31600</v>
      </c>
      <c r="AW163" s="8">
        <v>7670</v>
      </c>
      <c r="AX163" s="8">
        <v>163500</v>
      </c>
      <c r="AY163" s="8">
        <v>37200</v>
      </c>
    </row>
    <row r="164" spans="1:51" x14ac:dyDescent="0.4">
      <c r="A164" s="12">
        <v>41214</v>
      </c>
      <c r="B164" s="9">
        <v>60100</v>
      </c>
      <c r="C164" s="9">
        <v>25500</v>
      </c>
      <c r="D164" s="9">
        <v>64600</v>
      </c>
      <c r="E164" s="9">
        <v>232500</v>
      </c>
      <c r="F164" s="9">
        <v>58100</v>
      </c>
      <c r="G164" s="10">
        <v>47750</v>
      </c>
      <c r="H164" s="10">
        <v>67600</v>
      </c>
      <c r="I164" s="10">
        <v>154000</v>
      </c>
      <c r="J164" s="10">
        <v>76100</v>
      </c>
      <c r="K164" s="10">
        <v>216000</v>
      </c>
      <c r="L164" s="9">
        <v>336000</v>
      </c>
      <c r="M164" s="9">
        <v>1297000</v>
      </c>
      <c r="N164" s="9">
        <v>59500</v>
      </c>
      <c r="O164" s="9">
        <v>137500</v>
      </c>
      <c r="P164" s="9">
        <v>89200</v>
      </c>
      <c r="Q164" s="10">
        <v>219500</v>
      </c>
      <c r="R164" s="10">
        <v>152000</v>
      </c>
      <c r="S164" s="10">
        <v>446000</v>
      </c>
      <c r="T164" s="10">
        <v>32700</v>
      </c>
      <c r="U164" s="10">
        <v>98300</v>
      </c>
      <c r="V164" s="9">
        <v>220500</v>
      </c>
      <c r="W164" s="9">
        <v>25500</v>
      </c>
      <c r="X164" s="9">
        <v>269000</v>
      </c>
      <c r="Y164" s="9">
        <v>29900</v>
      </c>
      <c r="Z164" s="9">
        <v>48600</v>
      </c>
      <c r="AA164" s="10">
        <v>156000</v>
      </c>
      <c r="AB164" s="10">
        <v>339500</v>
      </c>
      <c r="AC164" s="10">
        <v>11950</v>
      </c>
      <c r="AD164" s="10">
        <v>145000</v>
      </c>
      <c r="AE164" s="10">
        <v>42300</v>
      </c>
      <c r="AF164" s="9">
        <v>37050</v>
      </c>
      <c r="AG164" s="9">
        <v>94700</v>
      </c>
      <c r="AH164" s="9">
        <v>84300</v>
      </c>
      <c r="AI164" s="9">
        <v>45350</v>
      </c>
      <c r="AJ164" s="9">
        <v>33100</v>
      </c>
      <c r="AK164" s="10">
        <v>25750</v>
      </c>
      <c r="AL164" s="10">
        <v>253000</v>
      </c>
      <c r="AM164" s="10">
        <v>204500</v>
      </c>
      <c r="AN164" s="10">
        <v>23400</v>
      </c>
      <c r="AO164" s="10">
        <v>8950</v>
      </c>
      <c r="AP164" s="9">
        <v>654000</v>
      </c>
      <c r="AQ164" s="9">
        <v>306000</v>
      </c>
      <c r="AR164" s="9">
        <v>10200</v>
      </c>
      <c r="AS164" s="9">
        <v>37000</v>
      </c>
      <c r="AT164" s="9">
        <v>76300</v>
      </c>
      <c r="AU164" s="10">
        <v>220000</v>
      </c>
      <c r="AV164" s="10">
        <v>30750</v>
      </c>
      <c r="AW164" s="10">
        <v>7530</v>
      </c>
      <c r="AX164" s="10">
        <v>160000</v>
      </c>
      <c r="AY164" s="10">
        <v>36200</v>
      </c>
    </row>
    <row r="165" spans="1:51" x14ac:dyDescent="0.4">
      <c r="A165" s="11">
        <v>41213</v>
      </c>
      <c r="B165" s="7">
        <v>60600</v>
      </c>
      <c r="C165" s="7">
        <v>24850</v>
      </c>
      <c r="D165" s="7">
        <v>65700</v>
      </c>
      <c r="E165" s="7">
        <v>238500</v>
      </c>
      <c r="F165" s="7">
        <v>59300</v>
      </c>
      <c r="G165" s="8">
        <v>48950</v>
      </c>
      <c r="H165" s="8">
        <v>66600</v>
      </c>
      <c r="I165" s="8">
        <v>152000</v>
      </c>
      <c r="J165" s="8">
        <v>78500</v>
      </c>
      <c r="K165" s="8">
        <v>224500</v>
      </c>
      <c r="L165" s="7">
        <v>343500</v>
      </c>
      <c r="M165" s="7">
        <v>1310000</v>
      </c>
      <c r="N165" s="7">
        <v>61400</v>
      </c>
      <c r="O165" s="7">
        <v>137000</v>
      </c>
      <c r="P165" s="7">
        <v>93400</v>
      </c>
      <c r="Q165" s="8">
        <v>229000</v>
      </c>
      <c r="R165" s="8">
        <v>154000</v>
      </c>
      <c r="S165" s="8">
        <v>448000</v>
      </c>
      <c r="T165" s="8">
        <v>33350</v>
      </c>
      <c r="U165" s="8">
        <v>99900</v>
      </c>
      <c r="V165" s="7">
        <v>223000</v>
      </c>
      <c r="W165" s="7">
        <v>25850</v>
      </c>
      <c r="X165" s="7">
        <v>278000</v>
      </c>
      <c r="Y165" s="7">
        <v>28300</v>
      </c>
      <c r="Z165" s="7">
        <v>48850</v>
      </c>
      <c r="AA165" s="8">
        <v>153500</v>
      </c>
      <c r="AB165" s="8">
        <v>337500</v>
      </c>
      <c r="AC165" s="8">
        <v>12000</v>
      </c>
      <c r="AD165" s="8">
        <v>142500</v>
      </c>
      <c r="AE165" s="8">
        <v>42200</v>
      </c>
      <c r="AF165" s="7">
        <v>36950</v>
      </c>
      <c r="AG165" s="7">
        <v>94000</v>
      </c>
      <c r="AH165" s="7">
        <v>83100</v>
      </c>
      <c r="AI165" s="7">
        <v>46700</v>
      </c>
      <c r="AJ165" s="7">
        <v>32400</v>
      </c>
      <c r="AK165" s="8">
        <v>25400</v>
      </c>
      <c r="AL165" s="8">
        <v>252500</v>
      </c>
      <c r="AM165" s="8">
        <v>209000</v>
      </c>
      <c r="AN165" s="8">
        <v>23400</v>
      </c>
      <c r="AO165" s="8">
        <v>9280</v>
      </c>
      <c r="AP165" s="7">
        <v>641000</v>
      </c>
      <c r="AQ165" s="7">
        <v>306000</v>
      </c>
      <c r="AR165" s="7">
        <v>10300</v>
      </c>
      <c r="AS165" s="7">
        <v>37450</v>
      </c>
      <c r="AT165" s="7">
        <v>75900</v>
      </c>
      <c r="AU165" s="8">
        <v>227000</v>
      </c>
      <c r="AV165" s="8">
        <v>31750</v>
      </c>
      <c r="AW165" s="8">
        <v>7690</v>
      </c>
      <c r="AX165" s="8">
        <v>160500</v>
      </c>
      <c r="AY165" s="8">
        <v>37100</v>
      </c>
    </row>
    <row r="166" spans="1:51" x14ac:dyDescent="0.4">
      <c r="A166" s="11">
        <v>41212</v>
      </c>
      <c r="B166" s="7">
        <v>61200</v>
      </c>
      <c r="C166" s="7">
        <v>24300</v>
      </c>
      <c r="D166" s="7">
        <v>64800</v>
      </c>
      <c r="E166" s="7">
        <v>233000</v>
      </c>
      <c r="F166" s="7">
        <v>61600</v>
      </c>
      <c r="G166" s="8">
        <v>48950</v>
      </c>
      <c r="H166" s="8">
        <v>65600</v>
      </c>
      <c r="I166" s="8">
        <v>150000</v>
      </c>
      <c r="J166" s="8">
        <v>78200</v>
      </c>
      <c r="K166" s="8">
        <v>225000</v>
      </c>
      <c r="L166" s="7">
        <v>342500</v>
      </c>
      <c r="M166" s="7">
        <v>1298000</v>
      </c>
      <c r="N166" s="7">
        <v>61400</v>
      </c>
      <c r="O166" s="7">
        <v>144000</v>
      </c>
      <c r="P166" s="7">
        <v>93800</v>
      </c>
      <c r="Q166" s="8">
        <v>229000</v>
      </c>
      <c r="R166" s="8">
        <v>154500</v>
      </c>
      <c r="S166" s="8">
        <v>443000</v>
      </c>
      <c r="T166" s="8">
        <v>33150</v>
      </c>
      <c r="U166" s="8">
        <v>96800</v>
      </c>
      <c r="V166" s="7">
        <v>220500</v>
      </c>
      <c r="W166" s="7">
        <v>25456</v>
      </c>
      <c r="X166" s="7">
        <v>273500</v>
      </c>
      <c r="Y166" s="7">
        <v>28500</v>
      </c>
      <c r="Z166" s="7">
        <v>48600</v>
      </c>
      <c r="AA166" s="8">
        <v>154000</v>
      </c>
      <c r="AB166" s="8">
        <v>336000</v>
      </c>
      <c r="AC166" s="8">
        <v>12050</v>
      </c>
      <c r="AD166" s="8">
        <v>144000</v>
      </c>
      <c r="AE166" s="8">
        <v>42300</v>
      </c>
      <c r="AF166" s="7">
        <v>37150</v>
      </c>
      <c r="AG166" s="7">
        <v>93900</v>
      </c>
      <c r="AH166" s="7">
        <v>83300</v>
      </c>
      <c r="AI166" s="7">
        <v>48000</v>
      </c>
      <c r="AJ166" s="7">
        <v>32500</v>
      </c>
      <c r="AK166" s="8">
        <v>25350</v>
      </c>
      <c r="AL166" s="8">
        <v>247500</v>
      </c>
      <c r="AM166" s="8">
        <v>211500</v>
      </c>
      <c r="AN166" s="8">
        <v>23400</v>
      </c>
      <c r="AO166" s="8">
        <v>9410</v>
      </c>
      <c r="AP166" s="7">
        <v>654000</v>
      </c>
      <c r="AQ166" s="7">
        <v>294000</v>
      </c>
      <c r="AR166" s="7">
        <v>10400</v>
      </c>
      <c r="AS166" s="7">
        <v>37150</v>
      </c>
      <c r="AT166" s="7">
        <v>75700</v>
      </c>
      <c r="AU166" s="8">
        <v>226000</v>
      </c>
      <c r="AV166" s="8">
        <v>31000</v>
      </c>
      <c r="AW166" s="8">
        <v>7540</v>
      </c>
      <c r="AX166" s="8">
        <v>158500</v>
      </c>
      <c r="AY166" s="8">
        <v>37050</v>
      </c>
    </row>
    <row r="167" spans="1:51" x14ac:dyDescent="0.4">
      <c r="A167" s="11">
        <v>41211</v>
      </c>
      <c r="B167" s="7">
        <v>59800</v>
      </c>
      <c r="C167" s="7">
        <v>24100</v>
      </c>
      <c r="D167" s="7">
        <v>63900</v>
      </c>
      <c r="E167" s="7">
        <v>236500</v>
      </c>
      <c r="F167" s="7">
        <v>60200</v>
      </c>
      <c r="G167" s="8">
        <v>48950</v>
      </c>
      <c r="H167" s="8">
        <v>65200</v>
      </c>
      <c r="I167" s="8">
        <v>148500</v>
      </c>
      <c r="J167" s="8">
        <v>78000</v>
      </c>
      <c r="K167" s="8">
        <v>219500</v>
      </c>
      <c r="L167" s="7">
        <v>344500</v>
      </c>
      <c r="M167" s="7">
        <v>1299000</v>
      </c>
      <c r="N167" s="7">
        <v>61400</v>
      </c>
      <c r="O167" s="7">
        <v>143500</v>
      </c>
      <c r="P167" s="7">
        <v>93600</v>
      </c>
      <c r="Q167" s="8">
        <v>228500</v>
      </c>
      <c r="R167" s="8">
        <v>153000</v>
      </c>
      <c r="S167" s="8">
        <v>456000</v>
      </c>
      <c r="T167" s="8">
        <v>33200</v>
      </c>
      <c r="U167" s="8">
        <v>95400</v>
      </c>
      <c r="V167" s="7">
        <v>219500</v>
      </c>
      <c r="W167" s="7">
        <v>25505</v>
      </c>
      <c r="X167" s="7">
        <v>269000</v>
      </c>
      <c r="Y167" s="7">
        <v>27750</v>
      </c>
      <c r="Z167" s="7">
        <v>48500</v>
      </c>
      <c r="AA167" s="8">
        <v>154000</v>
      </c>
      <c r="AB167" s="8">
        <v>341000</v>
      </c>
      <c r="AC167" s="8">
        <v>11750</v>
      </c>
      <c r="AD167" s="8">
        <v>145000</v>
      </c>
      <c r="AE167" s="8">
        <v>42500</v>
      </c>
      <c r="AF167" s="7">
        <v>36950</v>
      </c>
      <c r="AG167" s="7">
        <v>94700</v>
      </c>
      <c r="AH167" s="7">
        <v>84400</v>
      </c>
      <c r="AI167" s="7">
        <v>48500</v>
      </c>
      <c r="AJ167" s="7">
        <v>32450</v>
      </c>
      <c r="AK167" s="8">
        <v>24900</v>
      </c>
      <c r="AL167" s="8">
        <v>249500</v>
      </c>
      <c r="AM167" s="8">
        <v>204000</v>
      </c>
      <c r="AN167" s="8">
        <v>23200</v>
      </c>
      <c r="AO167" s="8">
        <v>9540</v>
      </c>
      <c r="AP167" s="7">
        <v>662000</v>
      </c>
      <c r="AQ167" s="7">
        <v>290500</v>
      </c>
      <c r="AR167" s="7">
        <v>10500</v>
      </c>
      <c r="AS167" s="7">
        <v>37300</v>
      </c>
      <c r="AT167" s="7">
        <v>75000</v>
      </c>
      <c r="AU167" s="8">
        <v>227000</v>
      </c>
      <c r="AV167" s="8">
        <v>31000</v>
      </c>
      <c r="AW167" s="8">
        <v>7580</v>
      </c>
      <c r="AX167" s="8">
        <v>154500</v>
      </c>
      <c r="AY167" s="8">
        <v>37850</v>
      </c>
    </row>
    <row r="168" spans="1:51" x14ac:dyDescent="0.4">
      <c r="A168" s="11">
        <v>41208</v>
      </c>
      <c r="B168" s="7">
        <v>62300</v>
      </c>
      <c r="C168" s="7">
        <v>24100</v>
      </c>
      <c r="D168" s="7">
        <v>62000</v>
      </c>
      <c r="E168" s="7">
        <v>235000</v>
      </c>
      <c r="F168" s="7">
        <v>60200</v>
      </c>
      <c r="G168" s="8">
        <v>48850</v>
      </c>
      <c r="H168" s="8">
        <v>62100</v>
      </c>
      <c r="I168" s="8">
        <v>149500</v>
      </c>
      <c r="J168" s="8">
        <v>78300</v>
      </c>
      <c r="K168" s="8">
        <v>226500</v>
      </c>
      <c r="L168" s="7">
        <v>342000</v>
      </c>
      <c r="M168" s="7">
        <v>1287000</v>
      </c>
      <c r="N168" s="7">
        <v>61000</v>
      </c>
      <c r="O168" s="7">
        <v>144000</v>
      </c>
      <c r="P168" s="7">
        <v>94000</v>
      </c>
      <c r="Q168" s="8">
        <v>226500</v>
      </c>
      <c r="R168" s="8">
        <v>152000</v>
      </c>
      <c r="S168" s="8">
        <v>439500</v>
      </c>
      <c r="T168" s="8">
        <v>32100</v>
      </c>
      <c r="U168" s="8">
        <v>95700</v>
      </c>
      <c r="V168" s="7">
        <v>218500</v>
      </c>
      <c r="W168" s="7">
        <v>25456</v>
      </c>
      <c r="X168" s="7">
        <v>277000</v>
      </c>
      <c r="Y168" s="7">
        <v>27900</v>
      </c>
      <c r="Z168" s="7">
        <v>48000</v>
      </c>
      <c r="AA168" s="8">
        <v>158500</v>
      </c>
      <c r="AB168" s="8">
        <v>338000</v>
      </c>
      <c r="AC168" s="8">
        <v>11700</v>
      </c>
      <c r="AD168" s="8">
        <v>145500</v>
      </c>
      <c r="AE168" s="8">
        <v>42000</v>
      </c>
      <c r="AF168" s="7">
        <v>36400</v>
      </c>
      <c r="AG168" s="7">
        <v>94100</v>
      </c>
      <c r="AH168" s="7">
        <v>82900</v>
      </c>
      <c r="AI168" s="7">
        <v>49500</v>
      </c>
      <c r="AJ168" s="7">
        <v>30150</v>
      </c>
      <c r="AK168" s="8">
        <v>24750</v>
      </c>
      <c r="AL168" s="8">
        <v>249000</v>
      </c>
      <c r="AM168" s="8">
        <v>202500</v>
      </c>
      <c r="AN168" s="8">
        <v>23000</v>
      </c>
      <c r="AO168" s="8">
        <v>9170</v>
      </c>
      <c r="AP168" s="7">
        <v>642000</v>
      </c>
      <c r="AQ168" s="7">
        <v>288500</v>
      </c>
      <c r="AR168" s="7">
        <v>10350</v>
      </c>
      <c r="AS168" s="7">
        <v>37450</v>
      </c>
      <c r="AT168" s="7">
        <v>73000</v>
      </c>
      <c r="AU168" s="8">
        <v>223000</v>
      </c>
      <c r="AV168" s="8">
        <v>30450</v>
      </c>
      <c r="AW168" s="8">
        <v>7530</v>
      </c>
      <c r="AX168" s="8">
        <v>157500</v>
      </c>
      <c r="AY168" s="8">
        <v>37000</v>
      </c>
    </row>
    <row r="169" spans="1:51" x14ac:dyDescent="0.4">
      <c r="A169" s="12">
        <v>41207</v>
      </c>
      <c r="B169" s="9">
        <v>66000</v>
      </c>
      <c r="C169" s="9">
        <v>24300</v>
      </c>
      <c r="D169" s="9">
        <v>61600</v>
      </c>
      <c r="E169" s="9">
        <v>241500</v>
      </c>
      <c r="F169" s="9">
        <v>61100</v>
      </c>
      <c r="G169" s="10">
        <v>50400</v>
      </c>
      <c r="H169" s="10">
        <v>63300</v>
      </c>
      <c r="I169" s="10">
        <v>151000</v>
      </c>
      <c r="J169" s="10">
        <v>78700</v>
      </c>
      <c r="K169" s="10">
        <v>226500</v>
      </c>
      <c r="L169" s="9">
        <v>342000</v>
      </c>
      <c r="M169" s="9">
        <v>1322000</v>
      </c>
      <c r="N169" s="9">
        <v>62800</v>
      </c>
      <c r="O169" s="9">
        <v>146500</v>
      </c>
      <c r="P169" s="9">
        <v>94300</v>
      </c>
      <c r="Q169" s="10">
        <v>228500</v>
      </c>
      <c r="R169" s="10">
        <v>154000</v>
      </c>
      <c r="S169" s="10">
        <v>435000</v>
      </c>
      <c r="T169" s="10">
        <v>32650</v>
      </c>
      <c r="U169" s="10">
        <v>96700</v>
      </c>
      <c r="V169" s="9">
        <v>222500</v>
      </c>
      <c r="W169" s="9">
        <v>25752</v>
      </c>
      <c r="X169" s="9">
        <v>286500</v>
      </c>
      <c r="Y169" s="9">
        <v>27950</v>
      </c>
      <c r="Z169" s="9">
        <v>48450</v>
      </c>
      <c r="AA169" s="10">
        <v>159500</v>
      </c>
      <c r="AB169" s="10">
        <v>341500</v>
      </c>
      <c r="AC169" s="10">
        <v>11800</v>
      </c>
      <c r="AD169" s="10">
        <v>157500</v>
      </c>
      <c r="AE169" s="10">
        <v>42050</v>
      </c>
      <c r="AF169" s="9">
        <v>36950</v>
      </c>
      <c r="AG169" s="9">
        <v>94100</v>
      </c>
      <c r="AH169" s="9">
        <v>85000</v>
      </c>
      <c r="AI169" s="9">
        <v>50600</v>
      </c>
      <c r="AJ169" s="9">
        <v>30500</v>
      </c>
      <c r="AK169" s="10">
        <v>25050</v>
      </c>
      <c r="AL169" s="10">
        <v>264000</v>
      </c>
      <c r="AM169" s="10">
        <v>206500</v>
      </c>
      <c r="AN169" s="10">
        <v>23350</v>
      </c>
      <c r="AO169" s="10">
        <v>9610</v>
      </c>
      <c r="AP169" s="9">
        <v>655000</v>
      </c>
      <c r="AQ169" s="9">
        <v>299500</v>
      </c>
      <c r="AR169" s="9">
        <v>10400</v>
      </c>
      <c r="AS169" s="9">
        <v>37500</v>
      </c>
      <c r="AT169" s="9">
        <v>73900</v>
      </c>
      <c r="AU169" s="10">
        <v>223500</v>
      </c>
      <c r="AV169" s="10">
        <v>31200</v>
      </c>
      <c r="AW169" s="10">
        <v>7580</v>
      </c>
      <c r="AX169" s="10">
        <v>157500</v>
      </c>
      <c r="AY169" s="10">
        <v>37300</v>
      </c>
    </row>
    <row r="170" spans="1:51" x14ac:dyDescent="0.4">
      <c r="A170" s="11">
        <v>41206</v>
      </c>
      <c r="B170" s="7">
        <v>62400</v>
      </c>
      <c r="C170" s="7">
        <v>24000</v>
      </c>
      <c r="D170" s="7">
        <v>59900</v>
      </c>
      <c r="E170" s="7">
        <v>238000</v>
      </c>
      <c r="F170" s="7">
        <v>60600</v>
      </c>
      <c r="G170" s="8">
        <v>50000</v>
      </c>
      <c r="H170" s="8">
        <v>62200</v>
      </c>
      <c r="I170" s="8">
        <v>151000</v>
      </c>
      <c r="J170" s="8">
        <v>79000</v>
      </c>
      <c r="K170" s="8">
        <v>218000</v>
      </c>
      <c r="L170" s="7">
        <v>343500</v>
      </c>
      <c r="M170" s="7">
        <v>1300000</v>
      </c>
      <c r="N170" s="7">
        <v>62400</v>
      </c>
      <c r="O170" s="7">
        <v>144000</v>
      </c>
      <c r="P170" s="7">
        <v>90800</v>
      </c>
      <c r="Q170" s="8">
        <v>229500</v>
      </c>
      <c r="R170" s="8">
        <v>156500</v>
      </c>
      <c r="S170" s="8">
        <v>450000</v>
      </c>
      <c r="T170" s="8">
        <v>32450</v>
      </c>
      <c r="U170" s="8">
        <v>98900</v>
      </c>
      <c r="V170" s="7">
        <v>229000</v>
      </c>
      <c r="W170" s="7">
        <v>25702</v>
      </c>
      <c r="X170" s="7">
        <v>279000</v>
      </c>
      <c r="Y170" s="7">
        <v>28300</v>
      </c>
      <c r="Z170" s="7">
        <v>48500</v>
      </c>
      <c r="AA170" s="8">
        <v>157000</v>
      </c>
      <c r="AB170" s="8">
        <v>345000</v>
      </c>
      <c r="AC170" s="8">
        <v>11750</v>
      </c>
      <c r="AD170" s="8">
        <v>155000</v>
      </c>
      <c r="AE170" s="8">
        <v>42000</v>
      </c>
      <c r="AF170" s="7">
        <v>36700</v>
      </c>
      <c r="AG170" s="7">
        <v>93900</v>
      </c>
      <c r="AH170" s="7">
        <v>86200</v>
      </c>
      <c r="AI170" s="7">
        <v>50500</v>
      </c>
      <c r="AJ170" s="7">
        <v>30500</v>
      </c>
      <c r="AK170" s="8">
        <v>25500</v>
      </c>
      <c r="AL170" s="8">
        <v>259500</v>
      </c>
      <c r="AM170" s="8">
        <v>207500</v>
      </c>
      <c r="AN170" s="8">
        <v>23200</v>
      </c>
      <c r="AO170" s="8">
        <v>9610</v>
      </c>
      <c r="AP170" s="7">
        <v>653000</v>
      </c>
      <c r="AQ170" s="7">
        <v>305000</v>
      </c>
      <c r="AR170" s="7">
        <v>10400</v>
      </c>
      <c r="AS170" s="7">
        <v>37400</v>
      </c>
      <c r="AT170" s="7">
        <v>74000</v>
      </c>
      <c r="AU170" s="8">
        <v>215000</v>
      </c>
      <c r="AV170" s="8">
        <v>31300</v>
      </c>
      <c r="AW170" s="8">
        <v>7550</v>
      </c>
      <c r="AX170" s="8">
        <v>158000</v>
      </c>
      <c r="AY170" s="8">
        <v>37750</v>
      </c>
    </row>
    <row r="171" spans="1:51" x14ac:dyDescent="0.4">
      <c r="A171" s="11">
        <v>41205</v>
      </c>
      <c r="B171" s="7">
        <v>65300</v>
      </c>
      <c r="C171" s="7">
        <v>23050</v>
      </c>
      <c r="D171" s="7">
        <v>59800</v>
      </c>
      <c r="E171" s="7">
        <v>231000</v>
      </c>
      <c r="F171" s="7">
        <v>61500</v>
      </c>
      <c r="G171" s="8">
        <v>50100</v>
      </c>
      <c r="H171" s="8">
        <v>62100</v>
      </c>
      <c r="I171" s="8">
        <v>151000</v>
      </c>
      <c r="J171" s="8">
        <v>80300</v>
      </c>
      <c r="K171" s="8">
        <v>223000</v>
      </c>
      <c r="L171" s="7">
        <v>348500</v>
      </c>
      <c r="M171" s="7">
        <v>1313000</v>
      </c>
      <c r="N171" s="7">
        <v>64600</v>
      </c>
      <c r="O171" s="7">
        <v>144500</v>
      </c>
      <c r="P171" s="7">
        <v>91100</v>
      </c>
      <c r="Q171" s="8">
        <v>235500</v>
      </c>
      <c r="R171" s="8">
        <v>160500</v>
      </c>
      <c r="S171" s="8">
        <v>450000</v>
      </c>
      <c r="T171" s="8">
        <v>33500</v>
      </c>
      <c r="U171" s="8">
        <v>99700</v>
      </c>
      <c r="V171" s="7">
        <v>241500</v>
      </c>
      <c r="W171" s="7">
        <v>26145</v>
      </c>
      <c r="X171" s="7">
        <v>291500</v>
      </c>
      <c r="Y171" s="7">
        <v>28400</v>
      </c>
      <c r="Z171" s="7">
        <v>49500</v>
      </c>
      <c r="AA171" s="8">
        <v>157500</v>
      </c>
      <c r="AB171" s="8">
        <v>345000</v>
      </c>
      <c r="AC171" s="8">
        <v>11850</v>
      </c>
      <c r="AD171" s="8">
        <v>160500</v>
      </c>
      <c r="AE171" s="8">
        <v>41800</v>
      </c>
      <c r="AF171" s="7">
        <v>35250</v>
      </c>
      <c r="AG171" s="7">
        <v>92800</v>
      </c>
      <c r="AH171" s="7">
        <v>85800</v>
      </c>
      <c r="AI171" s="7">
        <v>51200</v>
      </c>
      <c r="AJ171" s="7">
        <v>30050</v>
      </c>
      <c r="AK171" s="8">
        <v>25200</v>
      </c>
      <c r="AL171" s="8">
        <v>255000</v>
      </c>
      <c r="AM171" s="8">
        <v>205000</v>
      </c>
      <c r="AN171" s="8">
        <v>23550</v>
      </c>
      <c r="AO171" s="8">
        <v>9950</v>
      </c>
      <c r="AP171" s="7">
        <v>653000</v>
      </c>
      <c r="AQ171" s="7">
        <v>311000</v>
      </c>
      <c r="AR171" s="7">
        <v>10500</v>
      </c>
      <c r="AS171" s="7">
        <v>37500</v>
      </c>
      <c r="AT171" s="7">
        <v>73000</v>
      </c>
      <c r="AU171" s="8">
        <v>219000</v>
      </c>
      <c r="AV171" s="8">
        <v>31850</v>
      </c>
      <c r="AW171" s="8">
        <v>7480</v>
      </c>
      <c r="AX171" s="8">
        <v>162000</v>
      </c>
      <c r="AY171" s="8">
        <v>38100</v>
      </c>
    </row>
    <row r="172" spans="1:51" x14ac:dyDescent="0.4">
      <c r="A172" s="11">
        <v>41204</v>
      </c>
      <c r="B172" s="7">
        <v>66200</v>
      </c>
      <c r="C172" s="7">
        <v>23400</v>
      </c>
      <c r="D172" s="7">
        <v>60500</v>
      </c>
      <c r="E172" s="7">
        <v>233000</v>
      </c>
      <c r="F172" s="7">
        <v>62700</v>
      </c>
      <c r="G172" s="8">
        <v>49700</v>
      </c>
      <c r="H172" s="8">
        <v>63000</v>
      </c>
      <c r="I172" s="8">
        <v>152000</v>
      </c>
      <c r="J172" s="8">
        <v>81700</v>
      </c>
      <c r="K172" s="8">
        <v>226000</v>
      </c>
      <c r="L172" s="7">
        <v>356000</v>
      </c>
      <c r="M172" s="7">
        <v>1315000</v>
      </c>
      <c r="N172" s="7">
        <v>67300</v>
      </c>
      <c r="O172" s="7">
        <v>149000</v>
      </c>
      <c r="P172" s="7">
        <v>91400</v>
      </c>
      <c r="Q172" s="8">
        <v>243500</v>
      </c>
      <c r="R172" s="8">
        <v>163500</v>
      </c>
      <c r="S172" s="8">
        <v>454500</v>
      </c>
      <c r="T172" s="8">
        <v>34200</v>
      </c>
      <c r="U172" s="8">
        <v>101000</v>
      </c>
      <c r="V172" s="7">
        <v>246500</v>
      </c>
      <c r="W172" s="7">
        <v>26589</v>
      </c>
      <c r="X172" s="7">
        <v>297500</v>
      </c>
      <c r="Y172" s="7">
        <v>27950</v>
      </c>
      <c r="Z172" s="7">
        <v>49850</v>
      </c>
      <c r="AA172" s="8">
        <v>155500</v>
      </c>
      <c r="AB172" s="8">
        <v>339000</v>
      </c>
      <c r="AC172" s="8">
        <v>11900</v>
      </c>
      <c r="AD172" s="8">
        <v>167500</v>
      </c>
      <c r="AE172" s="8">
        <v>41900</v>
      </c>
      <c r="AF172" s="7">
        <v>34950</v>
      </c>
      <c r="AG172" s="7">
        <v>92700</v>
      </c>
      <c r="AH172" s="7">
        <v>85500</v>
      </c>
      <c r="AI172" s="7">
        <v>51400</v>
      </c>
      <c r="AJ172" s="7">
        <v>29500</v>
      </c>
      <c r="AK172" s="8">
        <v>25250</v>
      </c>
      <c r="AL172" s="8">
        <v>260000</v>
      </c>
      <c r="AM172" s="8">
        <v>208500</v>
      </c>
      <c r="AN172" s="8">
        <v>24350</v>
      </c>
      <c r="AO172" s="8">
        <v>10150</v>
      </c>
      <c r="AP172" s="7">
        <v>653000</v>
      </c>
      <c r="AQ172" s="7">
        <v>323000</v>
      </c>
      <c r="AR172" s="7">
        <v>10600</v>
      </c>
      <c r="AS172" s="7">
        <v>38300</v>
      </c>
      <c r="AT172" s="7">
        <v>72800</v>
      </c>
      <c r="AU172" s="8">
        <v>227000</v>
      </c>
      <c r="AV172" s="8">
        <v>32100</v>
      </c>
      <c r="AW172" s="8">
        <v>7540</v>
      </c>
      <c r="AX172" s="8">
        <v>162500</v>
      </c>
      <c r="AY172" s="8">
        <v>39000</v>
      </c>
    </row>
    <row r="173" spans="1:51" x14ac:dyDescent="0.4">
      <c r="A173" s="11">
        <v>41201</v>
      </c>
      <c r="B173" s="7">
        <v>66800</v>
      </c>
      <c r="C173" s="7">
        <v>23300</v>
      </c>
      <c r="D173" s="7">
        <v>61800</v>
      </c>
      <c r="E173" s="7">
        <v>224500</v>
      </c>
      <c r="F173" s="7">
        <v>64000</v>
      </c>
      <c r="G173" s="8">
        <v>49750</v>
      </c>
      <c r="H173" s="8">
        <v>63500</v>
      </c>
      <c r="I173" s="8">
        <v>153500</v>
      </c>
      <c r="J173" s="8">
        <v>83000</v>
      </c>
      <c r="K173" s="8">
        <v>228000</v>
      </c>
      <c r="L173" s="7">
        <v>357000</v>
      </c>
      <c r="M173" s="7">
        <v>1302000</v>
      </c>
      <c r="N173" s="7">
        <v>69000</v>
      </c>
      <c r="O173" s="7">
        <v>151000</v>
      </c>
      <c r="P173" s="7">
        <v>92200</v>
      </c>
      <c r="Q173" s="8">
        <v>247000</v>
      </c>
      <c r="R173" s="8">
        <v>165500</v>
      </c>
      <c r="S173" s="8">
        <v>458000</v>
      </c>
      <c r="T173" s="8">
        <v>34950</v>
      </c>
      <c r="U173" s="8">
        <v>102000</v>
      </c>
      <c r="V173" s="7">
        <v>253000</v>
      </c>
      <c r="W173" s="7">
        <v>26195</v>
      </c>
      <c r="X173" s="7">
        <v>301500</v>
      </c>
      <c r="Y173" s="7">
        <v>27700</v>
      </c>
      <c r="Z173" s="7">
        <v>50000</v>
      </c>
      <c r="AA173" s="8">
        <v>155500</v>
      </c>
      <c r="AB173" s="8">
        <v>340000</v>
      </c>
      <c r="AC173" s="8">
        <v>12000</v>
      </c>
      <c r="AD173" s="8">
        <v>176500</v>
      </c>
      <c r="AE173" s="8">
        <v>41500</v>
      </c>
      <c r="AF173" s="7">
        <v>35100</v>
      </c>
      <c r="AG173" s="7">
        <v>92800</v>
      </c>
      <c r="AH173" s="7">
        <v>87100</v>
      </c>
      <c r="AI173" s="7">
        <v>52400</v>
      </c>
      <c r="AJ173" s="7">
        <v>29350</v>
      </c>
      <c r="AK173" s="8">
        <v>25350</v>
      </c>
      <c r="AL173" s="8">
        <v>256500</v>
      </c>
      <c r="AM173" s="8">
        <v>213500</v>
      </c>
      <c r="AN173" s="8">
        <v>24700</v>
      </c>
      <c r="AO173" s="8">
        <v>10250</v>
      </c>
      <c r="AP173" s="7">
        <v>635000</v>
      </c>
      <c r="AQ173" s="7">
        <v>332500</v>
      </c>
      <c r="AR173" s="7">
        <v>10750</v>
      </c>
      <c r="AS173" s="7">
        <v>38450</v>
      </c>
      <c r="AT173" s="7">
        <v>73500</v>
      </c>
      <c r="AU173" s="8">
        <v>227000</v>
      </c>
      <c r="AV173" s="8">
        <v>32950</v>
      </c>
      <c r="AW173" s="8">
        <v>7640</v>
      </c>
      <c r="AX173" s="8">
        <v>165000</v>
      </c>
      <c r="AY173" s="8">
        <v>39000</v>
      </c>
    </row>
    <row r="174" spans="1:51" x14ac:dyDescent="0.4">
      <c r="A174" s="12">
        <v>41200</v>
      </c>
      <c r="B174" s="9">
        <v>68700</v>
      </c>
      <c r="C174" s="9">
        <v>23550</v>
      </c>
      <c r="D174" s="9">
        <v>62900</v>
      </c>
      <c r="E174" s="9">
        <v>228000</v>
      </c>
      <c r="F174" s="9">
        <v>64600</v>
      </c>
      <c r="G174" s="10">
        <v>49750</v>
      </c>
      <c r="H174" s="10">
        <v>63600</v>
      </c>
      <c r="I174" s="10">
        <v>153500</v>
      </c>
      <c r="J174" s="10">
        <v>84400</v>
      </c>
      <c r="K174" s="10">
        <v>230000</v>
      </c>
      <c r="L174" s="9">
        <v>357500</v>
      </c>
      <c r="M174" s="9">
        <v>1337000</v>
      </c>
      <c r="N174" s="9">
        <v>70800</v>
      </c>
      <c r="O174" s="9">
        <v>150500</v>
      </c>
      <c r="P174" s="9">
        <v>92400</v>
      </c>
      <c r="Q174" s="10">
        <v>247000</v>
      </c>
      <c r="R174" s="10">
        <v>162500</v>
      </c>
      <c r="S174" s="10">
        <v>458500</v>
      </c>
      <c r="T174" s="10">
        <v>35800</v>
      </c>
      <c r="U174" s="10">
        <v>103000</v>
      </c>
      <c r="V174" s="9">
        <v>250500</v>
      </c>
      <c r="W174" s="9">
        <v>26096</v>
      </c>
      <c r="X174" s="9">
        <v>305500</v>
      </c>
      <c r="Y174" s="9">
        <v>27800</v>
      </c>
      <c r="Z174" s="9">
        <v>50600</v>
      </c>
      <c r="AA174" s="10">
        <v>154000</v>
      </c>
      <c r="AB174" s="10">
        <v>343500</v>
      </c>
      <c r="AC174" s="10">
        <v>12000</v>
      </c>
      <c r="AD174" s="10">
        <v>175500</v>
      </c>
      <c r="AE174" s="10">
        <v>41300</v>
      </c>
      <c r="AF174" s="9">
        <v>35250</v>
      </c>
      <c r="AG174" s="9">
        <v>93600</v>
      </c>
      <c r="AH174" s="9">
        <v>88600</v>
      </c>
      <c r="AI174" s="9">
        <v>52300</v>
      </c>
      <c r="AJ174" s="9">
        <v>29600</v>
      </c>
      <c r="AK174" s="10">
        <v>25750</v>
      </c>
      <c r="AL174" s="10">
        <v>256000</v>
      </c>
      <c r="AM174" s="10">
        <v>217500</v>
      </c>
      <c r="AN174" s="10">
        <v>25200</v>
      </c>
      <c r="AO174" s="10">
        <v>10450</v>
      </c>
      <c r="AP174" s="9">
        <v>623000</v>
      </c>
      <c r="AQ174" s="9">
        <v>329500</v>
      </c>
      <c r="AR174" s="9">
        <v>10900</v>
      </c>
      <c r="AS174" s="9">
        <v>38700</v>
      </c>
      <c r="AT174" s="9">
        <v>72200</v>
      </c>
      <c r="AU174" s="10">
        <v>226000</v>
      </c>
      <c r="AV174" s="10">
        <v>33200</v>
      </c>
      <c r="AW174" s="10">
        <v>7580</v>
      </c>
      <c r="AX174" s="10">
        <v>163500</v>
      </c>
      <c r="AY174" s="10">
        <v>39250</v>
      </c>
    </row>
    <row r="175" spans="1:51" x14ac:dyDescent="0.4">
      <c r="A175" s="11">
        <v>41199</v>
      </c>
      <c r="B175" s="7">
        <v>67300</v>
      </c>
      <c r="C175" s="7">
        <v>23500</v>
      </c>
      <c r="D175" s="7">
        <v>61300</v>
      </c>
      <c r="E175" s="7">
        <v>230000</v>
      </c>
      <c r="F175" s="7">
        <v>63400</v>
      </c>
      <c r="G175" s="8">
        <v>49750</v>
      </c>
      <c r="H175" s="8">
        <v>62000</v>
      </c>
      <c r="I175" s="8">
        <v>151000</v>
      </c>
      <c r="J175" s="8">
        <v>81900</v>
      </c>
      <c r="K175" s="8">
        <v>229500</v>
      </c>
      <c r="L175" s="7">
        <v>355000</v>
      </c>
      <c r="M175" s="7">
        <v>1336000</v>
      </c>
      <c r="N175" s="7">
        <v>69900</v>
      </c>
      <c r="O175" s="7">
        <v>149000</v>
      </c>
      <c r="P175" s="7">
        <v>90100</v>
      </c>
      <c r="Q175" s="8">
        <v>240000</v>
      </c>
      <c r="R175" s="8">
        <v>162000</v>
      </c>
      <c r="S175" s="8">
        <v>459500</v>
      </c>
      <c r="T175" s="8">
        <v>34800</v>
      </c>
      <c r="U175" s="8">
        <v>100500</v>
      </c>
      <c r="V175" s="7">
        <v>249000</v>
      </c>
      <c r="W175" s="7">
        <v>25308</v>
      </c>
      <c r="X175" s="7">
        <v>297500</v>
      </c>
      <c r="Y175" s="7">
        <v>28500</v>
      </c>
      <c r="Z175" s="7">
        <v>50300</v>
      </c>
      <c r="AA175" s="8">
        <v>152500</v>
      </c>
      <c r="AB175" s="8">
        <v>339500</v>
      </c>
      <c r="AC175" s="8">
        <v>11850</v>
      </c>
      <c r="AD175" s="8">
        <v>174000</v>
      </c>
      <c r="AE175" s="8">
        <v>41350</v>
      </c>
      <c r="AF175" s="7">
        <v>35200</v>
      </c>
      <c r="AG175" s="7">
        <v>93800</v>
      </c>
      <c r="AH175" s="7">
        <v>89700</v>
      </c>
      <c r="AI175" s="7">
        <v>52500</v>
      </c>
      <c r="AJ175" s="7">
        <v>29200</v>
      </c>
      <c r="AK175" s="8">
        <v>25100</v>
      </c>
      <c r="AL175" s="8">
        <v>269500</v>
      </c>
      <c r="AM175" s="8">
        <v>224000</v>
      </c>
      <c r="AN175" s="8">
        <v>23950</v>
      </c>
      <c r="AO175" s="8">
        <v>10100</v>
      </c>
      <c r="AP175" s="7">
        <v>630000</v>
      </c>
      <c r="AQ175" s="7">
        <v>324000</v>
      </c>
      <c r="AR175" s="7">
        <v>10700</v>
      </c>
      <c r="AS175" s="7">
        <v>38000</v>
      </c>
      <c r="AT175" s="7">
        <v>70300</v>
      </c>
      <c r="AU175" s="8">
        <v>229000</v>
      </c>
      <c r="AV175" s="8">
        <v>32350</v>
      </c>
      <c r="AW175" s="8">
        <v>7580</v>
      </c>
      <c r="AX175" s="8">
        <v>159000</v>
      </c>
      <c r="AY175" s="8">
        <v>38750</v>
      </c>
    </row>
    <row r="176" spans="1:51" x14ac:dyDescent="0.4">
      <c r="A176" s="11">
        <v>41198</v>
      </c>
      <c r="B176" s="7">
        <v>67000</v>
      </c>
      <c r="C176" s="7">
        <v>22850</v>
      </c>
      <c r="D176" s="7">
        <v>59900</v>
      </c>
      <c r="E176" s="7">
        <v>230000</v>
      </c>
      <c r="F176" s="7">
        <v>62400</v>
      </c>
      <c r="G176" s="8">
        <v>48200</v>
      </c>
      <c r="H176" s="8">
        <v>59700</v>
      </c>
      <c r="I176" s="8">
        <v>146500</v>
      </c>
      <c r="J176" s="8">
        <v>81000</v>
      </c>
      <c r="K176" s="8">
        <v>227500</v>
      </c>
      <c r="L176" s="7">
        <v>352500</v>
      </c>
      <c r="M176" s="7">
        <v>1330000</v>
      </c>
      <c r="N176" s="7">
        <v>69900</v>
      </c>
      <c r="O176" s="7">
        <v>146000</v>
      </c>
      <c r="P176" s="7">
        <v>88000</v>
      </c>
      <c r="Q176" s="8">
        <v>235000</v>
      </c>
      <c r="R176" s="8">
        <v>161500</v>
      </c>
      <c r="S176" s="8">
        <v>461000</v>
      </c>
      <c r="T176" s="8">
        <v>33300</v>
      </c>
      <c r="U176" s="8">
        <v>98300</v>
      </c>
      <c r="V176" s="7">
        <v>244000</v>
      </c>
      <c r="W176" s="7">
        <v>24521</v>
      </c>
      <c r="X176" s="7">
        <v>300000</v>
      </c>
      <c r="Y176" s="7">
        <v>27900</v>
      </c>
      <c r="Z176" s="7">
        <v>49650</v>
      </c>
      <c r="AA176" s="8">
        <v>151500</v>
      </c>
      <c r="AB176" s="8">
        <v>340000</v>
      </c>
      <c r="AC176" s="8">
        <v>11800</v>
      </c>
      <c r="AD176" s="8">
        <v>170000</v>
      </c>
      <c r="AE176" s="8">
        <v>41950</v>
      </c>
      <c r="AF176" s="7">
        <v>35400</v>
      </c>
      <c r="AG176" s="7">
        <v>93800</v>
      </c>
      <c r="AH176" s="7">
        <v>92000</v>
      </c>
      <c r="AI176" s="7">
        <v>52500</v>
      </c>
      <c r="AJ176" s="7">
        <v>28350</v>
      </c>
      <c r="AK176" s="8">
        <v>25500</v>
      </c>
      <c r="AL176" s="8">
        <v>277500</v>
      </c>
      <c r="AM176" s="8">
        <v>216000</v>
      </c>
      <c r="AN176" s="8">
        <v>23600</v>
      </c>
      <c r="AO176" s="8">
        <v>10000</v>
      </c>
      <c r="AP176" s="7">
        <v>639000</v>
      </c>
      <c r="AQ176" s="7">
        <v>316500</v>
      </c>
      <c r="AR176" s="7">
        <v>10600</v>
      </c>
      <c r="AS176" s="7">
        <v>37250</v>
      </c>
      <c r="AT176" s="7">
        <v>68600</v>
      </c>
      <c r="AU176" s="8">
        <v>227000</v>
      </c>
      <c r="AV176" s="8">
        <v>32300</v>
      </c>
      <c r="AW176" s="8">
        <v>7530</v>
      </c>
      <c r="AX176" s="8">
        <v>154000</v>
      </c>
      <c r="AY176" s="8">
        <v>38200</v>
      </c>
    </row>
    <row r="177" spans="1:51" x14ac:dyDescent="0.4">
      <c r="A177" s="11">
        <v>41197</v>
      </c>
      <c r="B177" s="7">
        <v>66100</v>
      </c>
      <c r="C177" s="7">
        <v>22250</v>
      </c>
      <c r="D177" s="7">
        <v>59200</v>
      </c>
      <c r="E177" s="7">
        <v>233500</v>
      </c>
      <c r="F177" s="7">
        <v>61700</v>
      </c>
      <c r="G177" s="8">
        <v>46650</v>
      </c>
      <c r="H177" s="8">
        <v>59500</v>
      </c>
      <c r="I177" s="8">
        <v>146500</v>
      </c>
      <c r="J177" s="8">
        <v>80200</v>
      </c>
      <c r="K177" s="8">
        <v>225500</v>
      </c>
      <c r="L177" s="7">
        <v>352000</v>
      </c>
      <c r="M177" s="7">
        <v>1300000</v>
      </c>
      <c r="N177" s="7">
        <v>68900</v>
      </c>
      <c r="O177" s="7">
        <v>145500</v>
      </c>
      <c r="P177" s="7">
        <v>86800</v>
      </c>
      <c r="Q177" s="8">
        <v>236000</v>
      </c>
      <c r="R177" s="8">
        <v>159500</v>
      </c>
      <c r="S177" s="8">
        <v>445000</v>
      </c>
      <c r="T177" s="8">
        <v>33200</v>
      </c>
      <c r="U177" s="8">
        <v>97600</v>
      </c>
      <c r="V177" s="7">
        <v>240500</v>
      </c>
      <c r="W177" s="7">
        <v>24816</v>
      </c>
      <c r="X177" s="7">
        <v>297000</v>
      </c>
      <c r="Y177" s="7">
        <v>27000</v>
      </c>
      <c r="Z177" s="7">
        <v>49450</v>
      </c>
      <c r="AA177" s="8">
        <v>152000</v>
      </c>
      <c r="AB177" s="8">
        <v>346500</v>
      </c>
      <c r="AC177" s="8">
        <v>11700</v>
      </c>
      <c r="AD177" s="8">
        <v>163500</v>
      </c>
      <c r="AE177" s="8">
        <v>41500</v>
      </c>
      <c r="AF177" s="7">
        <v>35300</v>
      </c>
      <c r="AG177" s="7">
        <v>94800</v>
      </c>
      <c r="AH177" s="7">
        <v>91200</v>
      </c>
      <c r="AI177" s="7">
        <v>53200</v>
      </c>
      <c r="AJ177" s="7">
        <v>27050</v>
      </c>
      <c r="AK177" s="8">
        <v>25450</v>
      </c>
      <c r="AL177" s="8">
        <v>276000</v>
      </c>
      <c r="AM177" s="8">
        <v>210500</v>
      </c>
      <c r="AN177" s="8">
        <v>23900</v>
      </c>
      <c r="AO177" s="8">
        <v>10050</v>
      </c>
      <c r="AP177" s="7">
        <v>666000</v>
      </c>
      <c r="AQ177" s="7">
        <v>314000</v>
      </c>
      <c r="AR177" s="7">
        <v>10450</v>
      </c>
      <c r="AS177" s="7">
        <v>37200</v>
      </c>
      <c r="AT177" s="7">
        <v>67900</v>
      </c>
      <c r="AU177" s="8">
        <v>225000</v>
      </c>
      <c r="AV177" s="8">
        <v>31800</v>
      </c>
      <c r="AW177" s="8">
        <v>7650</v>
      </c>
      <c r="AX177" s="8">
        <v>151000</v>
      </c>
      <c r="AY177" s="8">
        <v>37750</v>
      </c>
    </row>
    <row r="178" spans="1:51" x14ac:dyDescent="0.4">
      <c r="A178" s="11">
        <v>41194</v>
      </c>
      <c r="B178" s="7">
        <v>68200</v>
      </c>
      <c r="C178" s="7">
        <v>22550</v>
      </c>
      <c r="D178" s="7">
        <v>60300</v>
      </c>
      <c r="E178" s="7">
        <v>228500</v>
      </c>
      <c r="F178" s="7">
        <v>62400</v>
      </c>
      <c r="G178" s="8">
        <v>47000</v>
      </c>
      <c r="H178" s="8">
        <v>60200</v>
      </c>
      <c r="I178" s="8">
        <v>147000</v>
      </c>
      <c r="J178" s="8">
        <v>82000</v>
      </c>
      <c r="K178" s="8">
        <v>228500</v>
      </c>
      <c r="L178" s="7">
        <v>351500</v>
      </c>
      <c r="M178" s="7">
        <v>1296000</v>
      </c>
      <c r="N178" s="7">
        <v>70000</v>
      </c>
      <c r="O178" s="7">
        <v>148000</v>
      </c>
      <c r="P178" s="7">
        <v>88000</v>
      </c>
      <c r="Q178" s="8">
        <v>238000</v>
      </c>
      <c r="R178" s="8">
        <v>163500</v>
      </c>
      <c r="S178" s="8">
        <v>479000</v>
      </c>
      <c r="T178" s="8">
        <v>33750</v>
      </c>
      <c r="U178" s="8">
        <v>99600</v>
      </c>
      <c r="V178" s="7">
        <v>240500</v>
      </c>
      <c r="W178" s="7">
        <v>24816</v>
      </c>
      <c r="X178" s="7">
        <v>302500</v>
      </c>
      <c r="Y178" s="7">
        <v>26450</v>
      </c>
      <c r="Z178" s="7">
        <v>50000</v>
      </c>
      <c r="AA178" s="8">
        <v>148000</v>
      </c>
      <c r="AB178" s="8">
        <v>340000</v>
      </c>
      <c r="AC178" s="8">
        <v>11950</v>
      </c>
      <c r="AD178" s="8">
        <v>170000</v>
      </c>
      <c r="AE178" s="8">
        <v>41950</v>
      </c>
      <c r="AF178" s="7">
        <v>34550</v>
      </c>
      <c r="AG178" s="7">
        <v>94900</v>
      </c>
      <c r="AH178" s="7">
        <v>92000</v>
      </c>
      <c r="AI178" s="7">
        <v>54100</v>
      </c>
      <c r="AJ178" s="7">
        <v>27150</v>
      </c>
      <c r="AK178" s="8">
        <v>25350</v>
      </c>
      <c r="AL178" s="8">
        <v>269500</v>
      </c>
      <c r="AM178" s="8">
        <v>219000</v>
      </c>
      <c r="AN178" s="8">
        <v>24400</v>
      </c>
      <c r="AO178" s="8">
        <v>10150</v>
      </c>
      <c r="AP178" s="7">
        <v>663000</v>
      </c>
      <c r="AQ178" s="7">
        <v>314000</v>
      </c>
      <c r="AR178" s="7">
        <v>10450</v>
      </c>
      <c r="AS178" s="7">
        <v>37250</v>
      </c>
      <c r="AT178" s="7">
        <v>68200</v>
      </c>
      <c r="AU178" s="8">
        <v>228500</v>
      </c>
      <c r="AV178" s="8">
        <v>31850</v>
      </c>
      <c r="AW178" s="8">
        <v>7420</v>
      </c>
      <c r="AX178" s="8">
        <v>156000</v>
      </c>
      <c r="AY178" s="8">
        <v>37500</v>
      </c>
    </row>
    <row r="179" spans="1:51" x14ac:dyDescent="0.4">
      <c r="A179" s="12">
        <v>41193</v>
      </c>
      <c r="B179" s="9">
        <v>69500</v>
      </c>
      <c r="C179" s="9">
        <v>22900</v>
      </c>
      <c r="D179" s="9">
        <v>61600</v>
      </c>
      <c r="E179" s="9">
        <v>229500</v>
      </c>
      <c r="F179" s="9">
        <v>62900</v>
      </c>
      <c r="G179" s="10">
        <v>47150</v>
      </c>
      <c r="H179" s="10">
        <v>59600</v>
      </c>
      <c r="I179" s="10">
        <v>149000</v>
      </c>
      <c r="J179" s="10">
        <v>83600</v>
      </c>
      <c r="K179" s="10">
        <v>233000</v>
      </c>
      <c r="L179" s="9">
        <v>350000</v>
      </c>
      <c r="M179" s="9">
        <v>1304000</v>
      </c>
      <c r="N179" s="9">
        <v>71200</v>
      </c>
      <c r="O179" s="9">
        <v>150500</v>
      </c>
      <c r="P179" s="9">
        <v>89700</v>
      </c>
      <c r="Q179" s="10">
        <v>240000</v>
      </c>
      <c r="R179" s="10">
        <v>167000</v>
      </c>
      <c r="S179" s="10">
        <v>470000</v>
      </c>
      <c r="T179" s="10">
        <v>34000</v>
      </c>
      <c r="U179" s="10">
        <v>100000</v>
      </c>
      <c r="V179" s="9">
        <v>242500</v>
      </c>
      <c r="W179" s="9">
        <v>24718</v>
      </c>
      <c r="X179" s="9">
        <v>302500</v>
      </c>
      <c r="Y179" s="9">
        <v>26450</v>
      </c>
      <c r="Z179" s="9">
        <v>50100</v>
      </c>
      <c r="AA179" s="10">
        <v>148500</v>
      </c>
      <c r="AB179" s="10">
        <v>333000</v>
      </c>
      <c r="AC179" s="10">
        <v>12050</v>
      </c>
      <c r="AD179" s="10">
        <v>172500</v>
      </c>
      <c r="AE179" s="10">
        <v>40600</v>
      </c>
      <c r="AF179" s="9">
        <v>34500</v>
      </c>
      <c r="AG179" s="9">
        <v>94000</v>
      </c>
      <c r="AH179" s="9">
        <v>90200</v>
      </c>
      <c r="AI179" s="9">
        <v>54200</v>
      </c>
      <c r="AJ179" s="9">
        <v>27050</v>
      </c>
      <c r="AK179" s="10">
        <v>24250</v>
      </c>
      <c r="AL179" s="10">
        <v>277000</v>
      </c>
      <c r="AM179" s="10">
        <v>215000</v>
      </c>
      <c r="AN179" s="10">
        <v>24600</v>
      </c>
      <c r="AO179" s="10">
        <v>10050</v>
      </c>
      <c r="AP179" s="9">
        <v>628000</v>
      </c>
      <c r="AQ179" s="9">
        <v>313000</v>
      </c>
      <c r="AR179" s="9">
        <v>10500</v>
      </c>
      <c r="AS179" s="9">
        <v>36750</v>
      </c>
      <c r="AT179" s="9">
        <v>67200</v>
      </c>
      <c r="AU179" s="10">
        <v>229500</v>
      </c>
      <c r="AV179" s="10">
        <v>32100</v>
      </c>
      <c r="AW179" s="10">
        <v>7310</v>
      </c>
      <c r="AX179" s="10">
        <v>158500</v>
      </c>
      <c r="AY179" s="10">
        <v>37150</v>
      </c>
    </row>
    <row r="180" spans="1:51" x14ac:dyDescent="0.4">
      <c r="A180" s="11">
        <v>41192</v>
      </c>
      <c r="B180" s="7">
        <v>70300</v>
      </c>
      <c r="C180" s="7">
        <v>23000</v>
      </c>
      <c r="D180" s="7">
        <v>61700</v>
      </c>
      <c r="E180" s="7">
        <v>228500</v>
      </c>
      <c r="F180" s="7">
        <v>62700</v>
      </c>
      <c r="G180" s="8">
        <v>47250</v>
      </c>
      <c r="H180" s="8">
        <v>60100</v>
      </c>
      <c r="I180" s="8">
        <v>150500</v>
      </c>
      <c r="J180" s="8">
        <v>83500</v>
      </c>
      <c r="K180" s="8">
        <v>237000</v>
      </c>
      <c r="L180" s="7">
        <v>352500</v>
      </c>
      <c r="M180" s="7">
        <v>1325000</v>
      </c>
      <c r="N180" s="7">
        <v>71000</v>
      </c>
      <c r="O180" s="7">
        <v>151500</v>
      </c>
      <c r="P180" s="7">
        <v>90600</v>
      </c>
      <c r="Q180" s="8">
        <v>243000</v>
      </c>
      <c r="R180" s="8">
        <v>172500</v>
      </c>
      <c r="S180" s="8">
        <v>464000</v>
      </c>
      <c r="T180" s="8">
        <v>34450</v>
      </c>
      <c r="U180" s="8">
        <v>101000</v>
      </c>
      <c r="V180" s="7">
        <v>240500</v>
      </c>
      <c r="W180" s="7">
        <v>25752</v>
      </c>
      <c r="X180" s="7">
        <v>306500</v>
      </c>
      <c r="Y180" s="7">
        <v>26200</v>
      </c>
      <c r="Z180" s="7">
        <v>50600</v>
      </c>
      <c r="AA180" s="8">
        <v>148000</v>
      </c>
      <c r="AB180" s="8">
        <v>324000</v>
      </c>
      <c r="AC180" s="8">
        <v>12100</v>
      </c>
      <c r="AD180" s="8">
        <v>175000</v>
      </c>
      <c r="AE180" s="8">
        <v>40750</v>
      </c>
      <c r="AF180" s="7">
        <v>35000</v>
      </c>
      <c r="AG180" s="7">
        <v>95300</v>
      </c>
      <c r="AH180" s="7">
        <v>90100</v>
      </c>
      <c r="AI180" s="7">
        <v>54400</v>
      </c>
      <c r="AJ180" s="7">
        <v>26600</v>
      </c>
      <c r="AK180" s="8">
        <v>24350</v>
      </c>
      <c r="AL180" s="8">
        <v>271500</v>
      </c>
      <c r="AM180" s="8">
        <v>216000</v>
      </c>
      <c r="AN180" s="8">
        <v>24850</v>
      </c>
      <c r="AO180" s="8">
        <v>9920</v>
      </c>
      <c r="AP180" s="7">
        <v>644000</v>
      </c>
      <c r="AQ180" s="7">
        <v>312000</v>
      </c>
      <c r="AR180" s="7">
        <v>10500</v>
      </c>
      <c r="AS180" s="7">
        <v>37250</v>
      </c>
      <c r="AT180" s="7">
        <v>67600</v>
      </c>
      <c r="AU180" s="8">
        <v>234500</v>
      </c>
      <c r="AV180" s="8">
        <v>32000</v>
      </c>
      <c r="AW180" s="8">
        <v>7470</v>
      </c>
      <c r="AX180" s="8">
        <v>160000</v>
      </c>
      <c r="AY180" s="8">
        <v>37400</v>
      </c>
    </row>
    <row r="181" spans="1:51" x14ac:dyDescent="0.4">
      <c r="A181" s="11">
        <v>41191</v>
      </c>
      <c r="B181" s="7">
        <v>71300</v>
      </c>
      <c r="C181" s="7">
        <v>23550</v>
      </c>
      <c r="D181" s="7">
        <v>63500</v>
      </c>
      <c r="E181" s="7">
        <v>230500</v>
      </c>
      <c r="F181" s="7">
        <v>64900</v>
      </c>
      <c r="G181" s="8">
        <v>48050</v>
      </c>
      <c r="H181" s="8">
        <v>61000</v>
      </c>
      <c r="I181" s="8">
        <v>151000</v>
      </c>
      <c r="J181" s="8">
        <v>84800</v>
      </c>
      <c r="K181" s="8">
        <v>236500</v>
      </c>
      <c r="L181" s="7">
        <v>357500</v>
      </c>
      <c r="M181" s="7">
        <v>1372000</v>
      </c>
      <c r="N181" s="7">
        <v>72700</v>
      </c>
      <c r="O181" s="7">
        <v>156500</v>
      </c>
      <c r="P181" s="7">
        <v>93800</v>
      </c>
      <c r="Q181" s="8">
        <v>245000</v>
      </c>
      <c r="R181" s="8">
        <v>178000</v>
      </c>
      <c r="S181" s="8">
        <v>476000</v>
      </c>
      <c r="T181" s="8">
        <v>35600</v>
      </c>
      <c r="U181" s="8">
        <v>102000</v>
      </c>
      <c r="V181" s="7">
        <v>243000</v>
      </c>
      <c r="W181" s="7">
        <v>26392</v>
      </c>
      <c r="X181" s="7">
        <v>304500</v>
      </c>
      <c r="Y181" s="7">
        <v>26950</v>
      </c>
      <c r="Z181" s="7">
        <v>51200</v>
      </c>
      <c r="AA181" s="8">
        <v>149000</v>
      </c>
      <c r="AB181" s="8">
        <v>319000</v>
      </c>
      <c r="AC181" s="8">
        <v>12350</v>
      </c>
      <c r="AD181" s="8">
        <v>181000</v>
      </c>
      <c r="AE181" s="8">
        <v>41150</v>
      </c>
      <c r="AF181" s="7">
        <v>35150</v>
      </c>
      <c r="AG181" s="7">
        <v>96700</v>
      </c>
      <c r="AH181" s="7">
        <v>89500</v>
      </c>
      <c r="AI181" s="7">
        <v>55500</v>
      </c>
      <c r="AJ181" s="7">
        <v>26350</v>
      </c>
      <c r="AK181" s="8">
        <v>25250</v>
      </c>
      <c r="AL181" s="8">
        <v>275000</v>
      </c>
      <c r="AM181" s="8">
        <v>224500</v>
      </c>
      <c r="AN181" s="8">
        <v>25400</v>
      </c>
      <c r="AO181" s="8">
        <v>10150</v>
      </c>
      <c r="AP181" s="7">
        <v>655000</v>
      </c>
      <c r="AQ181" s="7">
        <v>317500</v>
      </c>
      <c r="AR181" s="7">
        <v>10700</v>
      </c>
      <c r="AS181" s="7">
        <v>37600</v>
      </c>
      <c r="AT181" s="7">
        <v>67900</v>
      </c>
      <c r="AU181" s="8">
        <v>229000</v>
      </c>
      <c r="AV181" s="8">
        <v>33300</v>
      </c>
      <c r="AW181" s="8">
        <v>7700</v>
      </c>
      <c r="AX181" s="8">
        <v>159500</v>
      </c>
      <c r="AY181" s="8">
        <v>38100</v>
      </c>
    </row>
    <row r="182" spans="1:51" x14ac:dyDescent="0.4">
      <c r="A182" s="11">
        <v>41190</v>
      </c>
      <c r="B182" s="7">
        <v>71000</v>
      </c>
      <c r="C182" s="7">
        <v>23700</v>
      </c>
      <c r="D182" s="7">
        <v>64000</v>
      </c>
      <c r="E182" s="7">
        <v>227500</v>
      </c>
      <c r="F182" s="7">
        <v>63800</v>
      </c>
      <c r="G182" s="8">
        <v>47750</v>
      </c>
      <c r="H182" s="8">
        <v>61100</v>
      </c>
      <c r="I182" s="8">
        <v>150000</v>
      </c>
      <c r="J182" s="8">
        <v>85800</v>
      </c>
      <c r="K182" s="8">
        <v>237500</v>
      </c>
      <c r="L182" s="7">
        <v>358000</v>
      </c>
      <c r="M182" s="7">
        <v>1373000</v>
      </c>
      <c r="N182" s="7">
        <v>72000</v>
      </c>
      <c r="O182" s="7">
        <v>153500</v>
      </c>
      <c r="P182" s="7">
        <v>94300</v>
      </c>
      <c r="Q182" s="8">
        <v>245500</v>
      </c>
      <c r="R182" s="8">
        <v>179000</v>
      </c>
      <c r="S182" s="8">
        <v>490000</v>
      </c>
      <c r="T182" s="8">
        <v>35850</v>
      </c>
      <c r="U182" s="8">
        <v>101500</v>
      </c>
      <c r="V182" s="7">
        <v>244500</v>
      </c>
      <c r="W182" s="7">
        <v>26096</v>
      </c>
      <c r="X182" s="7">
        <v>308000</v>
      </c>
      <c r="Y182" s="7">
        <v>27700</v>
      </c>
      <c r="Z182" s="7">
        <v>51600</v>
      </c>
      <c r="AA182" s="8">
        <v>146000</v>
      </c>
      <c r="AB182" s="8">
        <v>313500</v>
      </c>
      <c r="AC182" s="8">
        <v>12300</v>
      </c>
      <c r="AD182" s="8">
        <v>185000</v>
      </c>
      <c r="AE182" s="8">
        <v>41600</v>
      </c>
      <c r="AF182" s="7">
        <v>34800</v>
      </c>
      <c r="AG182" s="7">
        <v>95300</v>
      </c>
      <c r="AH182" s="7">
        <v>87800</v>
      </c>
      <c r="AI182" s="7">
        <v>55900</v>
      </c>
      <c r="AJ182" s="7">
        <v>26450</v>
      </c>
      <c r="AK182" s="8">
        <v>25650</v>
      </c>
      <c r="AL182" s="8">
        <v>278000</v>
      </c>
      <c r="AM182" s="8">
        <v>239000</v>
      </c>
      <c r="AN182" s="8">
        <v>25400</v>
      </c>
      <c r="AO182" s="8">
        <v>9900</v>
      </c>
      <c r="AP182" s="7">
        <v>646000</v>
      </c>
      <c r="AQ182" s="7">
        <v>329000</v>
      </c>
      <c r="AR182" s="7">
        <v>10700</v>
      </c>
      <c r="AS182" s="7">
        <v>37850</v>
      </c>
      <c r="AT182" s="7">
        <v>68300</v>
      </c>
      <c r="AU182" s="8">
        <v>234500</v>
      </c>
      <c r="AV182" s="8">
        <v>33600</v>
      </c>
      <c r="AW182" s="8">
        <v>7670</v>
      </c>
      <c r="AX182" s="8">
        <v>159500</v>
      </c>
      <c r="AY182" s="8">
        <v>38100</v>
      </c>
    </row>
    <row r="183" spans="1:51" x14ac:dyDescent="0.4">
      <c r="A183" s="11">
        <v>41187</v>
      </c>
      <c r="B183" s="7">
        <v>71700</v>
      </c>
      <c r="C183" s="7">
        <v>23250</v>
      </c>
      <c r="D183" s="7">
        <v>66000</v>
      </c>
      <c r="E183" s="7">
        <v>233000</v>
      </c>
      <c r="F183" s="7">
        <v>64900</v>
      </c>
      <c r="G183" s="8">
        <v>47950</v>
      </c>
      <c r="H183" s="8">
        <v>61900</v>
      </c>
      <c r="I183" s="8">
        <v>153000</v>
      </c>
      <c r="J183" s="8">
        <v>87600</v>
      </c>
      <c r="K183" s="8">
        <v>242500</v>
      </c>
      <c r="L183" s="7">
        <v>365000</v>
      </c>
      <c r="M183" s="7">
        <v>1370000</v>
      </c>
      <c r="N183" s="7">
        <v>74000</v>
      </c>
      <c r="O183" s="7">
        <v>156500</v>
      </c>
      <c r="P183" s="7">
        <v>96300</v>
      </c>
      <c r="Q183" s="8">
        <v>252500</v>
      </c>
      <c r="R183" s="8">
        <v>181000</v>
      </c>
      <c r="S183" s="8">
        <v>488000</v>
      </c>
      <c r="T183" s="8">
        <v>36750</v>
      </c>
      <c r="U183" s="8">
        <v>103000</v>
      </c>
      <c r="V183" s="7">
        <v>252000</v>
      </c>
      <c r="W183" s="7">
        <v>26392</v>
      </c>
      <c r="X183" s="7">
        <v>310000</v>
      </c>
      <c r="Y183" s="7">
        <v>27600</v>
      </c>
      <c r="Z183" s="7">
        <v>52500</v>
      </c>
      <c r="AA183" s="8">
        <v>146000</v>
      </c>
      <c r="AB183" s="8">
        <v>315500</v>
      </c>
      <c r="AC183" s="8">
        <v>12400</v>
      </c>
      <c r="AD183" s="8">
        <v>188500</v>
      </c>
      <c r="AE183" s="8">
        <v>41650</v>
      </c>
      <c r="AF183" s="7">
        <v>35100</v>
      </c>
      <c r="AG183" s="7">
        <v>95800</v>
      </c>
      <c r="AH183" s="7">
        <v>87700</v>
      </c>
      <c r="AI183" s="7">
        <v>56500</v>
      </c>
      <c r="AJ183" s="7">
        <v>26850</v>
      </c>
      <c r="AK183" s="8">
        <v>25000</v>
      </c>
      <c r="AL183" s="8">
        <v>283000</v>
      </c>
      <c r="AM183" s="8">
        <v>244000</v>
      </c>
      <c r="AN183" s="8">
        <v>25800</v>
      </c>
      <c r="AO183" s="8">
        <v>10000</v>
      </c>
      <c r="AP183" s="7">
        <v>645000</v>
      </c>
      <c r="AQ183" s="7">
        <v>334000</v>
      </c>
      <c r="AR183" s="7">
        <v>10950</v>
      </c>
      <c r="AS183" s="7">
        <v>38050</v>
      </c>
      <c r="AT183" s="7">
        <v>69800</v>
      </c>
      <c r="AU183" s="8">
        <v>234000</v>
      </c>
      <c r="AV183" s="8">
        <v>33900</v>
      </c>
      <c r="AW183" s="8">
        <v>7630</v>
      </c>
      <c r="AX183" s="8">
        <v>162500</v>
      </c>
      <c r="AY183" s="8">
        <v>38500</v>
      </c>
    </row>
    <row r="184" spans="1:51" x14ac:dyDescent="0.4">
      <c r="A184" s="12">
        <v>41186</v>
      </c>
      <c r="B184" s="9">
        <v>72000</v>
      </c>
      <c r="C184" s="9">
        <v>23150</v>
      </c>
      <c r="D184" s="9">
        <v>65700</v>
      </c>
      <c r="E184" s="9">
        <v>236000</v>
      </c>
      <c r="F184" s="9">
        <v>65600</v>
      </c>
      <c r="G184" s="10">
        <v>48300</v>
      </c>
      <c r="H184" s="10">
        <v>61700</v>
      </c>
      <c r="I184" s="10">
        <v>153000</v>
      </c>
      <c r="J184" s="10">
        <v>87800</v>
      </c>
      <c r="K184" s="10">
        <v>244500</v>
      </c>
      <c r="L184" s="9">
        <v>367000</v>
      </c>
      <c r="M184" s="9">
        <v>1367000</v>
      </c>
      <c r="N184" s="9">
        <v>73600</v>
      </c>
      <c r="O184" s="9">
        <v>159500</v>
      </c>
      <c r="P184" s="9">
        <v>95700</v>
      </c>
      <c r="Q184" s="10">
        <v>253000</v>
      </c>
      <c r="R184" s="10">
        <v>179500</v>
      </c>
      <c r="S184" s="10">
        <v>487000</v>
      </c>
      <c r="T184" s="10">
        <v>37050</v>
      </c>
      <c r="U184" s="10">
        <v>103500</v>
      </c>
      <c r="V184" s="9">
        <v>255500</v>
      </c>
      <c r="W184" s="9">
        <v>26392</v>
      </c>
      <c r="X184" s="9">
        <v>306500</v>
      </c>
      <c r="Y184" s="9">
        <v>28150</v>
      </c>
      <c r="Z184" s="9">
        <v>52300</v>
      </c>
      <c r="AA184" s="10">
        <v>145500</v>
      </c>
      <c r="AB184" s="10">
        <v>315500</v>
      </c>
      <c r="AC184" s="10">
        <v>12250</v>
      </c>
      <c r="AD184" s="10">
        <v>185500</v>
      </c>
      <c r="AE184" s="10">
        <v>40050</v>
      </c>
      <c r="AF184" s="9">
        <v>34900</v>
      </c>
      <c r="AG184" s="9">
        <v>96400</v>
      </c>
      <c r="AH184" s="9">
        <v>84800</v>
      </c>
      <c r="AI184" s="9">
        <v>56200</v>
      </c>
      <c r="AJ184" s="9">
        <v>28100</v>
      </c>
      <c r="AK184" s="10">
        <v>24500</v>
      </c>
      <c r="AL184" s="10">
        <v>275000</v>
      </c>
      <c r="AM184" s="10">
        <v>241000</v>
      </c>
      <c r="AN184" s="10">
        <v>26200</v>
      </c>
      <c r="AO184" s="10">
        <v>10150</v>
      </c>
      <c r="AP184" s="9">
        <v>644000</v>
      </c>
      <c r="AQ184" s="9">
        <v>334000</v>
      </c>
      <c r="AR184" s="9">
        <v>10950</v>
      </c>
      <c r="AS184" s="9">
        <v>38000</v>
      </c>
      <c r="AT184" s="9">
        <v>69800</v>
      </c>
      <c r="AU184" s="10">
        <v>235500</v>
      </c>
      <c r="AV184" s="10">
        <v>33800</v>
      </c>
      <c r="AW184" s="10">
        <v>7730</v>
      </c>
      <c r="AX184" s="10">
        <v>163500</v>
      </c>
      <c r="AY184" s="10">
        <v>38600</v>
      </c>
    </row>
    <row r="185" spans="1:51" x14ac:dyDescent="0.4">
      <c r="A185" s="11">
        <v>41184</v>
      </c>
      <c r="B185" s="7">
        <v>71800</v>
      </c>
      <c r="C185" s="7">
        <v>22500</v>
      </c>
      <c r="D185" s="7">
        <v>66700</v>
      </c>
      <c r="E185" s="7">
        <v>233000</v>
      </c>
      <c r="F185" s="7">
        <v>65300</v>
      </c>
      <c r="G185" s="8">
        <v>47500</v>
      </c>
      <c r="H185" s="8">
        <v>61500</v>
      </c>
      <c r="I185" s="8">
        <v>156000</v>
      </c>
      <c r="J185" s="8">
        <v>88100</v>
      </c>
      <c r="K185" s="8">
        <v>246500</v>
      </c>
      <c r="L185" s="7">
        <v>365500</v>
      </c>
      <c r="M185" s="7">
        <v>1369000</v>
      </c>
      <c r="N185" s="7">
        <v>74800</v>
      </c>
      <c r="O185" s="7">
        <v>157000</v>
      </c>
      <c r="P185" s="7">
        <v>96900</v>
      </c>
      <c r="Q185" s="8">
        <v>251000</v>
      </c>
      <c r="R185" s="8">
        <v>180000</v>
      </c>
      <c r="S185" s="8">
        <v>486500</v>
      </c>
      <c r="T185" s="8">
        <v>37250</v>
      </c>
      <c r="U185" s="8">
        <v>105000</v>
      </c>
      <c r="V185" s="7">
        <v>262500</v>
      </c>
      <c r="W185" s="7">
        <v>26244</v>
      </c>
      <c r="X185" s="7">
        <v>307000</v>
      </c>
      <c r="Y185" s="7">
        <v>28300</v>
      </c>
      <c r="Z185" s="7">
        <v>52100</v>
      </c>
      <c r="AA185" s="8">
        <v>145500</v>
      </c>
      <c r="AB185" s="8">
        <v>316500</v>
      </c>
      <c r="AC185" s="8">
        <v>12300</v>
      </c>
      <c r="AD185" s="8">
        <v>187500</v>
      </c>
      <c r="AE185" s="8">
        <v>39900</v>
      </c>
      <c r="AF185" s="7">
        <v>34750</v>
      </c>
      <c r="AG185" s="7">
        <v>96100</v>
      </c>
      <c r="AH185" s="7">
        <v>84900</v>
      </c>
      <c r="AI185" s="7">
        <v>55700</v>
      </c>
      <c r="AJ185" s="7">
        <v>28600</v>
      </c>
      <c r="AK185" s="8">
        <v>25000</v>
      </c>
      <c r="AL185" s="8">
        <v>279500</v>
      </c>
      <c r="AM185" s="8">
        <v>235500</v>
      </c>
      <c r="AN185" s="8">
        <v>25950</v>
      </c>
      <c r="AO185" s="8">
        <v>10300</v>
      </c>
      <c r="AP185" s="7">
        <v>638000</v>
      </c>
      <c r="AQ185" s="7">
        <v>336000</v>
      </c>
      <c r="AR185" s="7">
        <v>10950</v>
      </c>
      <c r="AS185" s="7">
        <v>38300</v>
      </c>
      <c r="AT185" s="7">
        <v>68100</v>
      </c>
      <c r="AU185" s="8">
        <v>235000</v>
      </c>
      <c r="AV185" s="8">
        <v>34100</v>
      </c>
      <c r="AW185" s="8">
        <v>7600</v>
      </c>
      <c r="AX185" s="8">
        <v>167500</v>
      </c>
      <c r="AY185" s="8">
        <v>39250</v>
      </c>
    </row>
    <row r="186" spans="1:51" x14ac:dyDescent="0.4">
      <c r="A186" s="11">
        <v>41180</v>
      </c>
      <c r="B186" s="7">
        <v>69400</v>
      </c>
      <c r="C186" s="7">
        <v>22750</v>
      </c>
      <c r="D186" s="7">
        <v>67500</v>
      </c>
      <c r="E186" s="7">
        <v>239000</v>
      </c>
      <c r="F186" s="7">
        <v>66000</v>
      </c>
      <c r="G186" s="8">
        <v>47550</v>
      </c>
      <c r="H186" s="8">
        <v>62200</v>
      </c>
      <c r="I186" s="8">
        <v>155500</v>
      </c>
      <c r="J186" s="8">
        <v>88300</v>
      </c>
      <c r="K186" s="8">
        <v>252000</v>
      </c>
      <c r="L186" s="7">
        <v>365500</v>
      </c>
      <c r="M186" s="7">
        <v>1346000</v>
      </c>
      <c r="N186" s="7">
        <v>76600</v>
      </c>
      <c r="O186" s="7">
        <v>158500</v>
      </c>
      <c r="P186" s="7">
        <v>96400</v>
      </c>
      <c r="Q186" s="8">
        <v>252500</v>
      </c>
      <c r="R186" s="8">
        <v>180000</v>
      </c>
      <c r="S186" s="8">
        <v>488500</v>
      </c>
      <c r="T186" s="8">
        <v>37700</v>
      </c>
      <c r="U186" s="8">
        <v>106000</v>
      </c>
      <c r="V186" s="7">
        <v>265500</v>
      </c>
      <c r="W186" s="7">
        <v>26244</v>
      </c>
      <c r="X186" s="7">
        <v>310500</v>
      </c>
      <c r="Y186" s="7">
        <v>27900</v>
      </c>
      <c r="Z186" s="7">
        <v>52400</v>
      </c>
      <c r="AA186" s="8">
        <v>147000</v>
      </c>
      <c r="AB186" s="8">
        <v>320000</v>
      </c>
      <c r="AC186" s="8">
        <v>12250</v>
      </c>
      <c r="AD186" s="8">
        <v>192000</v>
      </c>
      <c r="AE186" s="8">
        <v>40050</v>
      </c>
      <c r="AF186" s="7">
        <v>35200</v>
      </c>
      <c r="AG186" s="7">
        <v>96100</v>
      </c>
      <c r="AH186" s="7">
        <v>84700</v>
      </c>
      <c r="AI186" s="7">
        <v>56000</v>
      </c>
      <c r="AJ186" s="7">
        <v>28350</v>
      </c>
      <c r="AK186" s="8">
        <v>25000</v>
      </c>
      <c r="AL186" s="8">
        <v>290500</v>
      </c>
      <c r="AM186" s="8">
        <v>237500</v>
      </c>
      <c r="AN186" s="8">
        <v>25950</v>
      </c>
      <c r="AO186" s="8">
        <v>10450</v>
      </c>
      <c r="AP186" s="7">
        <v>635000</v>
      </c>
      <c r="AQ186" s="7">
        <v>331500</v>
      </c>
      <c r="AR186" s="7">
        <v>11000</v>
      </c>
      <c r="AS186" s="7">
        <v>37950</v>
      </c>
      <c r="AT186" s="7">
        <v>69000</v>
      </c>
      <c r="AU186" s="8">
        <v>243500</v>
      </c>
      <c r="AV186" s="8">
        <v>34050</v>
      </c>
      <c r="AW186" s="8">
        <v>7720</v>
      </c>
      <c r="AX186" s="8">
        <v>168500</v>
      </c>
      <c r="AY186" s="8">
        <v>39700</v>
      </c>
    </row>
    <row r="187" spans="1:51" x14ac:dyDescent="0.4">
      <c r="A187" s="11">
        <v>41179</v>
      </c>
      <c r="B187" s="7">
        <v>69800</v>
      </c>
      <c r="C187" s="7">
        <v>22900</v>
      </c>
      <c r="D187" s="7">
        <v>67700</v>
      </c>
      <c r="E187" s="7">
        <v>231500</v>
      </c>
      <c r="F187" s="7">
        <v>65200</v>
      </c>
      <c r="G187" s="8">
        <v>49250</v>
      </c>
      <c r="H187" s="8">
        <v>61700</v>
      </c>
      <c r="I187" s="8">
        <v>155000</v>
      </c>
      <c r="J187" s="8">
        <v>88000</v>
      </c>
      <c r="K187" s="8">
        <v>248500</v>
      </c>
      <c r="L187" s="7">
        <v>367500</v>
      </c>
      <c r="M187" s="7">
        <v>1338000</v>
      </c>
      <c r="N187" s="7">
        <v>76400</v>
      </c>
      <c r="O187" s="7">
        <v>154000</v>
      </c>
      <c r="P187" s="7">
        <v>95300</v>
      </c>
      <c r="Q187" s="8">
        <v>256500</v>
      </c>
      <c r="R187" s="8">
        <v>180500</v>
      </c>
      <c r="S187" s="8">
        <v>474000</v>
      </c>
      <c r="T187" s="8">
        <v>37550</v>
      </c>
      <c r="U187" s="8">
        <v>105000</v>
      </c>
      <c r="V187" s="7">
        <v>263000</v>
      </c>
      <c r="W187" s="7">
        <v>26392</v>
      </c>
      <c r="X187" s="7">
        <v>316000</v>
      </c>
      <c r="Y187" s="7">
        <v>27800</v>
      </c>
      <c r="Z187" s="7">
        <v>53000</v>
      </c>
      <c r="AA187" s="8">
        <v>144500</v>
      </c>
      <c r="AB187" s="8">
        <v>321500</v>
      </c>
      <c r="AC187" s="8">
        <v>12350</v>
      </c>
      <c r="AD187" s="8">
        <v>190500</v>
      </c>
      <c r="AE187" s="8">
        <v>40100</v>
      </c>
      <c r="AF187" s="7">
        <v>35450</v>
      </c>
      <c r="AG187" s="7">
        <v>96200</v>
      </c>
      <c r="AH187" s="7">
        <v>86400</v>
      </c>
      <c r="AI187" s="7">
        <v>56400</v>
      </c>
      <c r="AJ187" s="7">
        <v>27800</v>
      </c>
      <c r="AK187" s="8">
        <v>24700</v>
      </c>
      <c r="AL187" s="8">
        <v>276500</v>
      </c>
      <c r="AM187" s="8">
        <v>240000</v>
      </c>
      <c r="AN187" s="8">
        <v>25800</v>
      </c>
      <c r="AO187" s="8">
        <v>10550</v>
      </c>
      <c r="AP187" s="7">
        <v>622000</v>
      </c>
      <c r="AQ187" s="7">
        <v>330000</v>
      </c>
      <c r="AR187" s="7">
        <v>10950</v>
      </c>
      <c r="AS187" s="7">
        <v>38000</v>
      </c>
      <c r="AT187" s="7">
        <v>69300</v>
      </c>
      <c r="AU187" s="8">
        <v>238000</v>
      </c>
      <c r="AV187" s="8">
        <v>34000</v>
      </c>
      <c r="AW187" s="8">
        <v>7700</v>
      </c>
      <c r="AX187" s="8">
        <v>168500</v>
      </c>
      <c r="AY187" s="8">
        <v>39500</v>
      </c>
    </row>
    <row r="188" spans="1:51" x14ac:dyDescent="0.4">
      <c r="A188" s="11">
        <v>41178</v>
      </c>
      <c r="B188" s="7">
        <v>71900</v>
      </c>
      <c r="C188" s="7">
        <v>22750</v>
      </c>
      <c r="D188" s="7">
        <v>67400</v>
      </c>
      <c r="E188" s="7">
        <v>225500</v>
      </c>
      <c r="F188" s="7">
        <v>64700</v>
      </c>
      <c r="G188" s="8">
        <v>49550</v>
      </c>
      <c r="H188" s="8">
        <v>61900</v>
      </c>
      <c r="I188" s="8">
        <v>155000</v>
      </c>
      <c r="J188" s="8">
        <v>87700</v>
      </c>
      <c r="K188" s="8">
        <v>247000</v>
      </c>
      <c r="L188" s="7">
        <v>371000</v>
      </c>
      <c r="M188" s="7">
        <v>1325000</v>
      </c>
      <c r="N188" s="7">
        <v>75700</v>
      </c>
      <c r="O188" s="7">
        <v>153000</v>
      </c>
      <c r="P188" s="7">
        <v>95800</v>
      </c>
      <c r="Q188" s="8">
        <v>252500</v>
      </c>
      <c r="R188" s="8">
        <v>183000</v>
      </c>
      <c r="S188" s="8">
        <v>449000</v>
      </c>
      <c r="T188" s="8">
        <v>37150</v>
      </c>
      <c r="U188" s="8">
        <v>104000</v>
      </c>
      <c r="V188" s="7">
        <v>254000</v>
      </c>
      <c r="W188" s="7">
        <v>26145</v>
      </c>
      <c r="X188" s="7">
        <v>316500</v>
      </c>
      <c r="Y188" s="7">
        <v>27900</v>
      </c>
      <c r="Z188" s="7">
        <v>52500</v>
      </c>
      <c r="AA188" s="8">
        <v>145000</v>
      </c>
      <c r="AB188" s="8">
        <v>326000</v>
      </c>
      <c r="AC188" s="8">
        <v>12500</v>
      </c>
      <c r="AD188" s="8">
        <v>188000</v>
      </c>
      <c r="AE188" s="8">
        <v>40350</v>
      </c>
      <c r="AF188" s="7">
        <v>35450</v>
      </c>
      <c r="AG188" s="7">
        <v>95400</v>
      </c>
      <c r="AH188" s="7">
        <v>85700</v>
      </c>
      <c r="AI188" s="7">
        <v>57400</v>
      </c>
      <c r="AJ188" s="7">
        <v>27900</v>
      </c>
      <c r="AK188" s="8">
        <v>24800</v>
      </c>
      <c r="AL188" s="8">
        <v>270500</v>
      </c>
      <c r="AM188" s="8">
        <v>243000</v>
      </c>
      <c r="AN188" s="8">
        <v>25500</v>
      </c>
      <c r="AO188" s="8">
        <v>10350</v>
      </c>
      <c r="AP188" s="7">
        <v>618000</v>
      </c>
      <c r="AQ188" s="7">
        <v>325000</v>
      </c>
      <c r="AR188" s="7">
        <v>11250</v>
      </c>
      <c r="AS188" s="7">
        <v>37700</v>
      </c>
      <c r="AT188" s="7">
        <v>69200</v>
      </c>
      <c r="AU188" s="8">
        <v>238000</v>
      </c>
      <c r="AV188" s="8">
        <v>34250</v>
      </c>
      <c r="AW188" s="8">
        <v>7560</v>
      </c>
      <c r="AX188" s="8">
        <v>166000</v>
      </c>
      <c r="AY188" s="8">
        <v>39500</v>
      </c>
    </row>
    <row r="189" spans="1:51" x14ac:dyDescent="0.4">
      <c r="A189" s="12">
        <v>41177</v>
      </c>
      <c r="B189" s="9">
        <v>72500</v>
      </c>
      <c r="C189" s="9">
        <v>22900</v>
      </c>
      <c r="D189" s="9">
        <v>68300</v>
      </c>
      <c r="E189" s="9">
        <v>228000</v>
      </c>
      <c r="F189" s="9">
        <v>66000</v>
      </c>
      <c r="G189" s="10">
        <v>50100</v>
      </c>
      <c r="H189" s="10">
        <v>62800</v>
      </c>
      <c r="I189" s="10">
        <v>156500</v>
      </c>
      <c r="J189" s="10">
        <v>88800</v>
      </c>
      <c r="K189" s="10">
        <v>244500</v>
      </c>
      <c r="L189" s="9">
        <v>375000</v>
      </c>
      <c r="M189" s="9">
        <v>1327000</v>
      </c>
      <c r="N189" s="9">
        <v>78000</v>
      </c>
      <c r="O189" s="9">
        <v>155500</v>
      </c>
      <c r="P189" s="9">
        <v>94900</v>
      </c>
      <c r="Q189" s="10">
        <v>255000</v>
      </c>
      <c r="R189" s="10">
        <v>187500</v>
      </c>
      <c r="S189" s="10">
        <v>460000</v>
      </c>
      <c r="T189" s="10">
        <v>37900</v>
      </c>
      <c r="U189" s="10">
        <v>105000</v>
      </c>
      <c r="V189" s="9">
        <v>256500</v>
      </c>
      <c r="W189" s="9">
        <v>26589</v>
      </c>
      <c r="X189" s="9">
        <v>320500</v>
      </c>
      <c r="Y189" s="9">
        <v>26950</v>
      </c>
      <c r="Z189" s="9">
        <v>52600</v>
      </c>
      <c r="AA189" s="10">
        <v>147500</v>
      </c>
      <c r="AB189" s="10">
        <v>326000</v>
      </c>
      <c r="AC189" s="10">
        <v>12700</v>
      </c>
      <c r="AD189" s="10">
        <v>189500</v>
      </c>
      <c r="AE189" s="10">
        <v>40850</v>
      </c>
      <c r="AF189" s="9">
        <v>35550</v>
      </c>
      <c r="AG189" s="9">
        <v>96000</v>
      </c>
      <c r="AH189" s="9">
        <v>87300</v>
      </c>
      <c r="AI189" s="9">
        <v>57400</v>
      </c>
      <c r="AJ189" s="9">
        <v>28250</v>
      </c>
      <c r="AK189" s="10">
        <v>23650</v>
      </c>
      <c r="AL189" s="10">
        <v>275000</v>
      </c>
      <c r="AM189" s="10">
        <v>250000</v>
      </c>
      <c r="AN189" s="10">
        <v>25850</v>
      </c>
      <c r="AO189" s="10">
        <v>10400</v>
      </c>
      <c r="AP189" s="9">
        <v>635000</v>
      </c>
      <c r="AQ189" s="9">
        <v>327500</v>
      </c>
      <c r="AR189" s="9">
        <v>11400</v>
      </c>
      <c r="AS189" s="9">
        <v>37750</v>
      </c>
      <c r="AT189" s="9">
        <v>69800</v>
      </c>
      <c r="AU189" s="10">
        <v>235000</v>
      </c>
      <c r="AV189" s="10">
        <v>35000</v>
      </c>
      <c r="AW189" s="10">
        <v>7690</v>
      </c>
      <c r="AX189" s="10">
        <v>166500</v>
      </c>
      <c r="AY189" s="10">
        <v>39800</v>
      </c>
    </row>
    <row r="190" spans="1:51" x14ac:dyDescent="0.4">
      <c r="A190" s="11">
        <v>41176</v>
      </c>
      <c r="B190" s="7">
        <v>73700</v>
      </c>
      <c r="C190" s="7">
        <v>23500</v>
      </c>
      <c r="D190" s="7">
        <v>68700</v>
      </c>
      <c r="E190" s="7">
        <v>230000</v>
      </c>
      <c r="F190" s="7">
        <v>67800</v>
      </c>
      <c r="G190" s="8">
        <v>51000</v>
      </c>
      <c r="H190" s="8">
        <v>63800</v>
      </c>
      <c r="I190" s="8">
        <v>156500</v>
      </c>
      <c r="J190" s="8">
        <v>89200</v>
      </c>
      <c r="K190" s="8">
        <v>245000</v>
      </c>
      <c r="L190" s="7">
        <v>377000</v>
      </c>
      <c r="M190" s="7">
        <v>1327000</v>
      </c>
      <c r="N190" s="7">
        <v>79200</v>
      </c>
      <c r="O190" s="7">
        <v>156500</v>
      </c>
      <c r="P190" s="7">
        <v>93800</v>
      </c>
      <c r="Q190" s="8">
        <v>256000</v>
      </c>
      <c r="R190" s="8">
        <v>187500</v>
      </c>
      <c r="S190" s="8">
        <v>475000</v>
      </c>
      <c r="T190" s="8">
        <v>38100</v>
      </c>
      <c r="U190" s="8">
        <v>104000</v>
      </c>
      <c r="V190" s="7">
        <v>256000</v>
      </c>
      <c r="W190" s="7">
        <v>26589</v>
      </c>
      <c r="X190" s="7">
        <v>316000</v>
      </c>
      <c r="Y190" s="7">
        <v>26100</v>
      </c>
      <c r="Z190" s="7">
        <v>53600</v>
      </c>
      <c r="AA190" s="8">
        <v>149000</v>
      </c>
      <c r="AB190" s="8">
        <v>328500</v>
      </c>
      <c r="AC190" s="8">
        <v>12850</v>
      </c>
      <c r="AD190" s="8">
        <v>193000</v>
      </c>
      <c r="AE190" s="8">
        <v>41800</v>
      </c>
      <c r="AF190" s="7">
        <v>35900</v>
      </c>
      <c r="AG190" s="7">
        <v>96400</v>
      </c>
      <c r="AH190" s="7">
        <v>88400</v>
      </c>
      <c r="AI190" s="7">
        <v>58300</v>
      </c>
      <c r="AJ190" s="7">
        <v>29050</v>
      </c>
      <c r="AK190" s="8">
        <v>23750</v>
      </c>
      <c r="AL190" s="8">
        <v>284500</v>
      </c>
      <c r="AM190" s="8">
        <v>258000</v>
      </c>
      <c r="AN190" s="8">
        <v>25850</v>
      </c>
      <c r="AO190" s="8">
        <v>10550</v>
      </c>
      <c r="AP190" s="7">
        <v>627000</v>
      </c>
      <c r="AQ190" s="7">
        <v>327000</v>
      </c>
      <c r="AR190" s="7">
        <v>11500</v>
      </c>
      <c r="AS190" s="7">
        <v>37900</v>
      </c>
      <c r="AT190" s="7">
        <v>73800</v>
      </c>
      <c r="AU190" s="8">
        <v>234000</v>
      </c>
      <c r="AV190" s="8">
        <v>35700</v>
      </c>
      <c r="AW190" s="8">
        <v>7560</v>
      </c>
      <c r="AX190" s="8">
        <v>167000</v>
      </c>
      <c r="AY190" s="8">
        <v>39900</v>
      </c>
    </row>
    <row r="191" spans="1:51" x14ac:dyDescent="0.4">
      <c r="A191" s="11">
        <v>41173</v>
      </c>
      <c r="B191" s="7">
        <v>73200</v>
      </c>
      <c r="C191" s="7">
        <v>23850</v>
      </c>
      <c r="D191" s="7">
        <v>69600</v>
      </c>
      <c r="E191" s="7">
        <v>230000</v>
      </c>
      <c r="F191" s="7">
        <v>68200</v>
      </c>
      <c r="G191" s="8">
        <v>50300</v>
      </c>
      <c r="H191" s="8">
        <v>64500</v>
      </c>
      <c r="I191" s="8">
        <v>156500</v>
      </c>
      <c r="J191" s="8">
        <v>90300</v>
      </c>
      <c r="K191" s="8">
        <v>241000</v>
      </c>
      <c r="L191" s="7">
        <v>381000</v>
      </c>
      <c r="M191" s="7">
        <v>1302000</v>
      </c>
      <c r="N191" s="7">
        <v>81200</v>
      </c>
      <c r="O191" s="7">
        <v>152000</v>
      </c>
      <c r="P191" s="7">
        <v>94500</v>
      </c>
      <c r="Q191" s="8">
        <v>258500</v>
      </c>
      <c r="R191" s="8">
        <v>191000</v>
      </c>
      <c r="S191" s="8">
        <v>480500</v>
      </c>
      <c r="T191" s="8">
        <v>38800</v>
      </c>
      <c r="U191" s="8">
        <v>105000</v>
      </c>
      <c r="V191" s="7">
        <v>262500</v>
      </c>
      <c r="W191" s="7">
        <v>26589</v>
      </c>
      <c r="X191" s="7">
        <v>318500</v>
      </c>
      <c r="Y191" s="7">
        <v>25750</v>
      </c>
      <c r="Z191" s="7">
        <v>54200</v>
      </c>
      <c r="AA191" s="8">
        <v>147000</v>
      </c>
      <c r="AB191" s="8">
        <v>327000</v>
      </c>
      <c r="AC191" s="8">
        <v>13000</v>
      </c>
      <c r="AD191" s="8">
        <v>199500</v>
      </c>
      <c r="AE191" s="8">
        <v>42250</v>
      </c>
      <c r="AF191" s="7">
        <v>35900</v>
      </c>
      <c r="AG191" s="7">
        <v>97700</v>
      </c>
      <c r="AH191" s="7">
        <v>90000</v>
      </c>
      <c r="AI191" s="7">
        <v>58500</v>
      </c>
      <c r="AJ191" s="7">
        <v>28500</v>
      </c>
      <c r="AK191" s="8">
        <v>24000</v>
      </c>
      <c r="AL191" s="8">
        <v>277000</v>
      </c>
      <c r="AM191" s="8">
        <v>255500</v>
      </c>
      <c r="AN191" s="8">
        <v>26200</v>
      </c>
      <c r="AO191" s="8">
        <v>10700</v>
      </c>
      <c r="AP191" s="7">
        <v>625000</v>
      </c>
      <c r="AQ191" s="7">
        <v>329500</v>
      </c>
      <c r="AR191" s="7">
        <v>11700</v>
      </c>
      <c r="AS191" s="7">
        <v>38800</v>
      </c>
      <c r="AT191" s="7">
        <v>75200</v>
      </c>
      <c r="AU191" s="8">
        <v>228000</v>
      </c>
      <c r="AV191" s="8">
        <v>37050</v>
      </c>
      <c r="AW191" s="8">
        <v>7700</v>
      </c>
      <c r="AX191" s="8">
        <v>168500</v>
      </c>
      <c r="AY191" s="8">
        <v>41050</v>
      </c>
    </row>
    <row r="192" spans="1:51" x14ac:dyDescent="0.4">
      <c r="A192" s="11">
        <v>41172</v>
      </c>
      <c r="B192" s="7">
        <v>73000</v>
      </c>
      <c r="C192" s="7">
        <v>23900</v>
      </c>
      <c r="D192" s="7">
        <v>69100</v>
      </c>
      <c r="E192" s="7">
        <v>230000</v>
      </c>
      <c r="F192" s="7">
        <v>67700</v>
      </c>
      <c r="G192" s="8">
        <v>50300</v>
      </c>
      <c r="H192" s="8">
        <v>66300</v>
      </c>
      <c r="I192" s="8">
        <v>156000</v>
      </c>
      <c r="J192" s="8">
        <v>88600</v>
      </c>
      <c r="K192" s="8">
        <v>242000</v>
      </c>
      <c r="L192" s="7">
        <v>377500</v>
      </c>
      <c r="M192" s="7">
        <v>1287000</v>
      </c>
      <c r="N192" s="7">
        <v>79800</v>
      </c>
      <c r="O192" s="7">
        <v>150500</v>
      </c>
      <c r="P192" s="7">
        <v>93700</v>
      </c>
      <c r="Q192" s="8">
        <v>257000</v>
      </c>
      <c r="R192" s="8">
        <v>190000</v>
      </c>
      <c r="S192" s="8">
        <v>475000</v>
      </c>
      <c r="T192" s="8">
        <v>38700</v>
      </c>
      <c r="U192" s="8">
        <v>104500</v>
      </c>
      <c r="V192" s="7">
        <v>259000</v>
      </c>
      <c r="W192" s="7">
        <v>26589</v>
      </c>
      <c r="X192" s="7">
        <v>318000</v>
      </c>
      <c r="Y192" s="7">
        <v>25450</v>
      </c>
      <c r="Z192" s="7">
        <v>54000</v>
      </c>
      <c r="AA192" s="8">
        <v>146000</v>
      </c>
      <c r="AB192" s="8">
        <v>319000</v>
      </c>
      <c r="AC192" s="8">
        <v>12950</v>
      </c>
      <c r="AD192" s="8">
        <v>199500</v>
      </c>
      <c r="AE192" s="8">
        <v>41250</v>
      </c>
      <c r="AF192" s="7">
        <v>35700</v>
      </c>
      <c r="AG192" s="7">
        <v>96500</v>
      </c>
      <c r="AH192" s="7">
        <v>87100</v>
      </c>
      <c r="AI192" s="7">
        <v>58400</v>
      </c>
      <c r="AJ192" s="7">
        <v>29300</v>
      </c>
      <c r="AK192" s="8">
        <v>23800</v>
      </c>
      <c r="AL192" s="8">
        <v>277000</v>
      </c>
      <c r="AM192" s="8">
        <v>256000</v>
      </c>
      <c r="AN192" s="8">
        <v>25850</v>
      </c>
      <c r="AO192" s="8">
        <v>10600</v>
      </c>
      <c r="AP192" s="7">
        <v>626000</v>
      </c>
      <c r="AQ192" s="7">
        <v>327000</v>
      </c>
      <c r="AR192" s="7">
        <v>11700</v>
      </c>
      <c r="AS192" s="7">
        <v>39350</v>
      </c>
      <c r="AT192" s="7">
        <v>75700</v>
      </c>
      <c r="AU192" s="8">
        <v>226000</v>
      </c>
      <c r="AV192" s="8">
        <v>37700</v>
      </c>
      <c r="AW192" s="8">
        <v>7600</v>
      </c>
      <c r="AX192" s="8">
        <v>167000</v>
      </c>
      <c r="AY192" s="8">
        <v>41400</v>
      </c>
    </row>
    <row r="193" spans="1:51" x14ac:dyDescent="0.4">
      <c r="A193" s="11">
        <v>41171</v>
      </c>
      <c r="B193" s="7">
        <v>73300</v>
      </c>
      <c r="C193" s="7">
        <v>23500</v>
      </c>
      <c r="D193" s="7">
        <v>70200</v>
      </c>
      <c r="E193" s="7">
        <v>232000</v>
      </c>
      <c r="F193" s="7">
        <v>69200</v>
      </c>
      <c r="G193" s="8">
        <v>49500</v>
      </c>
      <c r="H193" s="8">
        <v>66400</v>
      </c>
      <c r="I193" s="8">
        <v>161500</v>
      </c>
      <c r="J193" s="8">
        <v>90000</v>
      </c>
      <c r="K193" s="8">
        <v>243000</v>
      </c>
      <c r="L193" s="7">
        <v>376500</v>
      </c>
      <c r="M193" s="7">
        <v>1314000</v>
      </c>
      <c r="N193" s="7">
        <v>81200</v>
      </c>
      <c r="O193" s="7">
        <v>152000</v>
      </c>
      <c r="P193" s="7">
        <v>94700</v>
      </c>
      <c r="Q193" s="8">
        <v>264500</v>
      </c>
      <c r="R193" s="8">
        <v>194000</v>
      </c>
      <c r="S193" s="8">
        <v>479500</v>
      </c>
      <c r="T193" s="8">
        <v>38500</v>
      </c>
      <c r="U193" s="8">
        <v>108000</v>
      </c>
      <c r="V193" s="7">
        <v>267000</v>
      </c>
      <c r="W193" s="7">
        <v>26835</v>
      </c>
      <c r="X193" s="7">
        <v>319000</v>
      </c>
      <c r="Y193" s="7">
        <v>25450</v>
      </c>
      <c r="Z193" s="7">
        <v>55200</v>
      </c>
      <c r="AA193" s="8">
        <v>146000</v>
      </c>
      <c r="AB193" s="8">
        <v>320000</v>
      </c>
      <c r="AC193" s="8">
        <v>12950</v>
      </c>
      <c r="AD193" s="8">
        <v>201000</v>
      </c>
      <c r="AE193" s="8">
        <v>41600</v>
      </c>
      <c r="AF193" s="7">
        <v>35250</v>
      </c>
      <c r="AG193" s="7">
        <v>97000</v>
      </c>
      <c r="AH193" s="7">
        <v>87400</v>
      </c>
      <c r="AI193" s="7">
        <v>58800</v>
      </c>
      <c r="AJ193" s="7">
        <v>29400</v>
      </c>
      <c r="AK193" s="8">
        <v>23650</v>
      </c>
      <c r="AL193" s="8">
        <v>272000</v>
      </c>
      <c r="AM193" s="8">
        <v>254000</v>
      </c>
      <c r="AN193" s="8">
        <v>26700</v>
      </c>
      <c r="AO193" s="8">
        <v>10750</v>
      </c>
      <c r="AP193" s="7">
        <v>615000</v>
      </c>
      <c r="AQ193" s="7">
        <v>337000</v>
      </c>
      <c r="AR193" s="7">
        <v>12000</v>
      </c>
      <c r="AS193" s="7">
        <v>39200</v>
      </c>
      <c r="AT193" s="7">
        <v>77100</v>
      </c>
      <c r="AU193" s="8">
        <v>233000</v>
      </c>
      <c r="AV193" s="8">
        <v>37700</v>
      </c>
      <c r="AW193" s="8">
        <v>7500</v>
      </c>
      <c r="AX193" s="8">
        <v>174500</v>
      </c>
      <c r="AY193" s="8">
        <v>41650</v>
      </c>
    </row>
    <row r="194" spans="1:51" x14ac:dyDescent="0.4">
      <c r="A194" s="12">
        <v>41170</v>
      </c>
      <c r="B194" s="9">
        <v>75600</v>
      </c>
      <c r="C194" s="9">
        <v>22850</v>
      </c>
      <c r="D194" s="9">
        <v>70200</v>
      </c>
      <c r="E194" s="9">
        <v>232000</v>
      </c>
      <c r="F194" s="9">
        <v>69500</v>
      </c>
      <c r="G194" s="10">
        <v>48250</v>
      </c>
      <c r="H194" s="10">
        <v>67400</v>
      </c>
      <c r="I194" s="10">
        <v>161000</v>
      </c>
      <c r="J194" s="10">
        <v>89800</v>
      </c>
      <c r="K194" s="10">
        <v>248500</v>
      </c>
      <c r="L194" s="9">
        <v>374500</v>
      </c>
      <c r="M194" s="9">
        <v>1315000</v>
      </c>
      <c r="N194" s="9">
        <v>80000</v>
      </c>
      <c r="O194" s="9">
        <v>148000</v>
      </c>
      <c r="P194" s="9">
        <v>96000</v>
      </c>
      <c r="Q194" s="10">
        <v>266500</v>
      </c>
      <c r="R194" s="10">
        <v>194500</v>
      </c>
      <c r="S194" s="10">
        <v>485000</v>
      </c>
      <c r="T194" s="10">
        <v>38500</v>
      </c>
      <c r="U194" s="10">
        <v>110500</v>
      </c>
      <c r="V194" s="9">
        <v>266000</v>
      </c>
      <c r="W194" s="9">
        <v>26638</v>
      </c>
      <c r="X194" s="9">
        <v>323000</v>
      </c>
      <c r="Y194" s="9">
        <v>25000</v>
      </c>
      <c r="Z194" s="9">
        <v>54700</v>
      </c>
      <c r="AA194" s="10">
        <v>144500</v>
      </c>
      <c r="AB194" s="10">
        <v>319500</v>
      </c>
      <c r="AC194" s="10">
        <v>12800</v>
      </c>
      <c r="AD194" s="10">
        <v>204500</v>
      </c>
      <c r="AE194" s="10">
        <v>40000</v>
      </c>
      <c r="AF194" s="9">
        <v>35100</v>
      </c>
      <c r="AG194" s="9">
        <v>97100</v>
      </c>
      <c r="AH194" s="9">
        <v>86800</v>
      </c>
      <c r="AI194" s="9">
        <v>59500</v>
      </c>
      <c r="AJ194" s="9">
        <v>28900</v>
      </c>
      <c r="AK194" s="10">
        <v>23450</v>
      </c>
      <c r="AL194" s="10">
        <v>269000</v>
      </c>
      <c r="AM194" s="10">
        <v>256000</v>
      </c>
      <c r="AN194" s="10">
        <v>26950</v>
      </c>
      <c r="AO194" s="10">
        <v>10650</v>
      </c>
      <c r="AP194" s="9">
        <v>610000</v>
      </c>
      <c r="AQ194" s="9">
        <v>335500</v>
      </c>
      <c r="AR194" s="9">
        <v>11950</v>
      </c>
      <c r="AS194" s="9">
        <v>39000</v>
      </c>
      <c r="AT194" s="9">
        <v>76400</v>
      </c>
      <c r="AU194" s="10">
        <v>236500</v>
      </c>
      <c r="AV194" s="10">
        <v>36900</v>
      </c>
      <c r="AW194" s="10">
        <v>7600</v>
      </c>
      <c r="AX194" s="10">
        <v>177000</v>
      </c>
      <c r="AY194" s="10">
        <v>41150</v>
      </c>
    </row>
    <row r="195" spans="1:51" x14ac:dyDescent="0.4">
      <c r="A195" s="11">
        <v>41169</v>
      </c>
      <c r="B195" s="7">
        <v>76400</v>
      </c>
      <c r="C195" s="7">
        <v>22950</v>
      </c>
      <c r="D195" s="7">
        <v>71100</v>
      </c>
      <c r="E195" s="7">
        <v>231500</v>
      </c>
      <c r="F195" s="7">
        <v>70000</v>
      </c>
      <c r="G195" s="8">
        <v>48100</v>
      </c>
      <c r="H195" s="8">
        <v>66900</v>
      </c>
      <c r="I195" s="8">
        <v>158500</v>
      </c>
      <c r="J195" s="8">
        <v>91700</v>
      </c>
      <c r="K195" s="8">
        <v>248000</v>
      </c>
      <c r="L195" s="7">
        <v>375500</v>
      </c>
      <c r="M195" s="7">
        <v>1315000</v>
      </c>
      <c r="N195" s="7">
        <v>82100</v>
      </c>
      <c r="O195" s="7">
        <v>148500</v>
      </c>
      <c r="P195" s="7">
        <v>95600</v>
      </c>
      <c r="Q195" s="8">
        <v>263500</v>
      </c>
      <c r="R195" s="8">
        <v>197000</v>
      </c>
      <c r="S195" s="8">
        <v>481000</v>
      </c>
      <c r="T195" s="8">
        <v>38750</v>
      </c>
      <c r="U195" s="8">
        <v>110000</v>
      </c>
      <c r="V195" s="7">
        <v>264000</v>
      </c>
      <c r="W195" s="7">
        <v>26342</v>
      </c>
      <c r="X195" s="7">
        <v>321000</v>
      </c>
      <c r="Y195" s="7">
        <v>24950</v>
      </c>
      <c r="Z195" s="7">
        <v>54000</v>
      </c>
      <c r="AA195" s="8">
        <v>145000</v>
      </c>
      <c r="AB195" s="8">
        <v>323000</v>
      </c>
      <c r="AC195" s="8">
        <v>12750</v>
      </c>
      <c r="AD195" s="8">
        <v>204500</v>
      </c>
      <c r="AE195" s="8">
        <v>39750</v>
      </c>
      <c r="AF195" s="7">
        <v>35450</v>
      </c>
      <c r="AG195" s="7">
        <v>96900</v>
      </c>
      <c r="AH195" s="7">
        <v>85700</v>
      </c>
      <c r="AI195" s="7">
        <v>62600</v>
      </c>
      <c r="AJ195" s="7">
        <v>28550</v>
      </c>
      <c r="AK195" s="8">
        <v>23150</v>
      </c>
      <c r="AL195" s="8">
        <v>267000</v>
      </c>
      <c r="AM195" s="8">
        <v>250000</v>
      </c>
      <c r="AN195" s="8">
        <v>27000</v>
      </c>
      <c r="AO195" s="8">
        <v>10450</v>
      </c>
      <c r="AP195" s="7">
        <v>612000</v>
      </c>
      <c r="AQ195" s="7">
        <v>332000</v>
      </c>
      <c r="AR195" s="7">
        <v>11900</v>
      </c>
      <c r="AS195" s="7">
        <v>38650</v>
      </c>
      <c r="AT195" s="7">
        <v>76300</v>
      </c>
      <c r="AU195" s="8">
        <v>233500</v>
      </c>
      <c r="AV195" s="8">
        <v>37550</v>
      </c>
      <c r="AW195" s="8">
        <v>7600</v>
      </c>
      <c r="AX195" s="8">
        <v>176000</v>
      </c>
      <c r="AY195" s="8">
        <v>41200</v>
      </c>
    </row>
    <row r="196" spans="1:51" x14ac:dyDescent="0.4">
      <c r="A196" s="11">
        <v>41166</v>
      </c>
      <c r="B196" s="7">
        <v>76100</v>
      </c>
      <c r="C196" s="7">
        <v>22950</v>
      </c>
      <c r="D196" s="7">
        <v>70900</v>
      </c>
      <c r="E196" s="7">
        <v>240000</v>
      </c>
      <c r="F196" s="7">
        <v>70000</v>
      </c>
      <c r="G196" s="8">
        <v>49250</v>
      </c>
      <c r="H196" s="8">
        <v>66300</v>
      </c>
      <c r="I196" s="8">
        <v>159000</v>
      </c>
      <c r="J196" s="8">
        <v>91700</v>
      </c>
      <c r="K196" s="8">
        <v>246000</v>
      </c>
      <c r="L196" s="7">
        <v>380000</v>
      </c>
      <c r="M196" s="7">
        <v>1336000</v>
      </c>
      <c r="N196" s="7">
        <v>82500</v>
      </c>
      <c r="O196" s="7">
        <v>150000</v>
      </c>
      <c r="P196" s="7">
        <v>97000</v>
      </c>
      <c r="Q196" s="8">
        <v>260000</v>
      </c>
      <c r="R196" s="8">
        <v>197000</v>
      </c>
      <c r="S196" s="8">
        <v>464500</v>
      </c>
      <c r="T196" s="8">
        <v>39000</v>
      </c>
      <c r="U196" s="8">
        <v>109500</v>
      </c>
      <c r="V196" s="7">
        <v>257000</v>
      </c>
      <c r="W196" s="7">
        <v>26589</v>
      </c>
      <c r="X196" s="7">
        <v>319500</v>
      </c>
      <c r="Y196" s="7">
        <v>24800</v>
      </c>
      <c r="Z196" s="7">
        <v>53900</v>
      </c>
      <c r="AA196" s="8">
        <v>150000</v>
      </c>
      <c r="AB196" s="8">
        <v>321000</v>
      </c>
      <c r="AC196" s="8">
        <v>12350</v>
      </c>
      <c r="AD196" s="8">
        <v>210500</v>
      </c>
      <c r="AE196" s="8">
        <v>40400</v>
      </c>
      <c r="AF196" s="7">
        <v>36300</v>
      </c>
      <c r="AG196" s="7">
        <v>97900</v>
      </c>
      <c r="AH196" s="7">
        <v>86500</v>
      </c>
      <c r="AI196" s="7">
        <v>61000</v>
      </c>
      <c r="AJ196" s="7">
        <v>28350</v>
      </c>
      <c r="AK196" s="8">
        <v>23150</v>
      </c>
      <c r="AL196" s="8">
        <v>279500</v>
      </c>
      <c r="AM196" s="8">
        <v>268000</v>
      </c>
      <c r="AN196" s="8">
        <v>26850</v>
      </c>
      <c r="AO196" s="8">
        <v>10550</v>
      </c>
      <c r="AP196" s="7">
        <v>634000</v>
      </c>
      <c r="AQ196" s="7">
        <v>326000</v>
      </c>
      <c r="AR196" s="7">
        <v>11800</v>
      </c>
      <c r="AS196" s="7">
        <v>37450</v>
      </c>
      <c r="AT196" s="7">
        <v>75700</v>
      </c>
      <c r="AU196" s="8">
        <v>238500</v>
      </c>
      <c r="AV196" s="8">
        <v>36450</v>
      </c>
      <c r="AW196" s="8">
        <v>7650</v>
      </c>
      <c r="AX196" s="8">
        <v>176000</v>
      </c>
      <c r="AY196" s="8">
        <v>40500</v>
      </c>
    </row>
    <row r="197" spans="1:51" x14ac:dyDescent="0.4">
      <c r="A197" s="11">
        <v>41165</v>
      </c>
      <c r="B197" s="7">
        <v>73400</v>
      </c>
      <c r="C197" s="7">
        <v>21850</v>
      </c>
      <c r="D197" s="7">
        <v>68700</v>
      </c>
      <c r="E197" s="7">
        <v>233000</v>
      </c>
      <c r="F197" s="7">
        <v>67700</v>
      </c>
      <c r="G197" s="8">
        <v>50000</v>
      </c>
      <c r="H197" s="8">
        <v>64600</v>
      </c>
      <c r="I197" s="8">
        <v>159500</v>
      </c>
      <c r="J197" s="8">
        <v>87200</v>
      </c>
      <c r="K197" s="8">
        <v>234500</v>
      </c>
      <c r="L197" s="7">
        <v>368500</v>
      </c>
      <c r="M197" s="7">
        <v>1301000</v>
      </c>
      <c r="N197" s="7">
        <v>77700</v>
      </c>
      <c r="O197" s="7">
        <v>147500</v>
      </c>
      <c r="P197" s="7">
        <v>94000</v>
      </c>
      <c r="Q197" s="8">
        <v>244500</v>
      </c>
      <c r="R197" s="8">
        <v>188500</v>
      </c>
      <c r="S197" s="8">
        <v>435000</v>
      </c>
      <c r="T197" s="8">
        <v>37800</v>
      </c>
      <c r="U197" s="8">
        <v>106000</v>
      </c>
      <c r="V197" s="7">
        <v>243500</v>
      </c>
      <c r="W197" s="7">
        <v>25752</v>
      </c>
      <c r="X197" s="7">
        <v>307000</v>
      </c>
      <c r="Y197" s="7">
        <v>24750</v>
      </c>
      <c r="Z197" s="7">
        <v>49800</v>
      </c>
      <c r="AA197" s="8">
        <v>152000</v>
      </c>
      <c r="AB197" s="8">
        <v>309000</v>
      </c>
      <c r="AC197" s="8">
        <v>12000</v>
      </c>
      <c r="AD197" s="8">
        <v>205500</v>
      </c>
      <c r="AE197" s="8">
        <v>39300</v>
      </c>
      <c r="AF197" s="7">
        <v>36350</v>
      </c>
      <c r="AG197" s="7">
        <v>96900</v>
      </c>
      <c r="AH197" s="7">
        <v>87200</v>
      </c>
      <c r="AI197" s="7">
        <v>59500</v>
      </c>
      <c r="AJ197" s="7">
        <v>27050</v>
      </c>
      <c r="AK197" s="8">
        <v>23000</v>
      </c>
      <c r="AL197" s="8">
        <v>277000</v>
      </c>
      <c r="AM197" s="8">
        <v>265500</v>
      </c>
      <c r="AN197" s="8">
        <v>25200</v>
      </c>
      <c r="AO197" s="8">
        <v>10050</v>
      </c>
      <c r="AP197" s="7">
        <v>621000</v>
      </c>
      <c r="AQ197" s="7">
        <v>313500</v>
      </c>
      <c r="AR197" s="7">
        <v>11050</v>
      </c>
      <c r="AS197" s="7">
        <v>36000</v>
      </c>
      <c r="AT197" s="7">
        <v>74100</v>
      </c>
      <c r="AU197" s="8">
        <v>239000</v>
      </c>
      <c r="AV197" s="8">
        <v>34050</v>
      </c>
      <c r="AW197" s="8">
        <v>7110</v>
      </c>
      <c r="AX197" s="8">
        <v>168500</v>
      </c>
      <c r="AY197" s="8">
        <v>38850</v>
      </c>
    </row>
    <row r="198" spans="1:51" x14ac:dyDescent="0.4">
      <c r="A198" s="11">
        <v>41164</v>
      </c>
      <c r="B198" s="7">
        <v>72600</v>
      </c>
      <c r="C198" s="7">
        <v>22200</v>
      </c>
      <c r="D198" s="7">
        <v>68400</v>
      </c>
      <c r="E198" s="7">
        <v>232000</v>
      </c>
      <c r="F198" s="7">
        <v>67700</v>
      </c>
      <c r="G198" s="8">
        <v>50000</v>
      </c>
      <c r="H198" s="8">
        <v>64700</v>
      </c>
      <c r="I198" s="8">
        <v>166500</v>
      </c>
      <c r="J198" s="8">
        <v>87000</v>
      </c>
      <c r="K198" s="8">
        <v>235500</v>
      </c>
      <c r="L198" s="7">
        <v>368000</v>
      </c>
      <c r="M198" s="7">
        <v>1294000</v>
      </c>
      <c r="N198" s="7">
        <v>77400</v>
      </c>
      <c r="O198" s="7">
        <v>146000</v>
      </c>
      <c r="P198" s="7">
        <v>95500</v>
      </c>
      <c r="Q198" s="8">
        <v>245000</v>
      </c>
      <c r="R198" s="8">
        <v>191000</v>
      </c>
      <c r="S198" s="8">
        <v>446000</v>
      </c>
      <c r="T198" s="8">
        <v>38250</v>
      </c>
      <c r="U198" s="8">
        <v>106000</v>
      </c>
      <c r="V198" s="7">
        <v>246500</v>
      </c>
      <c r="W198" s="7">
        <v>26293</v>
      </c>
      <c r="X198" s="7">
        <v>307000</v>
      </c>
      <c r="Y198" s="7">
        <v>23950</v>
      </c>
      <c r="Z198" s="7">
        <v>49700</v>
      </c>
      <c r="AA198" s="8">
        <v>150500</v>
      </c>
      <c r="AB198" s="8">
        <v>306500</v>
      </c>
      <c r="AC198" s="8">
        <v>12100</v>
      </c>
      <c r="AD198" s="8">
        <v>205500</v>
      </c>
      <c r="AE198" s="8">
        <v>40350</v>
      </c>
      <c r="AF198" s="7">
        <v>36100</v>
      </c>
      <c r="AG198" s="7">
        <v>96500</v>
      </c>
      <c r="AH198" s="7">
        <v>87200</v>
      </c>
      <c r="AI198" s="7">
        <v>60000</v>
      </c>
      <c r="AJ198" s="7">
        <v>27600</v>
      </c>
      <c r="AK198" s="8">
        <v>23250</v>
      </c>
      <c r="AL198" s="8">
        <v>277500</v>
      </c>
      <c r="AM198" s="8">
        <v>270000</v>
      </c>
      <c r="AN198" s="8">
        <v>25500</v>
      </c>
      <c r="AO198" s="8">
        <v>10050</v>
      </c>
      <c r="AP198" s="7">
        <v>624000</v>
      </c>
      <c r="AQ198" s="7">
        <v>313000</v>
      </c>
      <c r="AR198" s="7">
        <v>11250</v>
      </c>
      <c r="AS198" s="7">
        <v>36100</v>
      </c>
      <c r="AT198" s="7">
        <v>72300</v>
      </c>
      <c r="AU198" s="8">
        <v>241000</v>
      </c>
      <c r="AV198" s="8">
        <v>34300</v>
      </c>
      <c r="AW198" s="8">
        <v>7260</v>
      </c>
      <c r="AX198" s="8">
        <v>170000</v>
      </c>
      <c r="AY198" s="8">
        <v>39000</v>
      </c>
    </row>
    <row r="199" spans="1:51" x14ac:dyDescent="0.4">
      <c r="A199" s="12">
        <v>41163</v>
      </c>
      <c r="B199" s="9">
        <v>72700</v>
      </c>
      <c r="C199" s="9">
        <v>21950</v>
      </c>
      <c r="D199" s="9">
        <v>66600</v>
      </c>
      <c r="E199" s="9">
        <v>229000</v>
      </c>
      <c r="F199" s="9">
        <v>66400</v>
      </c>
      <c r="G199" s="10">
        <v>48900</v>
      </c>
      <c r="H199" s="10">
        <v>64200</v>
      </c>
      <c r="I199" s="10">
        <v>167500</v>
      </c>
      <c r="J199" s="10">
        <v>85000</v>
      </c>
      <c r="K199" s="10">
        <v>235000</v>
      </c>
      <c r="L199" s="9">
        <v>365500</v>
      </c>
      <c r="M199" s="9">
        <v>1256000</v>
      </c>
      <c r="N199" s="9">
        <v>75300</v>
      </c>
      <c r="O199" s="9">
        <v>145500</v>
      </c>
      <c r="P199" s="9">
        <v>95300</v>
      </c>
      <c r="Q199" s="10">
        <v>237000</v>
      </c>
      <c r="R199" s="10">
        <v>190500</v>
      </c>
      <c r="S199" s="10">
        <v>449000</v>
      </c>
      <c r="T199" s="10">
        <v>37750</v>
      </c>
      <c r="U199" s="10">
        <v>105500</v>
      </c>
      <c r="V199" s="9">
        <v>243500</v>
      </c>
      <c r="W199" s="9">
        <v>25850</v>
      </c>
      <c r="X199" s="9">
        <v>301500</v>
      </c>
      <c r="Y199" s="9">
        <v>23800</v>
      </c>
      <c r="Z199" s="9">
        <v>48700</v>
      </c>
      <c r="AA199" s="10">
        <v>150000</v>
      </c>
      <c r="AB199" s="10">
        <v>304500</v>
      </c>
      <c r="AC199" s="10">
        <v>12100</v>
      </c>
      <c r="AD199" s="10">
        <v>206500</v>
      </c>
      <c r="AE199" s="10">
        <v>40400</v>
      </c>
      <c r="AF199" s="9">
        <v>35900</v>
      </c>
      <c r="AG199" s="9">
        <v>94000</v>
      </c>
      <c r="AH199" s="9">
        <v>85100</v>
      </c>
      <c r="AI199" s="9">
        <v>59400</v>
      </c>
      <c r="AJ199" s="9">
        <v>27200</v>
      </c>
      <c r="AK199" s="10">
        <v>23150</v>
      </c>
      <c r="AL199" s="10">
        <v>265000</v>
      </c>
      <c r="AM199" s="10">
        <v>272000</v>
      </c>
      <c r="AN199" s="10">
        <v>24900</v>
      </c>
      <c r="AO199" s="10">
        <v>9870</v>
      </c>
      <c r="AP199" s="9">
        <v>598000</v>
      </c>
      <c r="AQ199" s="9">
        <v>308500</v>
      </c>
      <c r="AR199" s="9">
        <v>11100</v>
      </c>
      <c r="AS199" s="9">
        <v>35350</v>
      </c>
      <c r="AT199" s="9">
        <v>72200</v>
      </c>
      <c r="AU199" s="10">
        <v>230500</v>
      </c>
      <c r="AV199" s="10">
        <v>34450</v>
      </c>
      <c r="AW199" s="10">
        <v>7100</v>
      </c>
      <c r="AX199" s="10">
        <v>168000</v>
      </c>
      <c r="AY199" s="10">
        <v>38150</v>
      </c>
    </row>
    <row r="200" spans="1:51" x14ac:dyDescent="0.4">
      <c r="A200" s="11">
        <v>41162</v>
      </c>
      <c r="B200" s="7">
        <v>72900</v>
      </c>
      <c r="C200" s="7">
        <v>22250</v>
      </c>
      <c r="D200" s="7">
        <v>67000</v>
      </c>
      <c r="E200" s="7">
        <v>227500</v>
      </c>
      <c r="F200" s="7">
        <v>67000</v>
      </c>
      <c r="G200" s="8">
        <v>49400</v>
      </c>
      <c r="H200" s="8">
        <v>65200</v>
      </c>
      <c r="I200" s="8">
        <v>170000</v>
      </c>
      <c r="J200" s="8">
        <v>85700</v>
      </c>
      <c r="K200" s="8">
        <v>236500</v>
      </c>
      <c r="L200" s="7">
        <v>365500</v>
      </c>
      <c r="M200" s="7">
        <v>1250000</v>
      </c>
      <c r="N200" s="7">
        <v>76500</v>
      </c>
      <c r="O200" s="7">
        <v>147500</v>
      </c>
      <c r="P200" s="7">
        <v>95900</v>
      </c>
      <c r="Q200" s="8">
        <v>238500</v>
      </c>
      <c r="R200" s="8">
        <v>189500</v>
      </c>
      <c r="S200" s="8">
        <v>430500</v>
      </c>
      <c r="T200" s="8">
        <v>38150</v>
      </c>
      <c r="U200" s="8">
        <v>107500</v>
      </c>
      <c r="V200" s="7">
        <v>249000</v>
      </c>
      <c r="W200" s="7">
        <v>26244</v>
      </c>
      <c r="X200" s="7">
        <v>303000</v>
      </c>
      <c r="Y200" s="7">
        <v>23850</v>
      </c>
      <c r="Z200" s="7">
        <v>49200</v>
      </c>
      <c r="AA200" s="8">
        <v>147500</v>
      </c>
      <c r="AB200" s="8">
        <v>307000</v>
      </c>
      <c r="AC200" s="8">
        <v>12100</v>
      </c>
      <c r="AD200" s="8">
        <v>205000</v>
      </c>
      <c r="AE200" s="8">
        <v>40850</v>
      </c>
      <c r="AF200" s="7">
        <v>35350</v>
      </c>
      <c r="AG200" s="7">
        <v>95400</v>
      </c>
      <c r="AH200" s="7">
        <v>84600</v>
      </c>
      <c r="AI200" s="7">
        <v>60200</v>
      </c>
      <c r="AJ200" s="7">
        <v>27450</v>
      </c>
      <c r="AK200" s="8">
        <v>23150</v>
      </c>
      <c r="AL200" s="8">
        <v>259500</v>
      </c>
      <c r="AM200" s="8">
        <v>267000</v>
      </c>
      <c r="AN200" s="8">
        <v>25300</v>
      </c>
      <c r="AO200" s="8">
        <v>9950</v>
      </c>
      <c r="AP200" s="7">
        <v>605000</v>
      </c>
      <c r="AQ200" s="7">
        <v>311000</v>
      </c>
      <c r="AR200" s="7">
        <v>11150</v>
      </c>
      <c r="AS200" s="7">
        <v>35950</v>
      </c>
      <c r="AT200" s="7">
        <v>72000</v>
      </c>
      <c r="AU200" s="8">
        <v>229000</v>
      </c>
      <c r="AV200" s="8">
        <v>35000</v>
      </c>
      <c r="AW200" s="8">
        <v>7210</v>
      </c>
      <c r="AX200" s="8">
        <v>168000</v>
      </c>
      <c r="AY200" s="8">
        <v>38350</v>
      </c>
    </row>
    <row r="201" spans="1:51" x14ac:dyDescent="0.4">
      <c r="A201" s="11">
        <v>41159</v>
      </c>
      <c r="B201" s="7">
        <v>73100</v>
      </c>
      <c r="C201" s="7">
        <v>22500</v>
      </c>
      <c r="D201" s="7">
        <v>65900</v>
      </c>
      <c r="E201" s="7">
        <v>228000</v>
      </c>
      <c r="F201" s="7">
        <v>66500</v>
      </c>
      <c r="G201" s="8">
        <v>49300</v>
      </c>
      <c r="H201" s="8">
        <v>64300</v>
      </c>
      <c r="I201" s="8">
        <v>168500</v>
      </c>
      <c r="J201" s="8">
        <v>86100</v>
      </c>
      <c r="K201" s="8">
        <v>236000</v>
      </c>
      <c r="L201" s="7">
        <v>364000</v>
      </c>
      <c r="M201" s="7">
        <v>1250000</v>
      </c>
      <c r="N201" s="7">
        <v>74600</v>
      </c>
      <c r="O201" s="7">
        <v>148000</v>
      </c>
      <c r="P201" s="7">
        <v>95500</v>
      </c>
      <c r="Q201" s="8">
        <v>239500</v>
      </c>
      <c r="R201" s="8">
        <v>191500</v>
      </c>
      <c r="S201" s="8">
        <v>424500</v>
      </c>
      <c r="T201" s="8">
        <v>38900</v>
      </c>
      <c r="U201" s="8">
        <v>107500</v>
      </c>
      <c r="V201" s="7">
        <v>251000</v>
      </c>
      <c r="W201" s="7">
        <v>26392</v>
      </c>
      <c r="X201" s="7">
        <v>304000</v>
      </c>
      <c r="Y201" s="7">
        <v>24000</v>
      </c>
      <c r="Z201" s="7">
        <v>49150</v>
      </c>
      <c r="AA201" s="8">
        <v>150000</v>
      </c>
      <c r="AB201" s="8">
        <v>306000</v>
      </c>
      <c r="AC201" s="8">
        <v>12050</v>
      </c>
      <c r="AD201" s="8">
        <v>206500</v>
      </c>
      <c r="AE201" s="8">
        <v>41550</v>
      </c>
      <c r="AF201" s="7">
        <v>35600</v>
      </c>
      <c r="AG201" s="7">
        <v>96400</v>
      </c>
      <c r="AH201" s="7">
        <v>85100</v>
      </c>
      <c r="AI201" s="7">
        <v>60000</v>
      </c>
      <c r="AJ201" s="7">
        <v>27550</v>
      </c>
      <c r="AK201" s="8">
        <v>23050</v>
      </c>
      <c r="AL201" s="8">
        <v>263500</v>
      </c>
      <c r="AM201" s="8">
        <v>286500</v>
      </c>
      <c r="AN201" s="8">
        <v>25800</v>
      </c>
      <c r="AO201" s="8">
        <v>10000</v>
      </c>
      <c r="AP201" s="7">
        <v>601000</v>
      </c>
      <c r="AQ201" s="7">
        <v>313000</v>
      </c>
      <c r="AR201" s="7">
        <v>11250</v>
      </c>
      <c r="AS201" s="7">
        <v>35850</v>
      </c>
      <c r="AT201" s="7">
        <v>72200</v>
      </c>
      <c r="AU201" s="8">
        <v>232000</v>
      </c>
      <c r="AV201" s="8">
        <v>35250</v>
      </c>
      <c r="AW201" s="8">
        <v>7270</v>
      </c>
      <c r="AX201" s="8">
        <v>170000</v>
      </c>
      <c r="AY201" s="8">
        <v>38250</v>
      </c>
    </row>
    <row r="202" spans="1:51" x14ac:dyDescent="0.4">
      <c r="A202" s="11">
        <v>41158</v>
      </c>
      <c r="B202" s="7">
        <v>72000</v>
      </c>
      <c r="C202" s="7">
        <v>20900</v>
      </c>
      <c r="D202" s="7">
        <v>62600</v>
      </c>
      <c r="E202" s="7">
        <v>225500</v>
      </c>
      <c r="F202" s="7">
        <v>63900</v>
      </c>
      <c r="G202" s="8">
        <v>48750</v>
      </c>
      <c r="H202" s="8">
        <v>62100</v>
      </c>
      <c r="I202" s="8">
        <v>166000</v>
      </c>
      <c r="J202" s="8">
        <v>81800</v>
      </c>
      <c r="K202" s="8">
        <v>227500</v>
      </c>
      <c r="L202" s="7">
        <v>356500</v>
      </c>
      <c r="M202" s="7">
        <v>1196000</v>
      </c>
      <c r="N202" s="7">
        <v>71000</v>
      </c>
      <c r="O202" s="7">
        <v>147500</v>
      </c>
      <c r="P202" s="7">
        <v>93600</v>
      </c>
      <c r="Q202" s="8">
        <v>229000</v>
      </c>
      <c r="R202" s="8">
        <v>189000</v>
      </c>
      <c r="S202" s="8">
        <v>424500</v>
      </c>
      <c r="T202" s="8">
        <v>37100</v>
      </c>
      <c r="U202" s="8">
        <v>103500</v>
      </c>
      <c r="V202" s="7">
        <v>236000</v>
      </c>
      <c r="W202" s="7">
        <v>25801</v>
      </c>
      <c r="X202" s="7">
        <v>295500</v>
      </c>
      <c r="Y202" s="7">
        <v>24050</v>
      </c>
      <c r="Z202" s="7">
        <v>48000</v>
      </c>
      <c r="AA202" s="8">
        <v>150000</v>
      </c>
      <c r="AB202" s="8">
        <v>301500</v>
      </c>
      <c r="AC202" s="8">
        <v>11900</v>
      </c>
      <c r="AD202" s="8">
        <v>195000</v>
      </c>
      <c r="AE202" s="8">
        <v>42750</v>
      </c>
      <c r="AF202" s="7">
        <v>35500</v>
      </c>
      <c r="AG202" s="7">
        <v>95200</v>
      </c>
      <c r="AH202" s="7">
        <v>85500</v>
      </c>
      <c r="AI202" s="7">
        <v>59000</v>
      </c>
      <c r="AJ202" s="7">
        <v>27000</v>
      </c>
      <c r="AK202" s="8">
        <v>22750</v>
      </c>
      <c r="AL202" s="8">
        <v>267500</v>
      </c>
      <c r="AM202" s="8">
        <v>280000</v>
      </c>
      <c r="AN202" s="8">
        <v>24650</v>
      </c>
      <c r="AO202" s="8">
        <v>9780</v>
      </c>
      <c r="AP202" s="7">
        <v>600000</v>
      </c>
      <c r="AQ202" s="7">
        <v>298500</v>
      </c>
      <c r="AR202" s="7">
        <v>10800</v>
      </c>
      <c r="AS202" s="7">
        <v>34650</v>
      </c>
      <c r="AT202" s="7">
        <v>70400</v>
      </c>
      <c r="AU202" s="8">
        <v>229000</v>
      </c>
      <c r="AV202" s="8">
        <v>33800</v>
      </c>
      <c r="AW202" s="8">
        <v>7110</v>
      </c>
      <c r="AX202" s="8">
        <v>164500</v>
      </c>
      <c r="AY202" s="8">
        <v>36500</v>
      </c>
    </row>
    <row r="203" spans="1:51" x14ac:dyDescent="0.4">
      <c r="A203" s="11">
        <v>41157</v>
      </c>
      <c r="B203" s="7">
        <v>71800</v>
      </c>
      <c r="C203" s="7">
        <v>21200</v>
      </c>
      <c r="D203" s="7">
        <v>63000</v>
      </c>
      <c r="E203" s="7">
        <v>227000</v>
      </c>
      <c r="F203" s="7">
        <v>63700</v>
      </c>
      <c r="G203" s="8">
        <v>48100</v>
      </c>
      <c r="H203" s="8">
        <v>62100</v>
      </c>
      <c r="I203" s="8">
        <v>165000</v>
      </c>
      <c r="J203" s="8">
        <v>81600</v>
      </c>
      <c r="K203" s="8">
        <v>227000</v>
      </c>
      <c r="L203" s="7">
        <v>358000</v>
      </c>
      <c r="M203" s="7">
        <v>1189000</v>
      </c>
      <c r="N203" s="7">
        <v>70000</v>
      </c>
      <c r="O203" s="7">
        <v>147500</v>
      </c>
      <c r="P203" s="7">
        <v>93400</v>
      </c>
      <c r="Q203" s="8">
        <v>229500</v>
      </c>
      <c r="R203" s="8">
        <v>188000</v>
      </c>
      <c r="S203" s="8">
        <v>421500</v>
      </c>
      <c r="T203" s="8">
        <v>37200</v>
      </c>
      <c r="U203" s="8">
        <v>103500</v>
      </c>
      <c r="V203" s="7">
        <v>237000</v>
      </c>
      <c r="W203" s="7">
        <v>26145</v>
      </c>
      <c r="X203" s="7">
        <v>296500</v>
      </c>
      <c r="Y203" s="7">
        <v>23750</v>
      </c>
      <c r="Z203" s="7">
        <v>47750</v>
      </c>
      <c r="AA203" s="8">
        <v>147000</v>
      </c>
      <c r="AB203" s="8">
        <v>308500</v>
      </c>
      <c r="AC203" s="8">
        <v>12000</v>
      </c>
      <c r="AD203" s="8">
        <v>193500</v>
      </c>
      <c r="AE203" s="8">
        <v>42450</v>
      </c>
      <c r="AF203" s="7">
        <v>34400</v>
      </c>
      <c r="AG203" s="7">
        <v>94700</v>
      </c>
      <c r="AH203" s="7">
        <v>83900</v>
      </c>
      <c r="AI203" s="7">
        <v>59300</v>
      </c>
      <c r="AJ203" s="7">
        <v>26700</v>
      </c>
      <c r="AK203" s="8">
        <v>22600</v>
      </c>
      <c r="AL203" s="8">
        <v>260000</v>
      </c>
      <c r="AM203" s="8">
        <v>269000</v>
      </c>
      <c r="AN203" s="8">
        <v>24400</v>
      </c>
      <c r="AO203" s="8">
        <v>9380</v>
      </c>
      <c r="AP203" s="7">
        <v>611000</v>
      </c>
      <c r="AQ203" s="7">
        <v>298000</v>
      </c>
      <c r="AR203" s="7">
        <v>10600</v>
      </c>
      <c r="AS203" s="7">
        <v>34500</v>
      </c>
      <c r="AT203" s="7">
        <v>69400</v>
      </c>
      <c r="AU203" s="8">
        <v>228000</v>
      </c>
      <c r="AV203" s="8">
        <v>33800</v>
      </c>
      <c r="AW203" s="8">
        <v>6950</v>
      </c>
      <c r="AX203" s="8">
        <v>165000</v>
      </c>
      <c r="AY203" s="8">
        <v>36300</v>
      </c>
    </row>
    <row r="204" spans="1:51" x14ac:dyDescent="0.4">
      <c r="A204" s="12">
        <v>41156</v>
      </c>
      <c r="B204" s="9">
        <v>73700</v>
      </c>
      <c r="C204" s="9">
        <v>21500</v>
      </c>
      <c r="D204" s="9">
        <v>64200</v>
      </c>
      <c r="E204" s="9">
        <v>232000</v>
      </c>
      <c r="F204" s="9">
        <v>65500</v>
      </c>
      <c r="G204" s="10">
        <v>48600</v>
      </c>
      <c r="H204" s="10">
        <v>62700</v>
      </c>
      <c r="I204" s="10">
        <v>165000</v>
      </c>
      <c r="J204" s="10">
        <v>83000</v>
      </c>
      <c r="K204" s="10">
        <v>236000</v>
      </c>
      <c r="L204" s="9">
        <v>363000</v>
      </c>
      <c r="M204" s="9">
        <v>1218000</v>
      </c>
      <c r="N204" s="9">
        <v>71600</v>
      </c>
      <c r="O204" s="9">
        <v>147500</v>
      </c>
      <c r="P204" s="9">
        <v>95300</v>
      </c>
      <c r="Q204" s="10">
        <v>236000</v>
      </c>
      <c r="R204" s="10">
        <v>191500</v>
      </c>
      <c r="S204" s="10">
        <v>437000</v>
      </c>
      <c r="T204" s="10">
        <v>38150</v>
      </c>
      <c r="U204" s="10">
        <v>105500</v>
      </c>
      <c r="V204" s="9">
        <v>242500</v>
      </c>
      <c r="W204" s="9">
        <v>26736</v>
      </c>
      <c r="X204" s="9">
        <v>304000</v>
      </c>
      <c r="Y204" s="9">
        <v>24000</v>
      </c>
      <c r="Z204" s="9">
        <v>48350</v>
      </c>
      <c r="AA204" s="10">
        <v>147000</v>
      </c>
      <c r="AB204" s="10">
        <v>312500</v>
      </c>
      <c r="AC204" s="10">
        <v>12100</v>
      </c>
      <c r="AD204" s="10">
        <v>199000</v>
      </c>
      <c r="AE204" s="10">
        <v>40850</v>
      </c>
      <c r="AF204" s="9">
        <v>33900</v>
      </c>
      <c r="AG204" s="9">
        <v>94700</v>
      </c>
      <c r="AH204" s="9">
        <v>85100</v>
      </c>
      <c r="AI204" s="9">
        <v>60000</v>
      </c>
      <c r="AJ204" s="9">
        <v>26600</v>
      </c>
      <c r="AK204" s="10">
        <v>23050</v>
      </c>
      <c r="AL204" s="10">
        <v>265000</v>
      </c>
      <c r="AM204" s="10">
        <v>268000</v>
      </c>
      <c r="AN204" s="10">
        <v>25300</v>
      </c>
      <c r="AO204" s="10">
        <v>9650</v>
      </c>
      <c r="AP204" s="9">
        <v>618000</v>
      </c>
      <c r="AQ204" s="9">
        <v>305500</v>
      </c>
      <c r="AR204" s="9">
        <v>10900</v>
      </c>
      <c r="AS204" s="9">
        <v>35200</v>
      </c>
      <c r="AT204" s="9">
        <v>68200</v>
      </c>
      <c r="AU204" s="10">
        <v>228500</v>
      </c>
      <c r="AV204" s="10">
        <v>34700</v>
      </c>
      <c r="AW204" s="10">
        <v>7150</v>
      </c>
      <c r="AX204" s="10">
        <v>167500</v>
      </c>
      <c r="AY204" s="10">
        <v>36950</v>
      </c>
    </row>
    <row r="205" spans="1:51" x14ac:dyDescent="0.4">
      <c r="A205" s="11">
        <v>41155</v>
      </c>
      <c r="B205" s="7">
        <v>75600</v>
      </c>
      <c r="C205" s="7">
        <v>21400</v>
      </c>
      <c r="D205" s="7">
        <v>63600</v>
      </c>
      <c r="E205" s="7">
        <v>234000</v>
      </c>
      <c r="F205" s="7">
        <v>65000</v>
      </c>
      <c r="G205" s="8">
        <v>47700</v>
      </c>
      <c r="H205" s="8">
        <v>62800</v>
      </c>
      <c r="I205" s="8">
        <v>165500</v>
      </c>
      <c r="J205" s="8">
        <v>83800</v>
      </c>
      <c r="K205" s="8">
        <v>241500</v>
      </c>
      <c r="L205" s="7">
        <v>366000</v>
      </c>
      <c r="M205" s="7">
        <v>1218000</v>
      </c>
      <c r="N205" s="7">
        <v>71700</v>
      </c>
      <c r="O205" s="7">
        <v>144500</v>
      </c>
      <c r="P205" s="7">
        <v>96100</v>
      </c>
      <c r="Q205" s="8">
        <v>233500</v>
      </c>
      <c r="R205" s="8">
        <v>190500</v>
      </c>
      <c r="S205" s="8">
        <v>432500</v>
      </c>
      <c r="T205" s="8">
        <v>37500</v>
      </c>
      <c r="U205" s="8">
        <v>104500</v>
      </c>
      <c r="V205" s="7">
        <v>240000</v>
      </c>
      <c r="W205" s="7">
        <v>27081</v>
      </c>
      <c r="X205" s="7">
        <v>313500</v>
      </c>
      <c r="Y205" s="7">
        <v>24500</v>
      </c>
      <c r="Z205" s="7">
        <v>48300</v>
      </c>
      <c r="AA205" s="8">
        <v>144000</v>
      </c>
      <c r="AB205" s="8">
        <v>315000</v>
      </c>
      <c r="AC205" s="8">
        <v>12050</v>
      </c>
      <c r="AD205" s="8">
        <v>198500</v>
      </c>
      <c r="AE205" s="8">
        <v>41200</v>
      </c>
      <c r="AF205" s="7">
        <v>34250</v>
      </c>
      <c r="AG205" s="7">
        <v>95800</v>
      </c>
      <c r="AH205" s="7">
        <v>85300</v>
      </c>
      <c r="AI205" s="7">
        <v>59100</v>
      </c>
      <c r="AJ205" s="7">
        <v>26050</v>
      </c>
      <c r="AK205" s="8">
        <v>23150</v>
      </c>
      <c r="AL205" s="8">
        <v>260000</v>
      </c>
      <c r="AM205" s="8">
        <v>264000</v>
      </c>
      <c r="AN205" s="8">
        <v>24950</v>
      </c>
      <c r="AO205" s="8">
        <v>9850</v>
      </c>
      <c r="AP205" s="7">
        <v>629000</v>
      </c>
      <c r="AQ205" s="7">
        <v>305000</v>
      </c>
      <c r="AR205" s="7">
        <v>10900</v>
      </c>
      <c r="AS205" s="7">
        <v>35050</v>
      </c>
      <c r="AT205" s="7">
        <v>69700</v>
      </c>
      <c r="AU205" s="8">
        <v>232000</v>
      </c>
      <c r="AV205" s="8">
        <v>34350</v>
      </c>
      <c r="AW205" s="8">
        <v>7290</v>
      </c>
      <c r="AX205" s="8">
        <v>168000</v>
      </c>
      <c r="AY205" s="8">
        <v>36650</v>
      </c>
    </row>
    <row r="206" spans="1:51" x14ac:dyDescent="0.4">
      <c r="A206" s="11">
        <v>41152</v>
      </c>
      <c r="B206" s="7">
        <v>74100</v>
      </c>
      <c r="C206" s="7">
        <v>21200</v>
      </c>
      <c r="D206" s="7">
        <v>63400</v>
      </c>
      <c r="E206" s="7">
        <v>234000</v>
      </c>
      <c r="F206" s="7">
        <v>64500</v>
      </c>
      <c r="G206" s="8">
        <v>47500</v>
      </c>
      <c r="H206" s="8">
        <v>62600</v>
      </c>
      <c r="I206" s="8">
        <v>167000</v>
      </c>
      <c r="J206" s="8">
        <v>83600</v>
      </c>
      <c r="K206" s="8">
        <v>240500</v>
      </c>
      <c r="L206" s="7">
        <v>369000</v>
      </c>
      <c r="M206" s="7">
        <v>1233000</v>
      </c>
      <c r="N206" s="7">
        <v>70200</v>
      </c>
      <c r="O206" s="7">
        <v>143000</v>
      </c>
      <c r="P206" s="7">
        <v>97300</v>
      </c>
      <c r="Q206" s="8">
        <v>231500</v>
      </c>
      <c r="R206" s="8">
        <v>190000</v>
      </c>
      <c r="S206" s="8">
        <v>409000</v>
      </c>
      <c r="T206" s="8">
        <v>37150</v>
      </c>
      <c r="U206" s="8">
        <v>103000</v>
      </c>
      <c r="V206" s="7">
        <v>234000</v>
      </c>
      <c r="W206" s="7">
        <v>26982</v>
      </c>
      <c r="X206" s="7">
        <v>307500</v>
      </c>
      <c r="Y206" s="7">
        <v>24600</v>
      </c>
      <c r="Z206" s="7">
        <v>48550</v>
      </c>
      <c r="AA206" s="8">
        <v>145500</v>
      </c>
      <c r="AB206" s="8">
        <v>319500</v>
      </c>
      <c r="AC206" s="8">
        <v>12050</v>
      </c>
      <c r="AD206" s="8">
        <v>192500</v>
      </c>
      <c r="AE206" s="8">
        <v>35950</v>
      </c>
      <c r="AF206" s="7">
        <v>34400</v>
      </c>
      <c r="AG206" s="7">
        <v>96500</v>
      </c>
      <c r="AH206" s="7">
        <v>85900</v>
      </c>
      <c r="AI206" s="7">
        <v>59200</v>
      </c>
      <c r="AJ206" s="7">
        <v>25950</v>
      </c>
      <c r="AK206" s="8">
        <v>23200</v>
      </c>
      <c r="AL206" s="8">
        <v>259500</v>
      </c>
      <c r="AM206" s="8">
        <v>252500</v>
      </c>
      <c r="AN206" s="8">
        <v>24350</v>
      </c>
      <c r="AO206" s="8">
        <v>10000</v>
      </c>
      <c r="AP206" s="7">
        <v>622000</v>
      </c>
      <c r="AQ206" s="7">
        <v>301000</v>
      </c>
      <c r="AR206" s="7">
        <v>10800</v>
      </c>
      <c r="AS206" s="7">
        <v>35300</v>
      </c>
      <c r="AT206" s="7">
        <v>70400</v>
      </c>
      <c r="AU206" s="8">
        <v>228000</v>
      </c>
      <c r="AV206" s="8">
        <v>33900</v>
      </c>
      <c r="AW206" s="8">
        <v>7100</v>
      </c>
      <c r="AX206" s="8">
        <v>163500</v>
      </c>
      <c r="AY206" s="8">
        <v>36750</v>
      </c>
    </row>
    <row r="207" spans="1:51" x14ac:dyDescent="0.4">
      <c r="A207" s="11">
        <v>41151</v>
      </c>
      <c r="B207" s="7">
        <v>75500</v>
      </c>
      <c r="C207" s="7">
        <v>21200</v>
      </c>
      <c r="D207" s="7">
        <v>64100</v>
      </c>
      <c r="E207" s="7">
        <v>227500</v>
      </c>
      <c r="F207" s="7">
        <v>65100</v>
      </c>
      <c r="G207" s="8">
        <v>47450</v>
      </c>
      <c r="H207" s="8">
        <v>62800</v>
      </c>
      <c r="I207" s="8">
        <v>167500</v>
      </c>
      <c r="J207" s="8">
        <v>83500</v>
      </c>
      <c r="K207" s="8">
        <v>246000</v>
      </c>
      <c r="L207" s="7">
        <v>367000</v>
      </c>
      <c r="M207" s="7">
        <v>1215000</v>
      </c>
      <c r="N207" s="7">
        <v>70400</v>
      </c>
      <c r="O207" s="7">
        <v>141500</v>
      </c>
      <c r="P207" s="7">
        <v>96700</v>
      </c>
      <c r="Q207" s="8">
        <v>233000</v>
      </c>
      <c r="R207" s="8">
        <v>192000</v>
      </c>
      <c r="S207" s="8">
        <v>408000</v>
      </c>
      <c r="T207" s="8">
        <v>37350</v>
      </c>
      <c r="U207" s="8">
        <v>104500</v>
      </c>
      <c r="V207" s="7">
        <v>234500</v>
      </c>
      <c r="W207" s="7">
        <v>27672</v>
      </c>
      <c r="X207" s="7">
        <v>308000</v>
      </c>
      <c r="Y207" s="7">
        <v>24550</v>
      </c>
      <c r="Z207" s="7">
        <v>48950</v>
      </c>
      <c r="AA207" s="8">
        <v>147500</v>
      </c>
      <c r="AB207" s="8">
        <v>320000</v>
      </c>
      <c r="AC207" s="8">
        <v>12100</v>
      </c>
      <c r="AD207" s="8">
        <v>194000</v>
      </c>
      <c r="AE207" s="8">
        <v>35150</v>
      </c>
      <c r="AF207" s="7">
        <v>34350</v>
      </c>
      <c r="AG207" s="7">
        <v>96300</v>
      </c>
      <c r="AH207" s="7">
        <v>86100</v>
      </c>
      <c r="AI207" s="7">
        <v>58900</v>
      </c>
      <c r="AJ207" s="7">
        <v>26250</v>
      </c>
      <c r="AK207" s="8">
        <v>23000</v>
      </c>
      <c r="AL207" s="8">
        <v>263000</v>
      </c>
      <c r="AM207" s="8">
        <v>254500</v>
      </c>
      <c r="AN207" s="8">
        <v>24650</v>
      </c>
      <c r="AO207" s="8">
        <v>9680</v>
      </c>
      <c r="AP207" s="7">
        <v>630000</v>
      </c>
      <c r="AQ207" s="7">
        <v>300500</v>
      </c>
      <c r="AR207" s="7">
        <v>10850</v>
      </c>
      <c r="AS207" s="7">
        <v>35750</v>
      </c>
      <c r="AT207" s="7">
        <v>70800</v>
      </c>
      <c r="AU207" s="8">
        <v>231000</v>
      </c>
      <c r="AV207" s="8">
        <v>34250</v>
      </c>
      <c r="AW207" s="8">
        <v>7330</v>
      </c>
      <c r="AX207" s="8">
        <v>165500</v>
      </c>
      <c r="AY207" s="8">
        <v>37800</v>
      </c>
    </row>
    <row r="208" spans="1:51" x14ac:dyDescent="0.4">
      <c r="A208" s="11">
        <v>41150</v>
      </c>
      <c r="B208" s="7">
        <v>76800</v>
      </c>
      <c r="C208" s="7">
        <v>21450</v>
      </c>
      <c r="D208" s="7">
        <v>64700</v>
      </c>
      <c r="E208" s="7">
        <v>231000</v>
      </c>
      <c r="F208" s="7">
        <v>66700</v>
      </c>
      <c r="G208" s="8">
        <v>46800</v>
      </c>
      <c r="H208" s="8">
        <v>63700</v>
      </c>
      <c r="I208" s="8">
        <v>169000</v>
      </c>
      <c r="J208" s="8">
        <v>85600</v>
      </c>
      <c r="K208" s="8">
        <v>246000</v>
      </c>
      <c r="L208" s="7">
        <v>376000</v>
      </c>
      <c r="M208" s="7">
        <v>1230000</v>
      </c>
      <c r="N208" s="7">
        <v>72400</v>
      </c>
      <c r="O208" s="7">
        <v>143000</v>
      </c>
      <c r="P208" s="7">
        <v>97700</v>
      </c>
      <c r="Q208" s="8">
        <v>240000</v>
      </c>
      <c r="R208" s="8">
        <v>196500</v>
      </c>
      <c r="S208" s="8">
        <v>428000</v>
      </c>
      <c r="T208" s="8">
        <v>38050</v>
      </c>
      <c r="U208" s="8">
        <v>107500</v>
      </c>
      <c r="V208" s="7">
        <v>244000</v>
      </c>
      <c r="W208" s="7">
        <v>27820</v>
      </c>
      <c r="X208" s="7">
        <v>312000</v>
      </c>
      <c r="Y208" s="7">
        <v>24850</v>
      </c>
      <c r="Z208" s="7">
        <v>49650</v>
      </c>
      <c r="AA208" s="8">
        <v>149000</v>
      </c>
      <c r="AB208" s="8">
        <v>323000</v>
      </c>
      <c r="AC208" s="8">
        <v>12300</v>
      </c>
      <c r="AD208" s="8">
        <v>193500</v>
      </c>
      <c r="AE208" s="8">
        <v>34650</v>
      </c>
      <c r="AF208" s="7">
        <v>35200</v>
      </c>
      <c r="AG208" s="7">
        <v>97400</v>
      </c>
      <c r="AH208" s="7">
        <v>86700</v>
      </c>
      <c r="AI208" s="7">
        <v>60100</v>
      </c>
      <c r="AJ208" s="7">
        <v>26800</v>
      </c>
      <c r="AK208" s="8">
        <v>23600</v>
      </c>
      <c r="AL208" s="8">
        <v>259000</v>
      </c>
      <c r="AM208" s="8">
        <v>255000</v>
      </c>
      <c r="AN208" s="8">
        <v>25550</v>
      </c>
      <c r="AO208" s="8">
        <v>9940</v>
      </c>
      <c r="AP208" s="7">
        <v>626000</v>
      </c>
      <c r="AQ208" s="7">
        <v>306500</v>
      </c>
      <c r="AR208" s="7">
        <v>11150</v>
      </c>
      <c r="AS208" s="7">
        <v>36750</v>
      </c>
      <c r="AT208" s="7">
        <v>71600</v>
      </c>
      <c r="AU208" s="8">
        <v>228000</v>
      </c>
      <c r="AV208" s="8">
        <v>34850</v>
      </c>
      <c r="AW208" s="8">
        <v>7500</v>
      </c>
      <c r="AX208" s="8">
        <v>173000</v>
      </c>
      <c r="AY208" s="8">
        <v>38050</v>
      </c>
    </row>
    <row r="209" spans="1:51" x14ac:dyDescent="0.4">
      <c r="A209" s="12">
        <v>41149</v>
      </c>
      <c r="B209" s="9">
        <v>76500</v>
      </c>
      <c r="C209" s="9">
        <v>21300</v>
      </c>
      <c r="D209" s="9">
        <v>64500</v>
      </c>
      <c r="E209" s="9">
        <v>233000</v>
      </c>
      <c r="F209" s="9">
        <v>65100</v>
      </c>
      <c r="G209" s="10">
        <v>47800</v>
      </c>
      <c r="H209" s="10">
        <v>61700</v>
      </c>
      <c r="I209" s="10">
        <v>167000</v>
      </c>
      <c r="J209" s="10">
        <v>86800</v>
      </c>
      <c r="K209" s="10">
        <v>243500</v>
      </c>
      <c r="L209" s="9">
        <v>379000</v>
      </c>
      <c r="M209" s="9">
        <v>1195000</v>
      </c>
      <c r="N209" s="9">
        <v>72500</v>
      </c>
      <c r="O209" s="9">
        <v>142000</v>
      </c>
      <c r="P209" s="9">
        <v>95900</v>
      </c>
      <c r="Q209" s="10">
        <v>239000</v>
      </c>
      <c r="R209" s="10">
        <v>196500</v>
      </c>
      <c r="S209" s="10">
        <v>427500</v>
      </c>
      <c r="T209" s="10">
        <v>38150</v>
      </c>
      <c r="U209" s="10">
        <v>107000</v>
      </c>
      <c r="V209" s="9">
        <v>246500</v>
      </c>
      <c r="W209" s="9">
        <v>27770</v>
      </c>
      <c r="X209" s="9">
        <v>315500</v>
      </c>
      <c r="Y209" s="9">
        <v>25150</v>
      </c>
      <c r="Z209" s="9">
        <v>49150</v>
      </c>
      <c r="AA209" s="10">
        <v>152500</v>
      </c>
      <c r="AB209" s="10">
        <v>325500</v>
      </c>
      <c r="AC209" s="10">
        <v>12400</v>
      </c>
      <c r="AD209" s="10">
        <v>189000</v>
      </c>
      <c r="AE209" s="10">
        <v>33850</v>
      </c>
      <c r="AF209" s="9">
        <v>35300</v>
      </c>
      <c r="AG209" s="9">
        <v>97200</v>
      </c>
      <c r="AH209" s="9">
        <v>86600</v>
      </c>
      <c r="AI209" s="9">
        <v>60600</v>
      </c>
      <c r="AJ209" s="9">
        <v>26800</v>
      </c>
      <c r="AK209" s="10">
        <v>23450</v>
      </c>
      <c r="AL209" s="10">
        <v>261000</v>
      </c>
      <c r="AM209" s="10">
        <v>253000</v>
      </c>
      <c r="AN209" s="10">
        <v>25650</v>
      </c>
      <c r="AO209" s="10">
        <v>10250</v>
      </c>
      <c r="AP209" s="9">
        <v>620000</v>
      </c>
      <c r="AQ209" s="9">
        <v>311500</v>
      </c>
      <c r="AR209" s="9">
        <v>11250</v>
      </c>
      <c r="AS209" s="9">
        <v>37150</v>
      </c>
      <c r="AT209" s="9">
        <v>68600</v>
      </c>
      <c r="AU209" s="10">
        <v>216500</v>
      </c>
      <c r="AV209" s="10">
        <v>35000</v>
      </c>
      <c r="AW209" s="10">
        <v>7600</v>
      </c>
      <c r="AX209" s="10">
        <v>173000</v>
      </c>
      <c r="AY209" s="10">
        <v>38000</v>
      </c>
    </row>
    <row r="210" spans="1:51" x14ac:dyDescent="0.4">
      <c r="A210" s="11">
        <v>41148</v>
      </c>
      <c r="B210" s="7">
        <v>76800</v>
      </c>
      <c r="C210" s="7">
        <v>21700</v>
      </c>
      <c r="D210" s="7">
        <v>64600</v>
      </c>
      <c r="E210" s="7">
        <v>232000</v>
      </c>
      <c r="F210" s="7">
        <v>65300</v>
      </c>
      <c r="G210" s="8">
        <v>48500</v>
      </c>
      <c r="H210" s="8">
        <v>63100</v>
      </c>
      <c r="I210" s="8">
        <v>168500</v>
      </c>
      <c r="J210" s="8">
        <v>87300</v>
      </c>
      <c r="K210" s="8">
        <v>247000</v>
      </c>
      <c r="L210" s="7">
        <v>378000</v>
      </c>
      <c r="M210" s="7">
        <v>1180000</v>
      </c>
      <c r="N210" s="7">
        <v>73900</v>
      </c>
      <c r="O210" s="7">
        <v>141500</v>
      </c>
      <c r="P210" s="7">
        <v>93600</v>
      </c>
      <c r="Q210" s="8">
        <v>243000</v>
      </c>
      <c r="R210" s="8">
        <v>200000</v>
      </c>
      <c r="S210" s="8">
        <v>414500</v>
      </c>
      <c r="T210" s="8">
        <v>38100</v>
      </c>
      <c r="U210" s="8">
        <v>108500</v>
      </c>
      <c r="V210" s="7">
        <v>250500</v>
      </c>
      <c r="W210" s="7">
        <v>28213</v>
      </c>
      <c r="X210" s="7">
        <v>313000</v>
      </c>
      <c r="Y210" s="7">
        <v>25500</v>
      </c>
      <c r="Z210" s="7">
        <v>49550</v>
      </c>
      <c r="AA210" s="8">
        <v>150500</v>
      </c>
      <c r="AB210" s="8">
        <v>327500</v>
      </c>
      <c r="AC210" s="8">
        <v>12400</v>
      </c>
      <c r="AD210" s="8">
        <v>188500</v>
      </c>
      <c r="AE210" s="8">
        <v>35000</v>
      </c>
      <c r="AF210" s="7">
        <v>35000</v>
      </c>
      <c r="AG210" s="7">
        <v>97800</v>
      </c>
      <c r="AH210" s="7">
        <v>87100</v>
      </c>
      <c r="AI210" s="7">
        <v>60800</v>
      </c>
      <c r="AJ210" s="7">
        <v>26900</v>
      </c>
      <c r="AK210" s="8">
        <v>23900</v>
      </c>
      <c r="AL210" s="8">
        <v>265500</v>
      </c>
      <c r="AM210" s="8">
        <v>245000</v>
      </c>
      <c r="AN210" s="8">
        <v>25900</v>
      </c>
      <c r="AO210" s="8">
        <v>10100</v>
      </c>
      <c r="AP210" s="7">
        <v>619000</v>
      </c>
      <c r="AQ210" s="7">
        <v>315000</v>
      </c>
      <c r="AR210" s="7">
        <v>11450</v>
      </c>
      <c r="AS210" s="7">
        <v>37100</v>
      </c>
      <c r="AT210" s="7">
        <v>69000</v>
      </c>
      <c r="AU210" s="8">
        <v>214500</v>
      </c>
      <c r="AV210" s="8">
        <v>35000</v>
      </c>
      <c r="AW210" s="8">
        <v>7760</v>
      </c>
      <c r="AX210" s="8">
        <v>173500</v>
      </c>
      <c r="AY210" s="8">
        <v>38150</v>
      </c>
    </row>
    <row r="211" spans="1:51" x14ac:dyDescent="0.4">
      <c r="A211" s="11">
        <v>41145</v>
      </c>
      <c r="B211" s="7">
        <v>76500</v>
      </c>
      <c r="C211" s="7">
        <v>21800</v>
      </c>
      <c r="D211" s="7">
        <v>63500</v>
      </c>
      <c r="E211" s="7">
        <v>228000</v>
      </c>
      <c r="F211" s="7">
        <v>66100</v>
      </c>
      <c r="G211" s="8">
        <v>48150</v>
      </c>
      <c r="H211" s="8">
        <v>60300</v>
      </c>
      <c r="I211" s="8">
        <v>165000</v>
      </c>
      <c r="J211" s="8">
        <v>85500</v>
      </c>
      <c r="K211" s="8">
        <v>244000</v>
      </c>
      <c r="L211" s="7">
        <v>374500</v>
      </c>
      <c r="M211" s="7">
        <v>1275000</v>
      </c>
      <c r="N211" s="7">
        <v>71100</v>
      </c>
      <c r="O211" s="7">
        <v>144000</v>
      </c>
      <c r="P211" s="7">
        <v>100000</v>
      </c>
      <c r="Q211" s="8">
        <v>240000</v>
      </c>
      <c r="R211" s="8">
        <v>198000</v>
      </c>
      <c r="S211" s="8">
        <v>403000</v>
      </c>
      <c r="T211" s="8">
        <v>38200</v>
      </c>
      <c r="U211" s="8">
        <v>105500</v>
      </c>
      <c r="V211" s="7">
        <v>247500</v>
      </c>
      <c r="W211" s="7">
        <v>27820</v>
      </c>
      <c r="X211" s="7">
        <v>299500</v>
      </c>
      <c r="Y211" s="7">
        <v>25150</v>
      </c>
      <c r="Z211" s="7">
        <v>49400</v>
      </c>
      <c r="AA211" s="8">
        <v>148500</v>
      </c>
      <c r="AB211" s="8">
        <v>317500</v>
      </c>
      <c r="AC211" s="8">
        <v>12250</v>
      </c>
      <c r="AD211" s="8">
        <v>184500</v>
      </c>
      <c r="AE211" s="8">
        <v>34500</v>
      </c>
      <c r="AF211" s="7">
        <v>34650</v>
      </c>
      <c r="AG211" s="7">
        <v>96100</v>
      </c>
      <c r="AH211" s="7">
        <v>85000</v>
      </c>
      <c r="AI211" s="7">
        <v>59900</v>
      </c>
      <c r="AJ211" s="7">
        <v>25800</v>
      </c>
      <c r="AK211" s="8">
        <v>23250</v>
      </c>
      <c r="AL211" s="8">
        <v>259000</v>
      </c>
      <c r="AM211" s="8">
        <v>243000</v>
      </c>
      <c r="AN211" s="8">
        <v>26000</v>
      </c>
      <c r="AO211" s="8">
        <v>9950</v>
      </c>
      <c r="AP211" s="7">
        <v>604000</v>
      </c>
      <c r="AQ211" s="7">
        <v>312500</v>
      </c>
      <c r="AR211" s="7">
        <v>11000</v>
      </c>
      <c r="AS211" s="7">
        <v>36150</v>
      </c>
      <c r="AT211" s="7">
        <v>67100</v>
      </c>
      <c r="AU211" s="8">
        <v>208000</v>
      </c>
      <c r="AV211" s="8">
        <v>34500</v>
      </c>
      <c r="AW211" s="8">
        <v>7490</v>
      </c>
      <c r="AX211" s="8">
        <v>169500</v>
      </c>
      <c r="AY211" s="8">
        <v>36800</v>
      </c>
    </row>
    <row r="212" spans="1:51" x14ac:dyDescent="0.4">
      <c r="A212" s="11">
        <v>41144</v>
      </c>
      <c r="B212" s="7">
        <v>78100</v>
      </c>
      <c r="C212" s="7">
        <v>22400</v>
      </c>
      <c r="D212" s="7">
        <v>64500</v>
      </c>
      <c r="E212" s="7">
        <v>228000</v>
      </c>
      <c r="F212" s="7">
        <v>67100</v>
      </c>
      <c r="G212" s="8">
        <v>48850</v>
      </c>
      <c r="H212" s="8">
        <v>61300</v>
      </c>
      <c r="I212" s="8">
        <v>164000</v>
      </c>
      <c r="J212" s="8">
        <v>86900</v>
      </c>
      <c r="K212" s="8">
        <v>245500</v>
      </c>
      <c r="L212" s="7">
        <v>382000</v>
      </c>
      <c r="M212" s="7">
        <v>1287000</v>
      </c>
      <c r="N212" s="7">
        <v>72700</v>
      </c>
      <c r="O212" s="7">
        <v>146000</v>
      </c>
      <c r="P212" s="7">
        <v>102000</v>
      </c>
      <c r="Q212" s="8">
        <v>246000</v>
      </c>
      <c r="R212" s="8">
        <v>202000</v>
      </c>
      <c r="S212" s="8">
        <v>407500</v>
      </c>
      <c r="T212" s="8">
        <v>38850</v>
      </c>
      <c r="U212" s="8">
        <v>106000</v>
      </c>
      <c r="V212" s="7">
        <v>252000</v>
      </c>
      <c r="W212" s="7">
        <v>28361</v>
      </c>
      <c r="X212" s="7">
        <v>305000</v>
      </c>
      <c r="Y212" s="7">
        <v>25050</v>
      </c>
      <c r="Z212" s="7">
        <v>50300</v>
      </c>
      <c r="AA212" s="8">
        <v>151500</v>
      </c>
      <c r="AB212" s="8">
        <v>322500</v>
      </c>
      <c r="AC212" s="8">
        <v>12550</v>
      </c>
      <c r="AD212" s="8">
        <v>191000</v>
      </c>
      <c r="AE212" s="8">
        <v>35200</v>
      </c>
      <c r="AF212" s="7">
        <v>34850</v>
      </c>
      <c r="AG212" s="7">
        <v>97700</v>
      </c>
      <c r="AH212" s="7">
        <v>86400</v>
      </c>
      <c r="AI212" s="7">
        <v>60200</v>
      </c>
      <c r="AJ212" s="7">
        <v>26450</v>
      </c>
      <c r="AK212" s="8">
        <v>23700</v>
      </c>
      <c r="AL212" s="8">
        <v>267000</v>
      </c>
      <c r="AM212" s="8">
        <v>248500</v>
      </c>
      <c r="AN212" s="8">
        <v>26900</v>
      </c>
      <c r="AO212" s="8">
        <v>10000</v>
      </c>
      <c r="AP212" s="7">
        <v>608000</v>
      </c>
      <c r="AQ212" s="7">
        <v>310000</v>
      </c>
      <c r="AR212" s="7">
        <v>11450</v>
      </c>
      <c r="AS212" s="7">
        <v>37400</v>
      </c>
      <c r="AT212" s="7">
        <v>67100</v>
      </c>
      <c r="AU212" s="8">
        <v>212000</v>
      </c>
      <c r="AV212" s="8">
        <v>36100</v>
      </c>
      <c r="AW212" s="8">
        <v>7670</v>
      </c>
      <c r="AX212" s="8">
        <v>170000</v>
      </c>
      <c r="AY212" s="8">
        <v>38450</v>
      </c>
    </row>
    <row r="213" spans="1:51" x14ac:dyDescent="0.4">
      <c r="A213" s="11">
        <v>41143</v>
      </c>
      <c r="B213" s="7">
        <v>78100</v>
      </c>
      <c r="C213" s="7">
        <v>22850</v>
      </c>
      <c r="D213" s="7">
        <v>64000</v>
      </c>
      <c r="E213" s="7">
        <v>226000</v>
      </c>
      <c r="F213" s="7">
        <v>67100</v>
      </c>
      <c r="G213" s="8">
        <v>48600</v>
      </c>
      <c r="H213" s="8">
        <v>61100</v>
      </c>
      <c r="I213" s="8">
        <v>165000</v>
      </c>
      <c r="J213" s="8">
        <v>86900</v>
      </c>
      <c r="K213" s="8">
        <v>244000</v>
      </c>
      <c r="L213" s="7">
        <v>382000</v>
      </c>
      <c r="M213" s="7">
        <v>1264000</v>
      </c>
      <c r="N213" s="7">
        <v>73600</v>
      </c>
      <c r="O213" s="7">
        <v>147500</v>
      </c>
      <c r="P213" s="7">
        <v>101500</v>
      </c>
      <c r="Q213" s="8">
        <v>244500</v>
      </c>
      <c r="R213" s="8">
        <v>205000</v>
      </c>
      <c r="S213" s="8">
        <v>390000</v>
      </c>
      <c r="T213" s="8">
        <v>38450</v>
      </c>
      <c r="U213" s="8">
        <v>107000</v>
      </c>
      <c r="V213" s="7">
        <v>256000</v>
      </c>
      <c r="W213" s="7">
        <v>28213</v>
      </c>
      <c r="X213" s="7">
        <v>315500</v>
      </c>
      <c r="Y213" s="7">
        <v>24900</v>
      </c>
      <c r="Z213" s="7">
        <v>50100</v>
      </c>
      <c r="AA213" s="8">
        <v>153000</v>
      </c>
      <c r="AB213" s="8">
        <v>319000</v>
      </c>
      <c r="AC213" s="8">
        <v>12500</v>
      </c>
      <c r="AD213" s="8">
        <v>195000</v>
      </c>
      <c r="AE213" s="8">
        <v>35150</v>
      </c>
      <c r="AF213" s="7">
        <v>35050</v>
      </c>
      <c r="AG213" s="7">
        <v>97000</v>
      </c>
      <c r="AH213" s="7">
        <v>85700</v>
      </c>
      <c r="AI213" s="7">
        <v>62700</v>
      </c>
      <c r="AJ213" s="7">
        <v>26950</v>
      </c>
      <c r="AK213" s="8">
        <v>23650</v>
      </c>
      <c r="AL213" s="8">
        <v>261500</v>
      </c>
      <c r="AM213" s="8">
        <v>245500</v>
      </c>
      <c r="AN213" s="8">
        <v>27100</v>
      </c>
      <c r="AO213" s="8">
        <v>9830</v>
      </c>
      <c r="AP213" s="7">
        <v>596000</v>
      </c>
      <c r="AQ213" s="7">
        <v>319000</v>
      </c>
      <c r="AR213" s="7">
        <v>11200</v>
      </c>
      <c r="AS213" s="7">
        <v>37150</v>
      </c>
      <c r="AT213" s="7">
        <v>66700</v>
      </c>
      <c r="AU213" s="8">
        <v>209000</v>
      </c>
      <c r="AV213" s="8">
        <v>35850</v>
      </c>
      <c r="AW213" s="8">
        <v>7680</v>
      </c>
      <c r="AX213" s="8">
        <v>170000</v>
      </c>
      <c r="AY213" s="8">
        <v>37400</v>
      </c>
    </row>
    <row r="214" spans="1:51" x14ac:dyDescent="0.4">
      <c r="A214" s="12">
        <v>41142</v>
      </c>
      <c r="B214" s="9">
        <v>77700</v>
      </c>
      <c r="C214" s="9">
        <v>23100</v>
      </c>
      <c r="D214" s="9">
        <v>64700</v>
      </c>
      <c r="E214" s="9">
        <v>225000</v>
      </c>
      <c r="F214" s="9">
        <v>66700</v>
      </c>
      <c r="G214" s="10">
        <v>48500</v>
      </c>
      <c r="H214" s="10">
        <v>61200</v>
      </c>
      <c r="I214" s="10">
        <v>162000</v>
      </c>
      <c r="J214" s="10">
        <v>89800</v>
      </c>
      <c r="K214" s="10">
        <v>243000</v>
      </c>
      <c r="L214" s="9">
        <v>385500</v>
      </c>
      <c r="M214" s="9">
        <v>1282000</v>
      </c>
      <c r="N214" s="9">
        <v>75800</v>
      </c>
      <c r="O214" s="9">
        <v>148500</v>
      </c>
      <c r="P214" s="9">
        <v>102000</v>
      </c>
      <c r="Q214" s="10">
        <v>251500</v>
      </c>
      <c r="R214" s="10">
        <v>207500</v>
      </c>
      <c r="S214" s="10">
        <v>380500</v>
      </c>
      <c r="T214" s="10">
        <v>38850</v>
      </c>
      <c r="U214" s="10">
        <v>108000</v>
      </c>
      <c r="V214" s="9">
        <v>255000</v>
      </c>
      <c r="W214" s="9">
        <v>28361</v>
      </c>
      <c r="X214" s="9">
        <v>318000</v>
      </c>
      <c r="Y214" s="9">
        <v>24800</v>
      </c>
      <c r="Z214" s="9">
        <v>50500</v>
      </c>
      <c r="AA214" s="10">
        <v>151000</v>
      </c>
      <c r="AB214" s="10">
        <v>321500</v>
      </c>
      <c r="AC214" s="10">
        <v>12450</v>
      </c>
      <c r="AD214" s="10">
        <v>198000</v>
      </c>
      <c r="AE214" s="10">
        <v>35000</v>
      </c>
      <c r="AF214" s="9">
        <v>34300</v>
      </c>
      <c r="AG214" s="9">
        <v>97000</v>
      </c>
      <c r="AH214" s="9">
        <v>86100</v>
      </c>
      <c r="AI214" s="9">
        <v>63700</v>
      </c>
      <c r="AJ214" s="9">
        <v>26650</v>
      </c>
      <c r="AK214" s="10">
        <v>23750</v>
      </c>
      <c r="AL214" s="10">
        <v>262000</v>
      </c>
      <c r="AM214" s="10">
        <v>243000</v>
      </c>
      <c r="AN214" s="10">
        <v>27550</v>
      </c>
      <c r="AO214" s="10">
        <v>9820</v>
      </c>
      <c r="AP214" s="9">
        <v>607000</v>
      </c>
      <c r="AQ214" s="9">
        <v>319500</v>
      </c>
      <c r="AR214" s="9">
        <v>11300</v>
      </c>
      <c r="AS214" s="9">
        <v>37100</v>
      </c>
      <c r="AT214" s="9">
        <v>65500</v>
      </c>
      <c r="AU214" s="10">
        <v>214000</v>
      </c>
      <c r="AV214" s="10">
        <v>36200</v>
      </c>
      <c r="AW214" s="10">
        <v>7640</v>
      </c>
      <c r="AX214" s="10">
        <v>168500</v>
      </c>
      <c r="AY214" s="10">
        <v>37450</v>
      </c>
    </row>
    <row r="215" spans="1:51" x14ac:dyDescent="0.4">
      <c r="A215" s="11">
        <v>41141</v>
      </c>
      <c r="B215" s="7">
        <v>76800</v>
      </c>
      <c r="C215" s="7">
        <v>22550</v>
      </c>
      <c r="D215" s="7">
        <v>64600</v>
      </c>
      <c r="E215" s="7">
        <v>226000</v>
      </c>
      <c r="F215" s="7">
        <v>67200</v>
      </c>
      <c r="G215" s="8">
        <v>49500</v>
      </c>
      <c r="H215" s="8">
        <v>61800</v>
      </c>
      <c r="I215" s="8">
        <v>165500</v>
      </c>
      <c r="J215" s="8">
        <v>90900</v>
      </c>
      <c r="K215" s="8">
        <v>242000</v>
      </c>
      <c r="L215" s="7">
        <v>391000</v>
      </c>
      <c r="M215" s="7">
        <v>1283000</v>
      </c>
      <c r="N215" s="7">
        <v>76400</v>
      </c>
      <c r="O215" s="7">
        <v>151500</v>
      </c>
      <c r="P215" s="7">
        <v>102000</v>
      </c>
      <c r="Q215" s="8">
        <v>254000</v>
      </c>
      <c r="R215" s="8">
        <v>207500</v>
      </c>
      <c r="S215" s="8">
        <v>385000</v>
      </c>
      <c r="T215" s="8">
        <v>39400</v>
      </c>
      <c r="U215" s="8">
        <v>108000</v>
      </c>
      <c r="V215" s="7">
        <v>259500</v>
      </c>
      <c r="W215" s="7">
        <v>27918</v>
      </c>
      <c r="X215" s="7">
        <v>317000</v>
      </c>
      <c r="Y215" s="7">
        <v>24850</v>
      </c>
      <c r="Z215" s="7">
        <v>51000</v>
      </c>
      <c r="AA215" s="8">
        <v>149500</v>
      </c>
      <c r="AB215" s="8">
        <v>318500</v>
      </c>
      <c r="AC215" s="8">
        <v>12500</v>
      </c>
      <c r="AD215" s="8">
        <v>197500</v>
      </c>
      <c r="AE215" s="8">
        <v>35150</v>
      </c>
      <c r="AF215" s="7">
        <v>34250</v>
      </c>
      <c r="AG215" s="7">
        <v>97200</v>
      </c>
      <c r="AH215" s="7">
        <v>86000</v>
      </c>
      <c r="AI215" s="7">
        <v>63900</v>
      </c>
      <c r="AJ215" s="7">
        <v>26900</v>
      </c>
      <c r="AK215" s="8">
        <v>24000</v>
      </c>
      <c r="AL215" s="8">
        <v>262500</v>
      </c>
      <c r="AM215" s="8">
        <v>244500</v>
      </c>
      <c r="AN215" s="8">
        <v>27650</v>
      </c>
      <c r="AO215" s="8">
        <v>9830</v>
      </c>
      <c r="AP215" s="7">
        <v>603000</v>
      </c>
      <c r="AQ215" s="7">
        <v>323500</v>
      </c>
      <c r="AR215" s="7">
        <v>11350</v>
      </c>
      <c r="AS215" s="7">
        <v>37600</v>
      </c>
      <c r="AT215" s="7">
        <v>66000</v>
      </c>
      <c r="AU215" s="8">
        <v>210500</v>
      </c>
      <c r="AV215" s="8">
        <v>36300</v>
      </c>
      <c r="AW215" s="8">
        <v>7600</v>
      </c>
      <c r="AX215" s="8">
        <v>170000</v>
      </c>
      <c r="AY215" s="8">
        <v>37500</v>
      </c>
    </row>
    <row r="216" spans="1:51" x14ac:dyDescent="0.4">
      <c r="A216" s="11">
        <v>41138</v>
      </c>
      <c r="B216" s="7">
        <v>77200</v>
      </c>
      <c r="C216" s="7">
        <v>22500</v>
      </c>
      <c r="D216" s="7">
        <v>65000</v>
      </c>
      <c r="E216" s="7">
        <v>225000</v>
      </c>
      <c r="F216" s="7">
        <v>69000</v>
      </c>
      <c r="G216" s="8">
        <v>48950</v>
      </c>
      <c r="H216" s="8">
        <v>61300</v>
      </c>
      <c r="I216" s="8">
        <v>166000</v>
      </c>
      <c r="J216" s="8">
        <v>90700</v>
      </c>
      <c r="K216" s="8">
        <v>245500</v>
      </c>
      <c r="L216" s="7">
        <v>387000</v>
      </c>
      <c r="M216" s="7">
        <v>1295000</v>
      </c>
      <c r="N216" s="7">
        <v>76500</v>
      </c>
      <c r="O216" s="7">
        <v>147000</v>
      </c>
      <c r="P216" s="7">
        <v>103500</v>
      </c>
      <c r="Q216" s="8">
        <v>248500</v>
      </c>
      <c r="R216" s="8">
        <v>205000</v>
      </c>
      <c r="S216" s="8">
        <v>389500</v>
      </c>
      <c r="T216" s="8">
        <v>39650</v>
      </c>
      <c r="U216" s="8">
        <v>110500</v>
      </c>
      <c r="V216" s="7">
        <v>262500</v>
      </c>
      <c r="W216" s="7">
        <v>28016</v>
      </c>
      <c r="X216" s="7">
        <v>313500</v>
      </c>
      <c r="Y216" s="7">
        <v>24550</v>
      </c>
      <c r="Z216" s="7">
        <v>51000</v>
      </c>
      <c r="AA216" s="8">
        <v>151000</v>
      </c>
      <c r="AB216" s="8">
        <v>311000</v>
      </c>
      <c r="AC216" s="8">
        <v>12550</v>
      </c>
      <c r="AD216" s="8">
        <v>198000</v>
      </c>
      <c r="AE216" s="8">
        <v>35600</v>
      </c>
      <c r="AF216" s="7">
        <v>34150</v>
      </c>
      <c r="AG216" s="7">
        <v>97100</v>
      </c>
      <c r="AH216" s="7">
        <v>84600</v>
      </c>
      <c r="AI216" s="7">
        <v>64400</v>
      </c>
      <c r="AJ216" s="7">
        <v>27000</v>
      </c>
      <c r="AK216" s="8">
        <v>23800</v>
      </c>
      <c r="AL216" s="8">
        <v>257000</v>
      </c>
      <c r="AM216" s="8">
        <v>240000</v>
      </c>
      <c r="AN216" s="8">
        <v>27150</v>
      </c>
      <c r="AO216" s="8">
        <v>9860</v>
      </c>
      <c r="AP216" s="7">
        <v>600000</v>
      </c>
      <c r="AQ216" s="7">
        <v>328000</v>
      </c>
      <c r="AR216" s="7">
        <v>11400</v>
      </c>
      <c r="AS216" s="7">
        <v>37350</v>
      </c>
      <c r="AT216" s="7">
        <v>64600</v>
      </c>
      <c r="AU216" s="8">
        <v>211000</v>
      </c>
      <c r="AV216" s="8">
        <v>36000</v>
      </c>
      <c r="AW216" s="8">
        <v>7530</v>
      </c>
      <c r="AX216" s="8">
        <v>172000</v>
      </c>
      <c r="AY216" s="8">
        <v>37100</v>
      </c>
    </row>
    <row r="217" spans="1:51" x14ac:dyDescent="0.4">
      <c r="A217" s="11">
        <v>41137</v>
      </c>
      <c r="B217" s="7">
        <v>76900</v>
      </c>
      <c r="C217" s="7">
        <v>22200</v>
      </c>
      <c r="D217" s="7">
        <v>64900</v>
      </c>
      <c r="E217" s="7">
        <v>225000</v>
      </c>
      <c r="F217" s="7">
        <v>68600</v>
      </c>
      <c r="G217" s="8">
        <v>50300</v>
      </c>
      <c r="H217" s="8">
        <v>61000</v>
      </c>
      <c r="I217" s="8">
        <v>165500</v>
      </c>
      <c r="J217" s="8">
        <v>89400</v>
      </c>
      <c r="K217" s="8">
        <v>245000</v>
      </c>
      <c r="L217" s="7">
        <v>387500</v>
      </c>
      <c r="M217" s="7">
        <v>1345000</v>
      </c>
      <c r="N217" s="7">
        <v>74500</v>
      </c>
      <c r="O217" s="7">
        <v>147000</v>
      </c>
      <c r="P217" s="7">
        <v>105500</v>
      </c>
      <c r="Q217" s="8">
        <v>241000</v>
      </c>
      <c r="R217" s="8">
        <v>206000</v>
      </c>
      <c r="S217" s="8">
        <v>388000</v>
      </c>
      <c r="T217" s="8">
        <v>39350</v>
      </c>
      <c r="U217" s="8">
        <v>108000</v>
      </c>
      <c r="V217" s="7">
        <v>258000</v>
      </c>
      <c r="W217" s="7">
        <v>27475</v>
      </c>
      <c r="X217" s="7">
        <v>319000</v>
      </c>
      <c r="Y217" s="7">
        <v>24500</v>
      </c>
      <c r="Z217" s="7">
        <v>51500</v>
      </c>
      <c r="AA217" s="8">
        <v>151000</v>
      </c>
      <c r="AB217" s="8">
        <v>315000</v>
      </c>
      <c r="AC217" s="8">
        <v>12550</v>
      </c>
      <c r="AD217" s="8">
        <v>197000</v>
      </c>
      <c r="AE217" s="8">
        <v>35550</v>
      </c>
      <c r="AF217" s="7">
        <v>34450</v>
      </c>
      <c r="AG217" s="7">
        <v>97900</v>
      </c>
      <c r="AH217" s="7">
        <v>86900</v>
      </c>
      <c r="AI217" s="7">
        <v>64300</v>
      </c>
      <c r="AJ217" s="7">
        <v>26350</v>
      </c>
      <c r="AK217" s="8">
        <v>23550</v>
      </c>
      <c r="AL217" s="8">
        <v>257000</v>
      </c>
      <c r="AM217" s="8">
        <v>238000</v>
      </c>
      <c r="AN217" s="8">
        <v>26900</v>
      </c>
      <c r="AO217" s="8">
        <v>9650</v>
      </c>
      <c r="AP217" s="7">
        <v>589000</v>
      </c>
      <c r="AQ217" s="7">
        <v>323500</v>
      </c>
      <c r="AR217" s="7">
        <v>11400</v>
      </c>
      <c r="AS217" s="7">
        <v>37350</v>
      </c>
      <c r="AT217" s="7">
        <v>66200</v>
      </c>
      <c r="AU217" s="8">
        <v>217000</v>
      </c>
      <c r="AV217" s="8">
        <v>36450</v>
      </c>
      <c r="AW217" s="8">
        <v>7550</v>
      </c>
      <c r="AX217" s="8">
        <v>169500</v>
      </c>
      <c r="AY217" s="8">
        <v>37650</v>
      </c>
    </row>
    <row r="218" spans="1:51" x14ac:dyDescent="0.4">
      <c r="A218" s="11">
        <v>41135</v>
      </c>
      <c r="B218" s="7">
        <v>78500</v>
      </c>
      <c r="C218" s="7">
        <v>22900</v>
      </c>
      <c r="D218" s="7">
        <v>64900</v>
      </c>
      <c r="E218" s="7">
        <v>224000</v>
      </c>
      <c r="F218" s="7">
        <v>69200</v>
      </c>
      <c r="G218" s="8">
        <v>50600</v>
      </c>
      <c r="H218" s="8">
        <v>61700</v>
      </c>
      <c r="I218" s="8">
        <v>162500</v>
      </c>
      <c r="J218" s="8">
        <v>90900</v>
      </c>
      <c r="K218" s="8">
        <v>250000</v>
      </c>
      <c r="L218" s="7">
        <v>387000</v>
      </c>
      <c r="M218" s="7">
        <v>1345000</v>
      </c>
      <c r="N218" s="7">
        <v>75500</v>
      </c>
      <c r="O218" s="7">
        <v>146500</v>
      </c>
      <c r="P218" s="7">
        <v>106000</v>
      </c>
      <c r="Q218" s="8">
        <v>241000</v>
      </c>
      <c r="R218" s="8">
        <v>207000</v>
      </c>
      <c r="S218" s="8">
        <v>383000</v>
      </c>
      <c r="T218" s="8">
        <v>38800</v>
      </c>
      <c r="U218" s="8">
        <v>108500</v>
      </c>
      <c r="V218" s="7">
        <v>253500</v>
      </c>
      <c r="W218" s="7">
        <v>27376</v>
      </c>
      <c r="X218" s="7">
        <v>319000</v>
      </c>
      <c r="Y218" s="7">
        <v>24400</v>
      </c>
      <c r="Z218" s="7">
        <v>51700</v>
      </c>
      <c r="AA218" s="8">
        <v>148500</v>
      </c>
      <c r="AB218" s="8">
        <v>315500</v>
      </c>
      <c r="AC218" s="8">
        <v>12600</v>
      </c>
      <c r="AD218" s="8">
        <v>195000</v>
      </c>
      <c r="AE218" s="8">
        <v>35200</v>
      </c>
      <c r="AF218" s="7">
        <v>34050</v>
      </c>
      <c r="AG218" s="7">
        <v>97500</v>
      </c>
      <c r="AH218" s="7">
        <v>87200</v>
      </c>
      <c r="AI218" s="7">
        <v>64600</v>
      </c>
      <c r="AJ218" s="7">
        <v>26350</v>
      </c>
      <c r="AK218" s="8">
        <v>23300</v>
      </c>
      <c r="AL218" s="8">
        <v>254000</v>
      </c>
      <c r="AM218" s="8">
        <v>230000</v>
      </c>
      <c r="AN218" s="8">
        <v>26900</v>
      </c>
      <c r="AO218" s="8">
        <v>9630</v>
      </c>
      <c r="AP218" s="7">
        <v>587000</v>
      </c>
      <c r="AQ218" s="7">
        <v>319500</v>
      </c>
      <c r="AR218" s="7">
        <v>11400</v>
      </c>
      <c r="AS218" s="7">
        <v>36900</v>
      </c>
      <c r="AT218" s="7">
        <v>66600</v>
      </c>
      <c r="AU218" s="8">
        <v>220000</v>
      </c>
      <c r="AV218" s="8">
        <v>37000</v>
      </c>
      <c r="AW218" s="8">
        <v>7510</v>
      </c>
      <c r="AX218" s="8">
        <v>168500</v>
      </c>
      <c r="AY218" s="8">
        <v>37550</v>
      </c>
    </row>
    <row r="219" spans="1:51" x14ac:dyDescent="0.4">
      <c r="A219" s="12">
        <v>41134</v>
      </c>
      <c r="B219" s="9">
        <v>78100</v>
      </c>
      <c r="C219" s="9">
        <v>22700</v>
      </c>
      <c r="D219" s="9">
        <v>63400</v>
      </c>
      <c r="E219" s="9">
        <v>219500</v>
      </c>
      <c r="F219" s="9">
        <v>67600</v>
      </c>
      <c r="G219" s="10">
        <v>49350</v>
      </c>
      <c r="H219" s="10">
        <v>61500</v>
      </c>
      <c r="I219" s="10">
        <v>156500</v>
      </c>
      <c r="J219" s="10">
        <v>89300</v>
      </c>
      <c r="K219" s="10">
        <v>246000</v>
      </c>
      <c r="L219" s="9">
        <v>383500</v>
      </c>
      <c r="M219" s="9">
        <v>1325000</v>
      </c>
      <c r="N219" s="9">
        <v>73100</v>
      </c>
      <c r="O219" s="9">
        <v>146500</v>
      </c>
      <c r="P219" s="9">
        <v>104000</v>
      </c>
      <c r="Q219" s="10">
        <v>243500</v>
      </c>
      <c r="R219" s="10">
        <v>206000</v>
      </c>
      <c r="S219" s="10">
        <v>379000</v>
      </c>
      <c r="T219" s="10">
        <v>39050</v>
      </c>
      <c r="U219" s="10">
        <v>106000</v>
      </c>
      <c r="V219" s="9">
        <v>251500</v>
      </c>
      <c r="W219" s="9">
        <v>26933</v>
      </c>
      <c r="X219" s="9">
        <v>313000</v>
      </c>
      <c r="Y219" s="9">
        <v>24200</v>
      </c>
      <c r="Z219" s="9">
        <v>50900</v>
      </c>
      <c r="AA219" s="10">
        <v>149000</v>
      </c>
      <c r="AB219" s="10">
        <v>309000</v>
      </c>
      <c r="AC219" s="10">
        <v>12350</v>
      </c>
      <c r="AD219" s="10">
        <v>196000</v>
      </c>
      <c r="AE219" s="10">
        <v>35200</v>
      </c>
      <c r="AF219" s="9">
        <v>33350</v>
      </c>
      <c r="AG219" s="9">
        <v>97000</v>
      </c>
      <c r="AH219" s="9">
        <v>85100</v>
      </c>
      <c r="AI219" s="9">
        <v>63000</v>
      </c>
      <c r="AJ219" s="9">
        <v>25800</v>
      </c>
      <c r="AK219" s="10">
        <v>22800</v>
      </c>
      <c r="AL219" s="10">
        <v>246500</v>
      </c>
      <c r="AM219" s="10">
        <v>229000</v>
      </c>
      <c r="AN219" s="10">
        <v>27000</v>
      </c>
      <c r="AO219" s="10">
        <v>9440</v>
      </c>
      <c r="AP219" s="9">
        <v>577000</v>
      </c>
      <c r="AQ219" s="9">
        <v>314500</v>
      </c>
      <c r="AR219" s="9">
        <v>11350</v>
      </c>
      <c r="AS219" s="9">
        <v>36650</v>
      </c>
      <c r="AT219" s="9">
        <v>66100</v>
      </c>
      <c r="AU219" s="10">
        <v>215500</v>
      </c>
      <c r="AV219" s="10">
        <v>36300</v>
      </c>
      <c r="AW219" s="10">
        <v>7450</v>
      </c>
      <c r="AX219" s="10">
        <v>164000</v>
      </c>
      <c r="AY219" s="10">
        <v>37200</v>
      </c>
    </row>
    <row r="220" spans="1:51" x14ac:dyDescent="0.4">
      <c r="A220" s="11">
        <v>41131</v>
      </c>
      <c r="B220" s="7">
        <v>78800</v>
      </c>
      <c r="C220" s="7">
        <v>23000</v>
      </c>
      <c r="D220" s="7">
        <v>63800</v>
      </c>
      <c r="E220" s="7">
        <v>221500</v>
      </c>
      <c r="F220" s="7">
        <v>69000</v>
      </c>
      <c r="G220" s="8">
        <v>49200</v>
      </c>
      <c r="H220" s="8">
        <v>62900</v>
      </c>
      <c r="I220" s="8">
        <v>156000</v>
      </c>
      <c r="J220" s="8">
        <v>90800</v>
      </c>
      <c r="K220" s="8">
        <v>247000</v>
      </c>
      <c r="L220" s="7">
        <v>385000</v>
      </c>
      <c r="M220" s="7">
        <v>1348000</v>
      </c>
      <c r="N220" s="7">
        <v>76100</v>
      </c>
      <c r="O220" s="7">
        <v>145500</v>
      </c>
      <c r="P220" s="7">
        <v>105500</v>
      </c>
      <c r="Q220" s="8">
        <v>245500</v>
      </c>
      <c r="R220" s="8">
        <v>206500</v>
      </c>
      <c r="S220" s="8">
        <v>381500</v>
      </c>
      <c r="T220" s="8">
        <v>39200</v>
      </c>
      <c r="U220" s="8">
        <v>107000</v>
      </c>
      <c r="V220" s="7">
        <v>258000</v>
      </c>
      <c r="W220" s="7">
        <v>26786</v>
      </c>
      <c r="X220" s="7">
        <v>315000</v>
      </c>
      <c r="Y220" s="7">
        <v>24150</v>
      </c>
      <c r="Z220" s="7">
        <v>51200</v>
      </c>
      <c r="AA220" s="8">
        <v>145500</v>
      </c>
      <c r="AB220" s="8">
        <v>310500</v>
      </c>
      <c r="AC220" s="8">
        <v>12300</v>
      </c>
      <c r="AD220" s="8">
        <v>198500</v>
      </c>
      <c r="AE220" s="8">
        <v>34850</v>
      </c>
      <c r="AF220" s="7">
        <v>32650</v>
      </c>
      <c r="AG220" s="7">
        <v>96200</v>
      </c>
      <c r="AH220" s="7">
        <v>83900</v>
      </c>
      <c r="AI220" s="7">
        <v>63100</v>
      </c>
      <c r="AJ220" s="7">
        <v>26000</v>
      </c>
      <c r="AK220" s="8">
        <v>23250</v>
      </c>
      <c r="AL220" s="8">
        <v>250500</v>
      </c>
      <c r="AM220" s="8">
        <v>223500</v>
      </c>
      <c r="AN220" s="8">
        <v>27550</v>
      </c>
      <c r="AO220" s="8">
        <v>9500</v>
      </c>
      <c r="AP220" s="7">
        <v>581000</v>
      </c>
      <c r="AQ220" s="7">
        <v>324500</v>
      </c>
      <c r="AR220" s="7">
        <v>11350</v>
      </c>
      <c r="AS220" s="7">
        <v>36950</v>
      </c>
      <c r="AT220" s="7">
        <v>67900</v>
      </c>
      <c r="AU220" s="8">
        <v>215000</v>
      </c>
      <c r="AV220" s="8">
        <v>36850</v>
      </c>
      <c r="AW220" s="8">
        <v>7440</v>
      </c>
      <c r="AX220" s="8">
        <v>168000</v>
      </c>
      <c r="AY220" s="8">
        <v>37600</v>
      </c>
    </row>
    <row r="221" spans="1:51" x14ac:dyDescent="0.4">
      <c r="A221" s="11">
        <v>41130</v>
      </c>
      <c r="B221" s="7">
        <v>78000</v>
      </c>
      <c r="C221" s="7">
        <v>22900</v>
      </c>
      <c r="D221" s="7">
        <v>64500</v>
      </c>
      <c r="E221" s="7">
        <v>219500</v>
      </c>
      <c r="F221" s="7">
        <v>68700</v>
      </c>
      <c r="G221" s="8">
        <v>48750</v>
      </c>
      <c r="H221" s="8">
        <v>61700</v>
      </c>
      <c r="I221" s="8">
        <v>159500</v>
      </c>
      <c r="J221" s="8">
        <v>91600</v>
      </c>
      <c r="K221" s="8">
        <v>244000</v>
      </c>
      <c r="L221" s="7">
        <v>381000</v>
      </c>
      <c r="M221" s="7">
        <v>1340000</v>
      </c>
      <c r="N221" s="7">
        <v>76600</v>
      </c>
      <c r="O221" s="7">
        <v>145500</v>
      </c>
      <c r="P221" s="7">
        <v>106500</v>
      </c>
      <c r="Q221" s="8">
        <v>248000</v>
      </c>
      <c r="R221" s="8">
        <v>207000</v>
      </c>
      <c r="S221" s="8">
        <v>374500</v>
      </c>
      <c r="T221" s="8">
        <v>39350</v>
      </c>
      <c r="U221" s="8">
        <v>107500</v>
      </c>
      <c r="V221" s="7">
        <v>256000</v>
      </c>
      <c r="W221" s="7">
        <v>27179</v>
      </c>
      <c r="X221" s="7">
        <v>311000</v>
      </c>
      <c r="Y221" s="7">
        <v>24350</v>
      </c>
      <c r="Z221" s="7">
        <v>51000</v>
      </c>
      <c r="AA221" s="8">
        <v>143000</v>
      </c>
      <c r="AB221" s="8">
        <v>308500</v>
      </c>
      <c r="AC221" s="8">
        <v>12250</v>
      </c>
      <c r="AD221" s="8">
        <v>197000</v>
      </c>
      <c r="AE221" s="8">
        <v>34300</v>
      </c>
      <c r="AF221" s="7">
        <v>32550</v>
      </c>
      <c r="AG221" s="7">
        <v>96000</v>
      </c>
      <c r="AH221" s="7">
        <v>83200</v>
      </c>
      <c r="AI221" s="7">
        <v>63600</v>
      </c>
      <c r="AJ221" s="7">
        <v>25250</v>
      </c>
      <c r="AK221" s="8">
        <v>23600</v>
      </c>
      <c r="AL221" s="8">
        <v>263500</v>
      </c>
      <c r="AM221" s="8">
        <v>228000</v>
      </c>
      <c r="AN221" s="8">
        <v>27650</v>
      </c>
      <c r="AO221" s="8">
        <v>9400</v>
      </c>
      <c r="AP221" s="7">
        <v>590000</v>
      </c>
      <c r="AQ221" s="7">
        <v>327500</v>
      </c>
      <c r="AR221" s="7">
        <v>11250</v>
      </c>
      <c r="AS221" s="7">
        <v>36700</v>
      </c>
      <c r="AT221" s="7">
        <v>67000</v>
      </c>
      <c r="AU221" s="8">
        <v>218000</v>
      </c>
      <c r="AV221" s="8">
        <v>36700</v>
      </c>
      <c r="AW221" s="8">
        <v>7360</v>
      </c>
      <c r="AX221" s="8">
        <v>168000</v>
      </c>
      <c r="AY221" s="8">
        <v>37350</v>
      </c>
    </row>
    <row r="222" spans="1:51" x14ac:dyDescent="0.4">
      <c r="A222" s="11">
        <v>41129</v>
      </c>
      <c r="B222" s="7">
        <v>75800</v>
      </c>
      <c r="C222" s="7">
        <v>22750</v>
      </c>
      <c r="D222" s="7">
        <v>63500</v>
      </c>
      <c r="E222" s="7">
        <v>213000</v>
      </c>
      <c r="F222" s="7">
        <v>67400</v>
      </c>
      <c r="G222" s="8">
        <v>48200</v>
      </c>
      <c r="H222" s="8">
        <v>60800</v>
      </c>
      <c r="I222" s="8">
        <v>159500</v>
      </c>
      <c r="J222" s="8">
        <v>88500</v>
      </c>
      <c r="K222" s="8">
        <v>236000</v>
      </c>
      <c r="L222" s="7">
        <v>372000</v>
      </c>
      <c r="M222" s="7">
        <v>1320000</v>
      </c>
      <c r="N222" s="7">
        <v>74100</v>
      </c>
      <c r="O222" s="7">
        <v>142000</v>
      </c>
      <c r="P222" s="7">
        <v>105000</v>
      </c>
      <c r="Q222" s="8">
        <v>243000</v>
      </c>
      <c r="R222" s="8">
        <v>204500</v>
      </c>
      <c r="S222" s="8">
        <v>367500</v>
      </c>
      <c r="T222" s="8">
        <v>38750</v>
      </c>
      <c r="U222" s="8">
        <v>105000</v>
      </c>
      <c r="V222" s="7">
        <v>246500</v>
      </c>
      <c r="W222" s="7">
        <v>25801</v>
      </c>
      <c r="X222" s="7">
        <v>304500</v>
      </c>
      <c r="Y222" s="7">
        <v>23850</v>
      </c>
      <c r="Z222" s="7">
        <v>50400</v>
      </c>
      <c r="AA222" s="8">
        <v>141000</v>
      </c>
      <c r="AB222" s="8">
        <v>299000</v>
      </c>
      <c r="AC222" s="8">
        <v>12050</v>
      </c>
      <c r="AD222" s="8">
        <v>192500</v>
      </c>
      <c r="AE222" s="8">
        <v>34300</v>
      </c>
      <c r="AF222" s="7">
        <v>32100</v>
      </c>
      <c r="AG222" s="7">
        <v>93900</v>
      </c>
      <c r="AH222" s="7">
        <v>82900</v>
      </c>
      <c r="AI222" s="7">
        <v>62900</v>
      </c>
      <c r="AJ222" s="7">
        <v>24600</v>
      </c>
      <c r="AK222" s="8">
        <v>22750</v>
      </c>
      <c r="AL222" s="8">
        <v>264000</v>
      </c>
      <c r="AM222" s="8">
        <v>224000</v>
      </c>
      <c r="AN222" s="8">
        <v>26050</v>
      </c>
      <c r="AO222" s="8">
        <v>9200</v>
      </c>
      <c r="AP222" s="7">
        <v>582000</v>
      </c>
      <c r="AQ222" s="7">
        <v>321000</v>
      </c>
      <c r="AR222" s="7">
        <v>11050</v>
      </c>
      <c r="AS222" s="7">
        <v>35550</v>
      </c>
      <c r="AT222" s="7">
        <v>66000</v>
      </c>
      <c r="AU222" s="8">
        <v>213000</v>
      </c>
      <c r="AV222" s="8">
        <v>35500</v>
      </c>
      <c r="AW222" s="8">
        <v>6930</v>
      </c>
      <c r="AX222" s="8">
        <v>167000</v>
      </c>
      <c r="AY222" s="8">
        <v>36200</v>
      </c>
    </row>
    <row r="223" spans="1:51" x14ac:dyDescent="0.4">
      <c r="A223" s="11">
        <v>41128</v>
      </c>
      <c r="B223" s="7">
        <v>75900</v>
      </c>
      <c r="C223" s="7">
        <v>22000</v>
      </c>
      <c r="D223" s="7">
        <v>62400</v>
      </c>
      <c r="E223" s="7">
        <v>218500</v>
      </c>
      <c r="F223" s="7">
        <v>65900</v>
      </c>
      <c r="G223" s="8">
        <v>48600</v>
      </c>
      <c r="H223" s="8">
        <v>60000</v>
      </c>
      <c r="I223" s="8">
        <v>158000</v>
      </c>
      <c r="J223" s="8">
        <v>87400</v>
      </c>
      <c r="K223" s="8">
        <v>236500</v>
      </c>
      <c r="L223" s="7">
        <v>366000</v>
      </c>
      <c r="M223" s="7">
        <v>1294000</v>
      </c>
      <c r="N223" s="7">
        <v>72600</v>
      </c>
      <c r="O223" s="7">
        <v>142000</v>
      </c>
      <c r="P223" s="7">
        <v>106000</v>
      </c>
      <c r="Q223" s="8">
        <v>246500</v>
      </c>
      <c r="R223" s="8">
        <v>202000</v>
      </c>
      <c r="S223" s="8">
        <v>375000</v>
      </c>
      <c r="T223" s="8">
        <v>38900</v>
      </c>
      <c r="U223" s="8">
        <v>102000</v>
      </c>
      <c r="V223" s="7">
        <v>248500</v>
      </c>
      <c r="W223" s="7">
        <v>25259</v>
      </c>
      <c r="X223" s="7">
        <v>306500</v>
      </c>
      <c r="Y223" s="7">
        <v>23850</v>
      </c>
      <c r="Z223" s="7">
        <v>49500</v>
      </c>
      <c r="AA223" s="8">
        <v>141000</v>
      </c>
      <c r="AB223" s="8">
        <v>299000</v>
      </c>
      <c r="AC223" s="8">
        <v>11900</v>
      </c>
      <c r="AD223" s="8">
        <v>187000</v>
      </c>
      <c r="AE223" s="8">
        <v>34000</v>
      </c>
      <c r="AF223" s="7">
        <v>31750</v>
      </c>
      <c r="AG223" s="7">
        <v>92300</v>
      </c>
      <c r="AH223" s="7">
        <v>82600</v>
      </c>
      <c r="AI223" s="7">
        <v>63100</v>
      </c>
      <c r="AJ223" s="7">
        <v>24700</v>
      </c>
      <c r="AK223" s="8">
        <v>22400</v>
      </c>
      <c r="AL223" s="8">
        <v>262500</v>
      </c>
      <c r="AM223" s="8">
        <v>235000</v>
      </c>
      <c r="AN223" s="8">
        <v>26600</v>
      </c>
      <c r="AO223" s="8">
        <v>9030</v>
      </c>
      <c r="AP223" s="7">
        <v>575000</v>
      </c>
      <c r="AQ223" s="7">
        <v>316500</v>
      </c>
      <c r="AR223" s="7">
        <v>10650</v>
      </c>
      <c r="AS223" s="7">
        <v>34900</v>
      </c>
      <c r="AT223" s="7">
        <v>65400</v>
      </c>
      <c r="AU223" s="8">
        <v>210000</v>
      </c>
      <c r="AV223" s="8">
        <v>34850</v>
      </c>
      <c r="AW223" s="8">
        <v>6800</v>
      </c>
      <c r="AX223" s="8">
        <v>165500</v>
      </c>
      <c r="AY223" s="8">
        <v>35550</v>
      </c>
    </row>
    <row r="224" spans="1:51" x14ac:dyDescent="0.4">
      <c r="A224" s="12">
        <v>41127</v>
      </c>
      <c r="B224" s="9">
        <v>76500</v>
      </c>
      <c r="C224" s="9">
        <v>21750</v>
      </c>
      <c r="D224" s="9">
        <v>61100</v>
      </c>
      <c r="E224" s="9">
        <v>216500</v>
      </c>
      <c r="F224" s="9">
        <v>66300</v>
      </c>
      <c r="G224" s="10">
        <v>48650</v>
      </c>
      <c r="H224" s="10">
        <v>60500</v>
      </c>
      <c r="I224" s="10">
        <v>158500</v>
      </c>
      <c r="J224" s="10">
        <v>87000</v>
      </c>
      <c r="K224" s="10">
        <v>233500</v>
      </c>
      <c r="L224" s="9">
        <v>366500</v>
      </c>
      <c r="M224" s="9">
        <v>1298000</v>
      </c>
      <c r="N224" s="9">
        <v>72300</v>
      </c>
      <c r="O224" s="9">
        <v>140500</v>
      </c>
      <c r="P224" s="9">
        <v>106500</v>
      </c>
      <c r="Q224" s="10">
        <v>243000</v>
      </c>
      <c r="R224" s="10">
        <v>202500</v>
      </c>
      <c r="S224" s="10">
        <v>380000</v>
      </c>
      <c r="T224" s="10">
        <v>38300</v>
      </c>
      <c r="U224" s="10">
        <v>101500</v>
      </c>
      <c r="V224" s="9">
        <v>245500</v>
      </c>
      <c r="W224" s="9">
        <v>25161</v>
      </c>
      <c r="X224" s="9">
        <v>306000</v>
      </c>
      <c r="Y224" s="9">
        <v>24450</v>
      </c>
      <c r="Z224" s="9">
        <v>48700</v>
      </c>
      <c r="AA224" s="10">
        <v>144000</v>
      </c>
      <c r="AB224" s="10">
        <v>292000</v>
      </c>
      <c r="AC224" s="10">
        <v>11800</v>
      </c>
      <c r="AD224" s="10">
        <v>185500</v>
      </c>
      <c r="AE224" s="10">
        <v>33750</v>
      </c>
      <c r="AF224" s="9">
        <v>32350</v>
      </c>
      <c r="AG224" s="9">
        <v>93300</v>
      </c>
      <c r="AH224" s="9">
        <v>84400</v>
      </c>
      <c r="AI224" s="9">
        <v>62500</v>
      </c>
      <c r="AJ224" s="9">
        <v>25150</v>
      </c>
      <c r="AK224" s="10">
        <v>22750</v>
      </c>
      <c r="AL224" s="10">
        <v>272000</v>
      </c>
      <c r="AM224" s="10">
        <v>233000</v>
      </c>
      <c r="AN224" s="10">
        <v>26350</v>
      </c>
      <c r="AO224" s="10">
        <v>8780</v>
      </c>
      <c r="AP224" s="9">
        <v>580000</v>
      </c>
      <c r="AQ224" s="9">
        <v>317000</v>
      </c>
      <c r="AR224" s="9">
        <v>10750</v>
      </c>
      <c r="AS224" s="9">
        <v>34850</v>
      </c>
      <c r="AT224" s="9">
        <v>65600</v>
      </c>
      <c r="AU224" s="10">
        <v>216500</v>
      </c>
      <c r="AV224" s="10">
        <v>34200</v>
      </c>
      <c r="AW224" s="10">
        <v>6780</v>
      </c>
      <c r="AX224" s="10">
        <v>163500</v>
      </c>
      <c r="AY224" s="10">
        <v>35450</v>
      </c>
    </row>
    <row r="225" spans="1:51" x14ac:dyDescent="0.4">
      <c r="A225" s="11">
        <v>41124</v>
      </c>
      <c r="B225" s="7">
        <v>75500</v>
      </c>
      <c r="C225" s="7">
        <v>20950</v>
      </c>
      <c r="D225" s="7">
        <v>58700</v>
      </c>
      <c r="E225" s="7">
        <v>216500</v>
      </c>
      <c r="F225" s="7">
        <v>62100</v>
      </c>
      <c r="G225" s="8">
        <v>48350</v>
      </c>
      <c r="H225" s="8">
        <v>58400</v>
      </c>
      <c r="I225" s="8">
        <v>155000</v>
      </c>
      <c r="J225" s="8">
        <v>83300</v>
      </c>
      <c r="K225" s="8">
        <v>233000</v>
      </c>
      <c r="L225" s="7">
        <v>365000</v>
      </c>
      <c r="M225" s="7">
        <v>1243000</v>
      </c>
      <c r="N225" s="7">
        <v>68000</v>
      </c>
      <c r="O225" s="7">
        <v>139500</v>
      </c>
      <c r="P225" s="7">
        <v>105000</v>
      </c>
      <c r="Q225" s="8">
        <v>233500</v>
      </c>
      <c r="R225" s="8">
        <v>199000</v>
      </c>
      <c r="S225" s="8">
        <v>369500</v>
      </c>
      <c r="T225" s="8">
        <v>37600</v>
      </c>
      <c r="U225" s="8">
        <v>97700</v>
      </c>
      <c r="V225" s="7">
        <v>231500</v>
      </c>
      <c r="W225" s="7">
        <v>24422</v>
      </c>
      <c r="X225" s="7">
        <v>296000</v>
      </c>
      <c r="Y225" s="7">
        <v>25200</v>
      </c>
      <c r="Z225" s="7">
        <v>47800</v>
      </c>
      <c r="AA225" s="8">
        <v>145000</v>
      </c>
      <c r="AB225" s="8">
        <v>285000</v>
      </c>
      <c r="AC225" s="8">
        <v>11900</v>
      </c>
      <c r="AD225" s="8">
        <v>180000</v>
      </c>
      <c r="AE225" s="8">
        <v>33650</v>
      </c>
      <c r="AF225" s="7">
        <v>32900</v>
      </c>
      <c r="AG225" s="7">
        <v>94000</v>
      </c>
      <c r="AH225" s="7">
        <v>82900</v>
      </c>
      <c r="AI225" s="7">
        <v>62000</v>
      </c>
      <c r="AJ225" s="7">
        <v>24800</v>
      </c>
      <c r="AK225" s="8">
        <v>22600</v>
      </c>
      <c r="AL225" s="8">
        <v>274000</v>
      </c>
      <c r="AM225" s="8">
        <v>233500</v>
      </c>
      <c r="AN225" s="8">
        <v>25350</v>
      </c>
      <c r="AO225" s="8">
        <v>8520</v>
      </c>
      <c r="AP225" s="7">
        <v>580000</v>
      </c>
      <c r="AQ225" s="7">
        <v>306000</v>
      </c>
      <c r="AR225" s="7">
        <v>10500</v>
      </c>
      <c r="AS225" s="7">
        <v>34250</v>
      </c>
      <c r="AT225" s="7">
        <v>64900</v>
      </c>
      <c r="AU225" s="8">
        <v>219000</v>
      </c>
      <c r="AV225" s="8">
        <v>33450</v>
      </c>
      <c r="AW225" s="8">
        <v>6560</v>
      </c>
      <c r="AX225" s="8">
        <v>156000</v>
      </c>
      <c r="AY225" s="8">
        <v>34950</v>
      </c>
    </row>
    <row r="226" spans="1:51" x14ac:dyDescent="0.4">
      <c r="A226" s="11">
        <v>41123</v>
      </c>
      <c r="B226" s="7">
        <v>77800</v>
      </c>
      <c r="C226" s="7">
        <v>21550</v>
      </c>
      <c r="D226" s="7">
        <v>59400</v>
      </c>
      <c r="E226" s="7">
        <v>218500</v>
      </c>
      <c r="F226" s="7">
        <v>63300</v>
      </c>
      <c r="G226" s="8">
        <v>49000</v>
      </c>
      <c r="H226" s="8">
        <v>57200</v>
      </c>
      <c r="I226" s="8">
        <v>158000</v>
      </c>
      <c r="J226" s="8">
        <v>84300</v>
      </c>
      <c r="K226" s="8">
        <v>238500</v>
      </c>
      <c r="L226" s="7">
        <v>368000</v>
      </c>
      <c r="M226" s="7">
        <v>1263000</v>
      </c>
      <c r="N226" s="7">
        <v>68900</v>
      </c>
      <c r="O226" s="7">
        <v>141500</v>
      </c>
      <c r="P226" s="7">
        <v>106500</v>
      </c>
      <c r="Q226" s="8">
        <v>239500</v>
      </c>
      <c r="R226" s="8">
        <v>200500</v>
      </c>
      <c r="S226" s="8">
        <v>372000</v>
      </c>
      <c r="T226" s="8">
        <v>38000</v>
      </c>
      <c r="U226" s="8">
        <v>97400</v>
      </c>
      <c r="V226" s="7">
        <v>236000</v>
      </c>
      <c r="W226" s="7">
        <v>24964</v>
      </c>
      <c r="X226" s="7">
        <v>299000</v>
      </c>
      <c r="Y226" s="7">
        <v>25600</v>
      </c>
      <c r="Z226" s="7">
        <v>48400</v>
      </c>
      <c r="AA226" s="8">
        <v>142000</v>
      </c>
      <c r="AB226" s="8">
        <v>290500</v>
      </c>
      <c r="AC226" s="8">
        <v>12150</v>
      </c>
      <c r="AD226" s="8">
        <v>183500</v>
      </c>
      <c r="AE226" s="8">
        <v>33850</v>
      </c>
      <c r="AF226" s="7">
        <v>32200</v>
      </c>
      <c r="AG226" s="7">
        <v>94000</v>
      </c>
      <c r="AH226" s="7">
        <v>84400</v>
      </c>
      <c r="AI226" s="7">
        <v>62500</v>
      </c>
      <c r="AJ226" s="7">
        <v>23950</v>
      </c>
      <c r="AK226" s="8">
        <v>22850</v>
      </c>
      <c r="AL226" s="8">
        <v>273500</v>
      </c>
      <c r="AM226" s="8">
        <v>233500</v>
      </c>
      <c r="AN226" s="8">
        <v>25450</v>
      </c>
      <c r="AO226" s="8">
        <v>8630</v>
      </c>
      <c r="AP226" s="7">
        <v>587000</v>
      </c>
      <c r="AQ226" s="7">
        <v>311000</v>
      </c>
      <c r="AR226" s="7">
        <v>10700</v>
      </c>
      <c r="AS226" s="7">
        <v>35350</v>
      </c>
      <c r="AT226" s="7">
        <v>61700</v>
      </c>
      <c r="AU226" s="8">
        <v>218000</v>
      </c>
      <c r="AV226" s="8">
        <v>34950</v>
      </c>
      <c r="AW226" s="8">
        <v>6740</v>
      </c>
      <c r="AX226" s="8">
        <v>157000</v>
      </c>
      <c r="AY226" s="8">
        <v>35600</v>
      </c>
    </row>
    <row r="227" spans="1:51" x14ac:dyDescent="0.4">
      <c r="A227" s="11">
        <v>41122</v>
      </c>
      <c r="B227" s="7">
        <v>78200</v>
      </c>
      <c r="C227" s="7">
        <v>21500</v>
      </c>
      <c r="D227" s="7">
        <v>59100</v>
      </c>
      <c r="E227" s="7">
        <v>220500</v>
      </c>
      <c r="F227" s="7">
        <v>63500</v>
      </c>
      <c r="G227" s="8">
        <v>49000</v>
      </c>
      <c r="H227" s="8">
        <v>57800</v>
      </c>
      <c r="I227" s="8">
        <v>160000</v>
      </c>
      <c r="J227" s="8">
        <v>84800</v>
      </c>
      <c r="K227" s="8">
        <v>237500</v>
      </c>
      <c r="L227" s="7">
        <v>368500</v>
      </c>
      <c r="M227" s="7">
        <v>1300000</v>
      </c>
      <c r="N227" s="7">
        <v>68800</v>
      </c>
      <c r="O227" s="7">
        <v>144500</v>
      </c>
      <c r="P227" s="7">
        <v>106500</v>
      </c>
      <c r="Q227" s="8">
        <v>237500</v>
      </c>
      <c r="R227" s="8">
        <v>200000</v>
      </c>
      <c r="S227" s="8">
        <v>372500</v>
      </c>
      <c r="T227" s="8">
        <v>39350</v>
      </c>
      <c r="U227" s="8">
        <v>95700</v>
      </c>
      <c r="V227" s="7">
        <v>236500</v>
      </c>
      <c r="W227" s="7">
        <v>24914</v>
      </c>
      <c r="X227" s="7">
        <v>300500</v>
      </c>
      <c r="Y227" s="7">
        <v>25300</v>
      </c>
      <c r="Z227" s="7">
        <v>48500</v>
      </c>
      <c r="AA227" s="8">
        <v>141000</v>
      </c>
      <c r="AB227" s="8">
        <v>285500</v>
      </c>
      <c r="AC227" s="8">
        <v>12200</v>
      </c>
      <c r="AD227" s="8">
        <v>184500</v>
      </c>
      <c r="AE227" s="8">
        <v>34050</v>
      </c>
      <c r="AF227" s="7">
        <v>32100</v>
      </c>
      <c r="AG227" s="7">
        <v>93900</v>
      </c>
      <c r="AH227" s="7">
        <v>84400</v>
      </c>
      <c r="AI227" s="7">
        <v>60600</v>
      </c>
      <c r="AJ227" s="7">
        <v>24200</v>
      </c>
      <c r="AK227" s="8">
        <v>22950</v>
      </c>
      <c r="AL227" s="8">
        <v>277000</v>
      </c>
      <c r="AM227" s="8">
        <v>228500</v>
      </c>
      <c r="AN227" s="8">
        <v>25500</v>
      </c>
      <c r="AO227" s="8">
        <v>8750</v>
      </c>
      <c r="AP227" s="7">
        <v>600000</v>
      </c>
      <c r="AQ227" s="7">
        <v>310000</v>
      </c>
      <c r="AR227" s="7">
        <v>10900</v>
      </c>
      <c r="AS227" s="7">
        <v>35500</v>
      </c>
      <c r="AT227" s="7">
        <v>61600</v>
      </c>
      <c r="AU227" s="8">
        <v>221500</v>
      </c>
      <c r="AV227" s="8">
        <v>35250</v>
      </c>
      <c r="AW227" s="8">
        <v>6680</v>
      </c>
      <c r="AX227" s="8">
        <v>157000</v>
      </c>
      <c r="AY227" s="8">
        <v>35450</v>
      </c>
    </row>
    <row r="228" spans="1:51" x14ac:dyDescent="0.4">
      <c r="A228" s="11">
        <v>41121</v>
      </c>
      <c r="B228" s="7">
        <v>78100</v>
      </c>
      <c r="C228" s="7">
        <v>21700</v>
      </c>
      <c r="D228" s="7">
        <v>59600</v>
      </c>
      <c r="E228" s="7">
        <v>212000</v>
      </c>
      <c r="F228" s="7">
        <v>64300</v>
      </c>
      <c r="G228" s="8">
        <v>48300</v>
      </c>
      <c r="H228" s="8">
        <v>58500</v>
      </c>
      <c r="I228" s="8">
        <v>155000</v>
      </c>
      <c r="J228" s="8">
        <v>84000</v>
      </c>
      <c r="K228" s="8">
        <v>237000</v>
      </c>
      <c r="L228" s="7">
        <v>364500</v>
      </c>
      <c r="M228" s="7">
        <v>1309000</v>
      </c>
      <c r="N228" s="7">
        <v>69500</v>
      </c>
      <c r="O228" s="7">
        <v>142500</v>
      </c>
      <c r="P228" s="7">
        <v>106000</v>
      </c>
      <c r="Q228" s="8">
        <v>242000</v>
      </c>
      <c r="R228" s="8">
        <v>201000</v>
      </c>
      <c r="S228" s="8">
        <v>384000</v>
      </c>
      <c r="T228" s="8">
        <v>39150</v>
      </c>
      <c r="U228" s="8">
        <v>96200</v>
      </c>
      <c r="V228" s="7">
        <v>238500</v>
      </c>
      <c r="W228" s="7">
        <v>24619</v>
      </c>
      <c r="X228" s="7">
        <v>299500</v>
      </c>
      <c r="Y228" s="7">
        <v>25300</v>
      </c>
      <c r="Z228" s="7">
        <v>48500</v>
      </c>
      <c r="AA228" s="8">
        <v>144500</v>
      </c>
      <c r="AB228" s="8">
        <v>290000</v>
      </c>
      <c r="AC228" s="8">
        <v>12300</v>
      </c>
      <c r="AD228" s="8">
        <v>182500</v>
      </c>
      <c r="AE228" s="8">
        <v>33450</v>
      </c>
      <c r="AF228" s="7">
        <v>32250</v>
      </c>
      <c r="AG228" s="7">
        <v>92800</v>
      </c>
      <c r="AH228" s="7">
        <v>83300</v>
      </c>
      <c r="AI228" s="7">
        <v>60700</v>
      </c>
      <c r="AJ228" s="7">
        <v>24450</v>
      </c>
      <c r="AK228" s="8">
        <v>23300</v>
      </c>
      <c r="AL228" s="8">
        <v>275000</v>
      </c>
      <c r="AM228" s="8">
        <v>224000</v>
      </c>
      <c r="AN228" s="8">
        <v>25000</v>
      </c>
      <c r="AO228" s="8">
        <v>8530</v>
      </c>
      <c r="AP228" s="7">
        <v>583000</v>
      </c>
      <c r="AQ228" s="7">
        <v>314000</v>
      </c>
      <c r="AR228" s="7">
        <v>11150</v>
      </c>
      <c r="AS228" s="7">
        <v>36200</v>
      </c>
      <c r="AT228" s="7">
        <v>62400</v>
      </c>
      <c r="AU228" s="8">
        <v>217000</v>
      </c>
      <c r="AV228" s="8">
        <v>36150</v>
      </c>
      <c r="AW228" s="8">
        <v>6520</v>
      </c>
      <c r="AX228" s="8">
        <v>155500</v>
      </c>
      <c r="AY228" s="8">
        <v>36150</v>
      </c>
    </row>
    <row r="229" spans="1:51" x14ac:dyDescent="0.4">
      <c r="A229" s="12">
        <v>41120</v>
      </c>
      <c r="B229" s="9">
        <v>76000</v>
      </c>
      <c r="C229" s="9">
        <v>21300</v>
      </c>
      <c r="D229" s="9">
        <v>57600</v>
      </c>
      <c r="E229" s="9">
        <v>211000</v>
      </c>
      <c r="F229" s="9">
        <v>63700</v>
      </c>
      <c r="G229" s="10">
        <v>47800</v>
      </c>
      <c r="H229" s="10">
        <v>56500</v>
      </c>
      <c r="I229" s="10">
        <v>153000</v>
      </c>
      <c r="J229" s="10">
        <v>83000</v>
      </c>
      <c r="K229" s="10">
        <v>232500</v>
      </c>
      <c r="L229" s="9">
        <v>357500</v>
      </c>
      <c r="M229" s="9">
        <v>1275000</v>
      </c>
      <c r="N229" s="9">
        <v>66500</v>
      </c>
      <c r="O229" s="9">
        <v>141000</v>
      </c>
      <c r="P229" s="9">
        <v>102000</v>
      </c>
      <c r="Q229" s="10">
        <v>227000</v>
      </c>
      <c r="R229" s="10">
        <v>197000</v>
      </c>
      <c r="S229" s="10">
        <v>378000</v>
      </c>
      <c r="T229" s="10">
        <v>37100</v>
      </c>
      <c r="U229" s="10">
        <v>95500</v>
      </c>
      <c r="V229" s="9">
        <v>233500</v>
      </c>
      <c r="W229" s="9">
        <v>23880</v>
      </c>
      <c r="X229" s="9">
        <v>299000</v>
      </c>
      <c r="Y229" s="9">
        <v>25500</v>
      </c>
      <c r="Z229" s="9">
        <v>47150</v>
      </c>
      <c r="AA229" s="10">
        <v>140500</v>
      </c>
      <c r="AB229" s="10">
        <v>282500</v>
      </c>
      <c r="AC229" s="10">
        <v>12150</v>
      </c>
      <c r="AD229" s="10">
        <v>177000</v>
      </c>
      <c r="AE229" s="10">
        <v>32800</v>
      </c>
      <c r="AF229" s="9">
        <v>32000</v>
      </c>
      <c r="AG229" s="9">
        <v>93000</v>
      </c>
      <c r="AH229" s="9">
        <v>82500</v>
      </c>
      <c r="AI229" s="9">
        <v>59500</v>
      </c>
      <c r="AJ229" s="9">
        <v>23700</v>
      </c>
      <c r="AK229" s="10">
        <v>22700</v>
      </c>
      <c r="AL229" s="10">
        <v>269500</v>
      </c>
      <c r="AM229" s="10">
        <v>224500</v>
      </c>
      <c r="AN229" s="10">
        <v>23450</v>
      </c>
      <c r="AO229" s="10">
        <v>8350</v>
      </c>
      <c r="AP229" s="9">
        <v>572000</v>
      </c>
      <c r="AQ229" s="9">
        <v>307000</v>
      </c>
      <c r="AR229" s="9">
        <v>10750</v>
      </c>
      <c r="AS229" s="9">
        <v>35450</v>
      </c>
      <c r="AT229" s="9">
        <v>61800</v>
      </c>
      <c r="AU229" s="10">
        <v>214000</v>
      </c>
      <c r="AV229" s="10">
        <v>35200</v>
      </c>
      <c r="AW229" s="10">
        <v>6220</v>
      </c>
      <c r="AX229" s="10">
        <v>152500</v>
      </c>
      <c r="AY229" s="10">
        <v>35350</v>
      </c>
    </row>
    <row r="230" spans="1:51" x14ac:dyDescent="0.4">
      <c r="A230" s="11">
        <v>41117</v>
      </c>
      <c r="B230" s="7">
        <v>76400</v>
      </c>
      <c r="C230" s="7">
        <v>21150</v>
      </c>
      <c r="D230" s="7">
        <v>58200</v>
      </c>
      <c r="E230" s="7">
        <v>218000</v>
      </c>
      <c r="F230" s="7">
        <v>63600</v>
      </c>
      <c r="G230" s="8">
        <v>49350</v>
      </c>
      <c r="H230" s="8">
        <v>56900</v>
      </c>
      <c r="I230" s="8">
        <v>157000</v>
      </c>
      <c r="J230" s="8">
        <v>80800</v>
      </c>
      <c r="K230" s="8">
        <v>228500</v>
      </c>
      <c r="L230" s="7">
        <v>358500</v>
      </c>
      <c r="M230" s="7">
        <v>1233000</v>
      </c>
      <c r="N230" s="7">
        <v>66000</v>
      </c>
      <c r="O230" s="7">
        <v>144000</v>
      </c>
      <c r="P230" s="7">
        <v>101500</v>
      </c>
      <c r="Q230" s="8">
        <v>226500</v>
      </c>
      <c r="R230" s="8">
        <v>197000</v>
      </c>
      <c r="S230" s="8">
        <v>391500</v>
      </c>
      <c r="T230" s="8">
        <v>36000</v>
      </c>
      <c r="U230" s="8">
        <v>95300</v>
      </c>
      <c r="V230" s="7">
        <v>232000</v>
      </c>
      <c r="W230" s="7">
        <v>23930</v>
      </c>
      <c r="X230" s="7">
        <v>287500</v>
      </c>
      <c r="Y230" s="7">
        <v>25750</v>
      </c>
      <c r="Z230" s="7">
        <v>47150</v>
      </c>
      <c r="AA230" s="8">
        <v>141000</v>
      </c>
      <c r="AB230" s="8">
        <v>281000</v>
      </c>
      <c r="AC230" s="8">
        <v>12100</v>
      </c>
      <c r="AD230" s="8">
        <v>175000</v>
      </c>
      <c r="AE230" s="8">
        <v>33150</v>
      </c>
      <c r="AF230" s="7">
        <v>33000</v>
      </c>
      <c r="AG230" s="7">
        <v>93000</v>
      </c>
      <c r="AH230" s="7">
        <v>82600</v>
      </c>
      <c r="AI230" s="7">
        <v>59700</v>
      </c>
      <c r="AJ230" s="7">
        <v>23500</v>
      </c>
      <c r="AK230" s="8">
        <v>22950</v>
      </c>
      <c r="AL230" s="8">
        <v>275000</v>
      </c>
      <c r="AM230" s="8">
        <v>220000</v>
      </c>
      <c r="AN230" s="8">
        <v>23300</v>
      </c>
      <c r="AO230" s="8">
        <v>8380</v>
      </c>
      <c r="AP230" s="7">
        <v>577000</v>
      </c>
      <c r="AQ230" s="7">
        <v>309500</v>
      </c>
      <c r="AR230" s="7">
        <v>10700</v>
      </c>
      <c r="AS230" s="7">
        <v>34750</v>
      </c>
      <c r="AT230" s="7">
        <v>61900</v>
      </c>
      <c r="AU230" s="8">
        <v>209000</v>
      </c>
      <c r="AV230" s="8">
        <v>34400</v>
      </c>
      <c r="AW230" s="8">
        <v>6280</v>
      </c>
      <c r="AX230" s="8">
        <v>150000</v>
      </c>
      <c r="AY230" s="8">
        <v>34500</v>
      </c>
    </row>
    <row r="231" spans="1:51" x14ac:dyDescent="0.4">
      <c r="A231" s="11">
        <v>41116</v>
      </c>
      <c r="B231" s="7">
        <v>76300</v>
      </c>
      <c r="C231" s="7">
        <v>20400</v>
      </c>
      <c r="D231" s="7">
        <v>56800</v>
      </c>
      <c r="E231" s="7">
        <v>210000</v>
      </c>
      <c r="F231" s="7">
        <v>60600</v>
      </c>
      <c r="G231" s="8">
        <v>48350</v>
      </c>
      <c r="H231" s="8">
        <v>55700</v>
      </c>
      <c r="I231" s="8">
        <v>155500</v>
      </c>
      <c r="J231" s="8">
        <v>80800</v>
      </c>
      <c r="K231" s="8">
        <v>223500</v>
      </c>
      <c r="L231" s="7">
        <v>354500</v>
      </c>
      <c r="M231" s="7">
        <v>1172000</v>
      </c>
      <c r="N231" s="7">
        <v>64400</v>
      </c>
      <c r="O231" s="7">
        <v>136500</v>
      </c>
      <c r="P231" s="7">
        <v>99100</v>
      </c>
      <c r="Q231" s="8">
        <v>217500</v>
      </c>
      <c r="R231" s="8">
        <v>193500</v>
      </c>
      <c r="S231" s="8">
        <v>390500</v>
      </c>
      <c r="T231" s="8">
        <v>34800</v>
      </c>
      <c r="U231" s="8">
        <v>91800</v>
      </c>
      <c r="V231" s="7">
        <v>229000</v>
      </c>
      <c r="W231" s="7">
        <v>23634</v>
      </c>
      <c r="X231" s="7">
        <v>285500</v>
      </c>
      <c r="Y231" s="7">
        <v>25600</v>
      </c>
      <c r="Z231" s="7">
        <v>45500</v>
      </c>
      <c r="AA231" s="8">
        <v>140000</v>
      </c>
      <c r="AB231" s="8">
        <v>276500</v>
      </c>
      <c r="AC231" s="8">
        <v>11750</v>
      </c>
      <c r="AD231" s="8">
        <v>169500</v>
      </c>
      <c r="AE231" s="8">
        <v>31550</v>
      </c>
      <c r="AF231" s="7">
        <v>32950</v>
      </c>
      <c r="AG231" s="7">
        <v>91100</v>
      </c>
      <c r="AH231" s="7">
        <v>82100</v>
      </c>
      <c r="AI231" s="7">
        <v>57900</v>
      </c>
      <c r="AJ231" s="7">
        <v>21900</v>
      </c>
      <c r="AK231" s="8">
        <v>22550</v>
      </c>
      <c r="AL231" s="8">
        <v>259500</v>
      </c>
      <c r="AM231" s="8">
        <v>212000</v>
      </c>
      <c r="AN231" s="8">
        <v>22350</v>
      </c>
      <c r="AO231" s="8">
        <v>8100</v>
      </c>
      <c r="AP231" s="7">
        <v>571000</v>
      </c>
      <c r="AQ231" s="7">
        <v>303000</v>
      </c>
      <c r="AR231" s="7">
        <v>10300</v>
      </c>
      <c r="AS231" s="7">
        <v>33550</v>
      </c>
      <c r="AT231" s="7">
        <v>59800</v>
      </c>
      <c r="AU231" s="8">
        <v>205500</v>
      </c>
      <c r="AV231" s="8">
        <v>33400</v>
      </c>
      <c r="AW231" s="8">
        <v>6070</v>
      </c>
      <c r="AX231" s="8">
        <v>143000</v>
      </c>
      <c r="AY231" s="8">
        <v>33800</v>
      </c>
    </row>
    <row r="232" spans="1:51" x14ac:dyDescent="0.4">
      <c r="A232" s="11">
        <v>41115</v>
      </c>
      <c r="B232" s="7">
        <v>76300</v>
      </c>
      <c r="C232" s="7">
        <v>20400</v>
      </c>
      <c r="D232" s="7">
        <v>56300</v>
      </c>
      <c r="E232" s="7">
        <v>206500</v>
      </c>
      <c r="F232" s="7">
        <v>60100</v>
      </c>
      <c r="G232" s="8">
        <v>49100</v>
      </c>
      <c r="H232" s="8">
        <v>54100</v>
      </c>
      <c r="I232" s="8">
        <v>148000</v>
      </c>
      <c r="J232" s="8">
        <v>76200</v>
      </c>
      <c r="K232" s="8">
        <v>220000</v>
      </c>
      <c r="L232" s="7">
        <v>353500</v>
      </c>
      <c r="M232" s="7">
        <v>1158000</v>
      </c>
      <c r="N232" s="7">
        <v>63800</v>
      </c>
      <c r="O232" s="7">
        <v>136000</v>
      </c>
      <c r="P232" s="7">
        <v>98400</v>
      </c>
      <c r="Q232" s="8">
        <v>217500</v>
      </c>
      <c r="R232" s="8">
        <v>191500</v>
      </c>
      <c r="S232" s="8">
        <v>378000</v>
      </c>
      <c r="T232" s="8">
        <v>34700</v>
      </c>
      <c r="U232" s="8">
        <v>91900</v>
      </c>
      <c r="V232" s="7">
        <v>224000</v>
      </c>
      <c r="W232" s="7">
        <v>23979</v>
      </c>
      <c r="X232" s="7">
        <v>287000</v>
      </c>
      <c r="Y232" s="7">
        <v>25400</v>
      </c>
      <c r="Z232" s="7">
        <v>45750</v>
      </c>
      <c r="AA232" s="8">
        <v>139000</v>
      </c>
      <c r="AB232" s="8">
        <v>281000</v>
      </c>
      <c r="AC232" s="8">
        <v>11650</v>
      </c>
      <c r="AD232" s="8">
        <v>168000</v>
      </c>
      <c r="AE232" s="8">
        <v>32500</v>
      </c>
      <c r="AF232" s="7">
        <v>33000</v>
      </c>
      <c r="AG232" s="7">
        <v>91000</v>
      </c>
      <c r="AH232" s="7">
        <v>83100</v>
      </c>
      <c r="AI232" s="7">
        <v>56900</v>
      </c>
      <c r="AJ232" s="7">
        <v>21050</v>
      </c>
      <c r="AK232" s="8">
        <v>23150</v>
      </c>
      <c r="AL232" s="8">
        <v>267000</v>
      </c>
      <c r="AM232" s="8">
        <v>205500</v>
      </c>
      <c r="AN232" s="8">
        <v>22850</v>
      </c>
      <c r="AO232" s="8">
        <v>8130</v>
      </c>
      <c r="AP232" s="7">
        <v>597000</v>
      </c>
      <c r="AQ232" s="7">
        <v>292500</v>
      </c>
      <c r="AR232" s="7">
        <v>10300</v>
      </c>
      <c r="AS232" s="7">
        <v>33350</v>
      </c>
      <c r="AT232" s="7">
        <v>56100</v>
      </c>
      <c r="AU232" s="8">
        <v>206000</v>
      </c>
      <c r="AV232" s="8">
        <v>33200</v>
      </c>
      <c r="AW232" s="8">
        <v>6090</v>
      </c>
      <c r="AX232" s="8">
        <v>143000</v>
      </c>
      <c r="AY232" s="8">
        <v>33000</v>
      </c>
    </row>
    <row r="233" spans="1:51" x14ac:dyDescent="0.4">
      <c r="A233" s="11">
        <v>41114</v>
      </c>
      <c r="B233" s="7">
        <v>76000</v>
      </c>
      <c r="C233" s="7">
        <v>20800</v>
      </c>
      <c r="D233" s="7">
        <v>57800</v>
      </c>
      <c r="E233" s="7">
        <v>208500</v>
      </c>
      <c r="F233" s="7">
        <v>61800</v>
      </c>
      <c r="G233" s="8">
        <v>49650</v>
      </c>
      <c r="H233" s="8">
        <v>54600</v>
      </c>
      <c r="I233" s="8">
        <v>150000</v>
      </c>
      <c r="J233" s="8">
        <v>78500</v>
      </c>
      <c r="K233" s="8">
        <v>223000</v>
      </c>
      <c r="L233" s="7">
        <v>362500</v>
      </c>
      <c r="M233" s="7">
        <v>1170000</v>
      </c>
      <c r="N233" s="7">
        <v>65500</v>
      </c>
      <c r="O233" s="7">
        <v>139000</v>
      </c>
      <c r="P233" s="7">
        <v>101500</v>
      </c>
      <c r="Q233" s="8">
        <v>219500</v>
      </c>
      <c r="R233" s="8">
        <v>192000</v>
      </c>
      <c r="S233" s="8">
        <v>374500</v>
      </c>
      <c r="T233" s="8">
        <v>35150</v>
      </c>
      <c r="U233" s="8">
        <v>93000</v>
      </c>
      <c r="V233" s="7">
        <v>231000</v>
      </c>
      <c r="W233" s="7">
        <v>24225</v>
      </c>
      <c r="X233" s="7">
        <v>292500</v>
      </c>
      <c r="Y233" s="7">
        <v>25700</v>
      </c>
      <c r="Z233" s="7">
        <v>46750</v>
      </c>
      <c r="AA233" s="8">
        <v>141000</v>
      </c>
      <c r="AB233" s="8">
        <v>280000</v>
      </c>
      <c r="AC233" s="8">
        <v>11750</v>
      </c>
      <c r="AD233" s="8">
        <v>175000</v>
      </c>
      <c r="AE233" s="8">
        <v>34300</v>
      </c>
      <c r="AF233" s="7">
        <v>33150</v>
      </c>
      <c r="AG233" s="7">
        <v>91500</v>
      </c>
      <c r="AH233" s="7">
        <v>85100</v>
      </c>
      <c r="AI233" s="7">
        <v>57300</v>
      </c>
      <c r="AJ233" s="7">
        <v>22100</v>
      </c>
      <c r="AK233" s="8">
        <v>22850</v>
      </c>
      <c r="AL233" s="8">
        <v>268500</v>
      </c>
      <c r="AM233" s="8">
        <v>210000</v>
      </c>
      <c r="AN233" s="8">
        <v>23800</v>
      </c>
      <c r="AO233" s="8">
        <v>8080</v>
      </c>
      <c r="AP233" s="7">
        <v>605000</v>
      </c>
      <c r="AQ233" s="7">
        <v>298500</v>
      </c>
      <c r="AR233" s="7">
        <v>10550</v>
      </c>
      <c r="AS233" s="7">
        <v>34200</v>
      </c>
      <c r="AT233" s="7">
        <v>57300</v>
      </c>
      <c r="AU233" s="8">
        <v>209500</v>
      </c>
      <c r="AV233" s="8">
        <v>32950</v>
      </c>
      <c r="AW233" s="8">
        <v>6170</v>
      </c>
      <c r="AX233" s="8">
        <v>143000</v>
      </c>
      <c r="AY233" s="8">
        <v>33400</v>
      </c>
    </row>
    <row r="234" spans="1:51" x14ac:dyDescent="0.4">
      <c r="A234" s="12">
        <v>41113</v>
      </c>
      <c r="B234" s="9">
        <v>74200</v>
      </c>
      <c r="C234" s="9">
        <v>20350</v>
      </c>
      <c r="D234" s="9">
        <v>60000</v>
      </c>
      <c r="E234" s="9">
        <v>212500</v>
      </c>
      <c r="F234" s="9">
        <v>62500</v>
      </c>
      <c r="G234" s="10">
        <v>49550</v>
      </c>
      <c r="H234" s="10">
        <v>54800</v>
      </c>
      <c r="I234" s="10">
        <v>149500</v>
      </c>
      <c r="J234" s="10">
        <v>79000</v>
      </c>
      <c r="K234" s="10">
        <v>219000</v>
      </c>
      <c r="L234" s="9">
        <v>359500</v>
      </c>
      <c r="M234" s="9">
        <v>1162000</v>
      </c>
      <c r="N234" s="9">
        <v>68300</v>
      </c>
      <c r="O234" s="9">
        <v>139500</v>
      </c>
      <c r="P234" s="9">
        <v>100500</v>
      </c>
      <c r="Q234" s="10">
        <v>218500</v>
      </c>
      <c r="R234" s="10">
        <v>192000</v>
      </c>
      <c r="S234" s="10">
        <v>375500</v>
      </c>
      <c r="T234" s="10">
        <v>35600</v>
      </c>
      <c r="U234" s="10">
        <v>94600</v>
      </c>
      <c r="V234" s="9">
        <v>245000</v>
      </c>
      <c r="W234" s="9">
        <v>24471</v>
      </c>
      <c r="X234" s="9">
        <v>286000</v>
      </c>
      <c r="Y234" s="9">
        <v>25150</v>
      </c>
      <c r="Z234" s="9">
        <v>46950</v>
      </c>
      <c r="AA234" s="10">
        <v>133000</v>
      </c>
      <c r="AB234" s="10">
        <v>278000</v>
      </c>
      <c r="AC234" s="10">
        <v>11750</v>
      </c>
      <c r="AD234" s="10">
        <v>177500</v>
      </c>
      <c r="AE234" s="10">
        <v>34050</v>
      </c>
      <c r="AF234" s="9">
        <v>31550</v>
      </c>
      <c r="AG234" s="9">
        <v>91900</v>
      </c>
      <c r="AH234" s="9">
        <v>83900</v>
      </c>
      <c r="AI234" s="9">
        <v>58100</v>
      </c>
      <c r="AJ234" s="9">
        <v>21650</v>
      </c>
      <c r="AK234" s="10">
        <v>22850</v>
      </c>
      <c r="AL234" s="10">
        <v>271000</v>
      </c>
      <c r="AM234" s="10">
        <v>212500</v>
      </c>
      <c r="AN234" s="10">
        <v>24000</v>
      </c>
      <c r="AO234" s="10">
        <v>8240</v>
      </c>
      <c r="AP234" s="9">
        <v>604000</v>
      </c>
      <c r="AQ234" s="9">
        <v>302000</v>
      </c>
      <c r="AR234" s="9">
        <v>10400</v>
      </c>
      <c r="AS234" s="9">
        <v>34100</v>
      </c>
      <c r="AT234" s="9">
        <v>56600</v>
      </c>
      <c r="AU234" s="10">
        <v>208500</v>
      </c>
      <c r="AV234" s="10">
        <v>32450</v>
      </c>
      <c r="AW234" s="10">
        <v>6160</v>
      </c>
      <c r="AX234" s="10">
        <v>144000</v>
      </c>
      <c r="AY234" s="10">
        <v>33400</v>
      </c>
    </row>
    <row r="235" spans="1:51" x14ac:dyDescent="0.4">
      <c r="A235" s="11">
        <v>41110</v>
      </c>
      <c r="B235" s="7">
        <v>76000</v>
      </c>
      <c r="C235" s="7">
        <v>21250</v>
      </c>
      <c r="D235" s="7">
        <v>62000</v>
      </c>
      <c r="E235" s="7">
        <v>214000</v>
      </c>
      <c r="F235" s="7">
        <v>64100</v>
      </c>
      <c r="G235" s="8">
        <v>50600</v>
      </c>
      <c r="H235" s="8">
        <v>55800</v>
      </c>
      <c r="I235" s="8">
        <v>151500</v>
      </c>
      <c r="J235" s="8">
        <v>81300</v>
      </c>
      <c r="K235" s="8">
        <v>223000</v>
      </c>
      <c r="L235" s="7">
        <v>358500</v>
      </c>
      <c r="M235" s="7">
        <v>1191000</v>
      </c>
      <c r="N235" s="7">
        <v>70100</v>
      </c>
      <c r="O235" s="7">
        <v>141500</v>
      </c>
      <c r="P235" s="7">
        <v>102500</v>
      </c>
      <c r="Q235" s="8">
        <v>226000</v>
      </c>
      <c r="R235" s="8">
        <v>199000</v>
      </c>
      <c r="S235" s="8">
        <v>385000</v>
      </c>
      <c r="T235" s="8">
        <v>36100</v>
      </c>
      <c r="U235" s="8">
        <v>96200</v>
      </c>
      <c r="V235" s="7">
        <v>255500</v>
      </c>
      <c r="W235" s="7">
        <v>25111</v>
      </c>
      <c r="X235" s="7">
        <v>288000</v>
      </c>
      <c r="Y235" s="7">
        <v>25050</v>
      </c>
      <c r="Z235" s="7">
        <v>48000</v>
      </c>
      <c r="AA235" s="8">
        <v>131000</v>
      </c>
      <c r="AB235" s="8">
        <v>279000</v>
      </c>
      <c r="AC235" s="8">
        <v>11950</v>
      </c>
      <c r="AD235" s="8">
        <v>176500</v>
      </c>
      <c r="AE235" s="8">
        <v>34100</v>
      </c>
      <c r="AF235" s="7">
        <v>31300</v>
      </c>
      <c r="AG235" s="7">
        <v>92900</v>
      </c>
      <c r="AH235" s="7">
        <v>83400</v>
      </c>
      <c r="AI235" s="7">
        <v>58700</v>
      </c>
      <c r="AJ235" s="7">
        <v>21950</v>
      </c>
      <c r="AK235" s="8">
        <v>23200</v>
      </c>
      <c r="AL235" s="8">
        <v>266000</v>
      </c>
      <c r="AM235" s="8">
        <v>216500</v>
      </c>
      <c r="AN235" s="8">
        <v>24750</v>
      </c>
      <c r="AO235" s="8">
        <v>8450</v>
      </c>
      <c r="AP235" s="7">
        <v>617000</v>
      </c>
      <c r="AQ235" s="7">
        <v>315000</v>
      </c>
      <c r="AR235" s="7">
        <v>10750</v>
      </c>
      <c r="AS235" s="7">
        <v>35550</v>
      </c>
      <c r="AT235" s="7">
        <v>57500</v>
      </c>
      <c r="AU235" s="8">
        <v>208500</v>
      </c>
      <c r="AV235" s="8">
        <v>33200</v>
      </c>
      <c r="AW235" s="8">
        <v>6230</v>
      </c>
      <c r="AX235" s="8">
        <v>148000</v>
      </c>
      <c r="AY235" s="8">
        <v>34650</v>
      </c>
    </row>
    <row r="236" spans="1:51" x14ac:dyDescent="0.4">
      <c r="A236" s="11">
        <v>41109</v>
      </c>
      <c r="B236" s="7">
        <v>75200</v>
      </c>
      <c r="C236" s="7">
        <v>20400</v>
      </c>
      <c r="D236" s="7">
        <v>61400</v>
      </c>
      <c r="E236" s="7">
        <v>217500</v>
      </c>
      <c r="F236" s="7">
        <v>63400</v>
      </c>
      <c r="G236" s="8">
        <v>51800</v>
      </c>
      <c r="H236" s="8">
        <v>55700</v>
      </c>
      <c r="I236" s="8">
        <v>151000</v>
      </c>
      <c r="J236" s="8">
        <v>81900</v>
      </c>
      <c r="K236" s="8">
        <v>224000</v>
      </c>
      <c r="L236" s="7">
        <v>359000</v>
      </c>
      <c r="M236" s="7">
        <v>1195000</v>
      </c>
      <c r="N236" s="7">
        <v>70000</v>
      </c>
      <c r="O236" s="7">
        <v>143000</v>
      </c>
      <c r="P236" s="7">
        <v>102500</v>
      </c>
      <c r="Q236" s="8">
        <v>228000</v>
      </c>
      <c r="R236" s="8">
        <v>201000</v>
      </c>
      <c r="S236" s="8">
        <v>388000</v>
      </c>
      <c r="T236" s="8">
        <v>36050</v>
      </c>
      <c r="U236" s="8">
        <v>96800</v>
      </c>
      <c r="V236" s="7">
        <v>256500</v>
      </c>
      <c r="W236" s="7">
        <v>25062</v>
      </c>
      <c r="X236" s="7">
        <v>287500</v>
      </c>
      <c r="Y236" s="7">
        <v>25150</v>
      </c>
      <c r="Z236" s="7">
        <v>48400</v>
      </c>
      <c r="AA236" s="8">
        <v>133000</v>
      </c>
      <c r="AB236" s="8">
        <v>278500</v>
      </c>
      <c r="AC236" s="8">
        <v>12000</v>
      </c>
      <c r="AD236" s="8">
        <v>176500</v>
      </c>
      <c r="AE236" s="8">
        <v>33400</v>
      </c>
      <c r="AF236" s="7">
        <v>32050</v>
      </c>
      <c r="AG236" s="7">
        <v>93900</v>
      </c>
      <c r="AH236" s="7">
        <v>84600</v>
      </c>
      <c r="AI236" s="7">
        <v>58600</v>
      </c>
      <c r="AJ236" s="7">
        <v>21400</v>
      </c>
      <c r="AK236" s="8">
        <v>23900</v>
      </c>
      <c r="AL236" s="8">
        <v>269000</v>
      </c>
      <c r="AM236" s="8">
        <v>203000</v>
      </c>
      <c r="AN236" s="8">
        <v>24250</v>
      </c>
      <c r="AO236" s="8">
        <v>8500</v>
      </c>
      <c r="AP236" s="7">
        <v>613000</v>
      </c>
      <c r="AQ236" s="7">
        <v>308500</v>
      </c>
      <c r="AR236" s="7">
        <v>10600</v>
      </c>
      <c r="AS236" s="7">
        <v>36050</v>
      </c>
      <c r="AT236" s="7">
        <v>56700</v>
      </c>
      <c r="AU236" s="8">
        <v>212500</v>
      </c>
      <c r="AV236" s="8">
        <v>33200</v>
      </c>
      <c r="AW236" s="8">
        <v>6350</v>
      </c>
      <c r="AX236" s="8">
        <v>147000</v>
      </c>
      <c r="AY236" s="8">
        <v>34800</v>
      </c>
    </row>
    <row r="237" spans="1:51" x14ac:dyDescent="0.4">
      <c r="A237" s="11">
        <v>41108</v>
      </c>
      <c r="B237" s="7">
        <v>72900</v>
      </c>
      <c r="C237" s="7">
        <v>20250</v>
      </c>
      <c r="D237" s="7">
        <v>60900</v>
      </c>
      <c r="E237" s="7">
        <v>216000</v>
      </c>
      <c r="F237" s="7">
        <v>61000</v>
      </c>
      <c r="G237" s="8">
        <v>51300</v>
      </c>
      <c r="H237" s="8">
        <v>55000</v>
      </c>
      <c r="I237" s="8">
        <v>149500</v>
      </c>
      <c r="J237" s="8">
        <v>81200</v>
      </c>
      <c r="K237" s="8">
        <v>217500</v>
      </c>
      <c r="L237" s="7">
        <v>356500</v>
      </c>
      <c r="M237" s="7">
        <v>1154000</v>
      </c>
      <c r="N237" s="7">
        <v>69900</v>
      </c>
      <c r="O237" s="7">
        <v>140500</v>
      </c>
      <c r="P237" s="7">
        <v>99800</v>
      </c>
      <c r="Q237" s="8">
        <v>228500</v>
      </c>
      <c r="R237" s="8">
        <v>201500</v>
      </c>
      <c r="S237" s="8">
        <v>377000</v>
      </c>
      <c r="T237" s="8">
        <v>35100</v>
      </c>
      <c r="U237" s="8">
        <v>94500</v>
      </c>
      <c r="V237" s="7">
        <v>253500</v>
      </c>
      <c r="W237" s="7">
        <v>24619</v>
      </c>
      <c r="X237" s="7">
        <v>275000</v>
      </c>
      <c r="Y237" s="7">
        <v>25550</v>
      </c>
      <c r="Z237" s="7">
        <v>47650</v>
      </c>
      <c r="AA237" s="8">
        <v>135500</v>
      </c>
      <c r="AB237" s="8">
        <v>282000</v>
      </c>
      <c r="AC237" s="8">
        <v>12100</v>
      </c>
      <c r="AD237" s="8">
        <v>174000</v>
      </c>
      <c r="AE237" s="8">
        <v>33400</v>
      </c>
      <c r="AF237" s="7">
        <v>32750</v>
      </c>
      <c r="AG237" s="7">
        <v>93300</v>
      </c>
      <c r="AH237" s="7">
        <v>82900</v>
      </c>
      <c r="AI237" s="7">
        <v>56700</v>
      </c>
      <c r="AJ237" s="7">
        <v>21750</v>
      </c>
      <c r="AK237" s="8">
        <v>24100</v>
      </c>
      <c r="AL237" s="8">
        <v>254000</v>
      </c>
      <c r="AM237" s="8">
        <v>208000</v>
      </c>
      <c r="AN237" s="8">
        <v>24500</v>
      </c>
      <c r="AO237" s="8">
        <v>8390</v>
      </c>
      <c r="AP237" s="7">
        <v>608000</v>
      </c>
      <c r="AQ237" s="7">
        <v>305500</v>
      </c>
      <c r="AR237" s="7">
        <v>11050</v>
      </c>
      <c r="AS237" s="7">
        <v>36800</v>
      </c>
      <c r="AT237" s="7">
        <v>57000</v>
      </c>
      <c r="AU237" s="8">
        <v>202500</v>
      </c>
      <c r="AV237" s="8">
        <v>34100</v>
      </c>
      <c r="AW237" s="8">
        <v>6140</v>
      </c>
      <c r="AX237" s="8">
        <v>143500</v>
      </c>
      <c r="AY237" s="8">
        <v>35300</v>
      </c>
    </row>
    <row r="238" spans="1:51" x14ac:dyDescent="0.4">
      <c r="A238" s="11">
        <v>41107</v>
      </c>
      <c r="B238" s="7">
        <v>73700</v>
      </c>
      <c r="C238" s="7">
        <v>21300</v>
      </c>
      <c r="D238" s="7">
        <v>61800</v>
      </c>
      <c r="E238" s="7">
        <v>216000</v>
      </c>
      <c r="F238" s="7">
        <v>61500</v>
      </c>
      <c r="G238" s="8">
        <v>51000</v>
      </c>
      <c r="H238" s="8">
        <v>55800</v>
      </c>
      <c r="I238" s="8">
        <v>150000</v>
      </c>
      <c r="J238" s="8">
        <v>83400</v>
      </c>
      <c r="K238" s="8">
        <v>223000</v>
      </c>
      <c r="L238" s="7">
        <v>360500</v>
      </c>
      <c r="M238" s="7">
        <v>1168000</v>
      </c>
      <c r="N238" s="7">
        <v>71700</v>
      </c>
      <c r="O238" s="7">
        <v>142000</v>
      </c>
      <c r="P238" s="7">
        <v>102500</v>
      </c>
      <c r="Q238" s="8">
        <v>238500</v>
      </c>
      <c r="R238" s="8">
        <v>204500</v>
      </c>
      <c r="S238" s="8">
        <v>385000</v>
      </c>
      <c r="T238" s="8">
        <v>36900</v>
      </c>
      <c r="U238" s="8">
        <v>95900</v>
      </c>
      <c r="V238" s="7">
        <v>254000</v>
      </c>
      <c r="W238" s="7">
        <v>25062</v>
      </c>
      <c r="X238" s="7">
        <v>280000</v>
      </c>
      <c r="Y238" s="7">
        <v>25300</v>
      </c>
      <c r="Z238" s="7">
        <v>49150</v>
      </c>
      <c r="AA238" s="8">
        <v>133000</v>
      </c>
      <c r="AB238" s="8">
        <v>289500</v>
      </c>
      <c r="AC238" s="8">
        <v>12350</v>
      </c>
      <c r="AD238" s="8">
        <v>176500</v>
      </c>
      <c r="AE238" s="8">
        <v>33500</v>
      </c>
      <c r="AF238" s="7">
        <v>32800</v>
      </c>
      <c r="AG238" s="7">
        <v>93300</v>
      </c>
      <c r="AH238" s="7">
        <v>82500</v>
      </c>
      <c r="AI238" s="7">
        <v>57700</v>
      </c>
      <c r="AJ238" s="7">
        <v>22700</v>
      </c>
      <c r="AK238" s="8">
        <v>24300</v>
      </c>
      <c r="AL238" s="8">
        <v>250500</v>
      </c>
      <c r="AM238" s="8">
        <v>222000</v>
      </c>
      <c r="AN238" s="8">
        <v>25750</v>
      </c>
      <c r="AO238" s="8">
        <v>8640</v>
      </c>
      <c r="AP238" s="7">
        <v>598000</v>
      </c>
      <c r="AQ238" s="7">
        <v>310000</v>
      </c>
      <c r="AR238" s="7">
        <v>11350</v>
      </c>
      <c r="AS238" s="7">
        <v>37600</v>
      </c>
      <c r="AT238" s="7">
        <v>58600</v>
      </c>
      <c r="AU238" s="8">
        <v>212000</v>
      </c>
      <c r="AV238" s="8">
        <v>35050</v>
      </c>
      <c r="AW238" s="8">
        <v>6180</v>
      </c>
      <c r="AX238" s="8">
        <v>147000</v>
      </c>
      <c r="AY238" s="8">
        <v>36100</v>
      </c>
    </row>
    <row r="239" spans="1:51" x14ac:dyDescent="0.4">
      <c r="A239" s="12">
        <v>41106</v>
      </c>
      <c r="B239" s="9">
        <v>74300</v>
      </c>
      <c r="C239" s="9">
        <v>21800</v>
      </c>
      <c r="D239" s="9">
        <v>61800</v>
      </c>
      <c r="E239" s="9">
        <v>212500</v>
      </c>
      <c r="F239" s="9">
        <v>61900</v>
      </c>
      <c r="G239" s="10">
        <v>51400</v>
      </c>
      <c r="H239" s="10">
        <v>54600</v>
      </c>
      <c r="I239" s="10">
        <v>149500</v>
      </c>
      <c r="J239" s="10">
        <v>83100</v>
      </c>
      <c r="K239" s="10">
        <v>228500</v>
      </c>
      <c r="L239" s="9">
        <v>361000</v>
      </c>
      <c r="M239" s="9">
        <v>1152000</v>
      </c>
      <c r="N239" s="9">
        <v>71800</v>
      </c>
      <c r="O239" s="9">
        <v>143000</v>
      </c>
      <c r="P239" s="9">
        <v>104000</v>
      </c>
      <c r="Q239" s="10">
        <v>236500</v>
      </c>
      <c r="R239" s="10">
        <v>212000</v>
      </c>
      <c r="S239" s="10">
        <v>371000</v>
      </c>
      <c r="T239" s="10">
        <v>36300</v>
      </c>
      <c r="U239" s="10">
        <v>93100</v>
      </c>
      <c r="V239" s="9">
        <v>244000</v>
      </c>
      <c r="W239" s="9">
        <v>24668</v>
      </c>
      <c r="X239" s="9">
        <v>277500</v>
      </c>
      <c r="Y239" s="9">
        <v>25200</v>
      </c>
      <c r="Z239" s="9">
        <v>49850</v>
      </c>
      <c r="AA239" s="10">
        <v>133000</v>
      </c>
      <c r="AB239" s="10">
        <v>293000</v>
      </c>
      <c r="AC239" s="10">
        <v>12350</v>
      </c>
      <c r="AD239" s="10">
        <v>176000</v>
      </c>
      <c r="AE239" s="10">
        <v>34250</v>
      </c>
      <c r="AF239" s="9">
        <v>32600</v>
      </c>
      <c r="AG239" s="9">
        <v>93300</v>
      </c>
      <c r="AH239" s="9">
        <v>84200</v>
      </c>
      <c r="AI239" s="9">
        <v>58300</v>
      </c>
      <c r="AJ239" s="9">
        <v>22700</v>
      </c>
      <c r="AK239" s="10">
        <v>24650</v>
      </c>
      <c r="AL239" s="10">
        <v>253000</v>
      </c>
      <c r="AM239" s="10">
        <v>209000</v>
      </c>
      <c r="AN239" s="10">
        <v>25600</v>
      </c>
      <c r="AO239" s="10">
        <v>8580</v>
      </c>
      <c r="AP239" s="9">
        <v>610000</v>
      </c>
      <c r="AQ239" s="9">
        <v>302000</v>
      </c>
      <c r="AR239" s="9">
        <v>11300</v>
      </c>
      <c r="AS239" s="9">
        <v>37150</v>
      </c>
      <c r="AT239" s="9">
        <v>59400</v>
      </c>
      <c r="AU239" s="10">
        <v>212500</v>
      </c>
      <c r="AV239" s="10">
        <v>33900</v>
      </c>
      <c r="AW239" s="10">
        <v>6200</v>
      </c>
      <c r="AX239" s="10">
        <v>143000</v>
      </c>
      <c r="AY239" s="10">
        <v>35650</v>
      </c>
    </row>
    <row r="240" spans="1:51" x14ac:dyDescent="0.4">
      <c r="A240" s="11">
        <v>41103</v>
      </c>
      <c r="B240" s="7">
        <v>74100</v>
      </c>
      <c r="C240" s="7">
        <v>22400</v>
      </c>
      <c r="D240" s="7">
        <v>62600</v>
      </c>
      <c r="E240" s="7">
        <v>215000</v>
      </c>
      <c r="F240" s="7">
        <v>62200</v>
      </c>
      <c r="G240" s="8">
        <v>50300</v>
      </c>
      <c r="H240" s="8">
        <v>54500</v>
      </c>
      <c r="I240" s="8">
        <v>147500</v>
      </c>
      <c r="J240" s="8">
        <v>83000</v>
      </c>
      <c r="K240" s="8">
        <v>226000</v>
      </c>
      <c r="L240" s="7">
        <v>359500</v>
      </c>
      <c r="M240" s="7">
        <v>1139000</v>
      </c>
      <c r="N240" s="7">
        <v>73200</v>
      </c>
      <c r="O240" s="7">
        <v>143000</v>
      </c>
      <c r="P240" s="7">
        <v>102500</v>
      </c>
      <c r="Q240" s="8">
        <v>242500</v>
      </c>
      <c r="R240" s="8">
        <v>213000</v>
      </c>
      <c r="S240" s="8">
        <v>365000</v>
      </c>
      <c r="T240" s="8">
        <v>35950</v>
      </c>
      <c r="U240" s="8">
        <v>92600</v>
      </c>
      <c r="V240" s="7">
        <v>240000</v>
      </c>
      <c r="W240" s="7">
        <v>24619</v>
      </c>
      <c r="X240" s="7">
        <v>271500</v>
      </c>
      <c r="Y240" s="7">
        <v>24950</v>
      </c>
      <c r="Z240" s="7">
        <v>49650</v>
      </c>
      <c r="AA240" s="8">
        <v>136000</v>
      </c>
      <c r="AB240" s="8">
        <v>299000</v>
      </c>
      <c r="AC240" s="8">
        <v>12450</v>
      </c>
      <c r="AD240" s="8">
        <v>176000</v>
      </c>
      <c r="AE240" s="8">
        <v>33500</v>
      </c>
      <c r="AF240" s="7">
        <v>32800</v>
      </c>
      <c r="AG240" s="7">
        <v>93000</v>
      </c>
      <c r="AH240" s="7">
        <v>84500</v>
      </c>
      <c r="AI240" s="7">
        <v>57200</v>
      </c>
      <c r="AJ240" s="7">
        <v>22950</v>
      </c>
      <c r="AK240" s="8">
        <v>24350</v>
      </c>
      <c r="AL240" s="8">
        <v>254000</v>
      </c>
      <c r="AM240" s="8">
        <v>224000</v>
      </c>
      <c r="AN240" s="8">
        <v>25300</v>
      </c>
      <c r="AO240" s="8">
        <v>8610</v>
      </c>
      <c r="AP240" s="7">
        <v>599000</v>
      </c>
      <c r="AQ240" s="7">
        <v>297000</v>
      </c>
      <c r="AR240" s="7">
        <v>11400</v>
      </c>
      <c r="AS240" s="7">
        <v>37200</v>
      </c>
      <c r="AT240" s="7">
        <v>60400</v>
      </c>
      <c r="AU240" s="8">
        <v>212000</v>
      </c>
      <c r="AV240" s="8">
        <v>34300</v>
      </c>
      <c r="AW240" s="8">
        <v>6120</v>
      </c>
      <c r="AX240" s="8">
        <v>143000</v>
      </c>
      <c r="AY240" s="8">
        <v>35850</v>
      </c>
    </row>
    <row r="241" spans="1:51" x14ac:dyDescent="0.4">
      <c r="A241" s="11">
        <v>41102</v>
      </c>
      <c r="B241" s="7">
        <v>72300</v>
      </c>
      <c r="C241" s="7">
        <v>22250</v>
      </c>
      <c r="D241" s="7">
        <v>61500</v>
      </c>
      <c r="E241" s="7">
        <v>214500</v>
      </c>
      <c r="F241" s="7">
        <v>60900</v>
      </c>
      <c r="G241" s="8">
        <v>50300</v>
      </c>
      <c r="H241" s="8">
        <v>53600</v>
      </c>
      <c r="I241" s="8">
        <v>143000</v>
      </c>
      <c r="J241" s="8">
        <v>82700</v>
      </c>
      <c r="K241" s="8">
        <v>218500</v>
      </c>
      <c r="L241" s="7">
        <v>357500</v>
      </c>
      <c r="M241" s="7">
        <v>1091000</v>
      </c>
      <c r="N241" s="7">
        <v>73100</v>
      </c>
      <c r="O241" s="7">
        <v>141000</v>
      </c>
      <c r="P241" s="7">
        <v>100000</v>
      </c>
      <c r="Q241" s="8">
        <v>250000</v>
      </c>
      <c r="R241" s="8">
        <v>211500</v>
      </c>
      <c r="S241" s="8">
        <v>355000</v>
      </c>
      <c r="T241" s="8">
        <v>35950</v>
      </c>
      <c r="U241" s="8">
        <v>91700</v>
      </c>
      <c r="V241" s="7">
        <v>238500</v>
      </c>
      <c r="W241" s="7">
        <v>24274</v>
      </c>
      <c r="X241" s="7">
        <v>268000</v>
      </c>
      <c r="Y241" s="7">
        <v>24900</v>
      </c>
      <c r="Z241" s="7">
        <v>48900</v>
      </c>
      <c r="AA241" s="8">
        <v>133000</v>
      </c>
      <c r="AB241" s="8">
        <v>298000</v>
      </c>
      <c r="AC241" s="8">
        <v>12250</v>
      </c>
      <c r="AD241" s="8">
        <v>171500</v>
      </c>
      <c r="AE241" s="8">
        <v>34500</v>
      </c>
      <c r="AF241" s="7">
        <v>32700</v>
      </c>
      <c r="AG241" s="7">
        <v>92100</v>
      </c>
      <c r="AH241" s="7">
        <v>87200</v>
      </c>
      <c r="AI241" s="7">
        <v>56100</v>
      </c>
      <c r="AJ241" s="7">
        <v>22500</v>
      </c>
      <c r="AK241" s="8">
        <v>24250</v>
      </c>
      <c r="AL241" s="8">
        <v>246500</v>
      </c>
      <c r="AM241" s="8">
        <v>217500</v>
      </c>
      <c r="AN241" s="8">
        <v>25450</v>
      </c>
      <c r="AO241" s="8">
        <v>8580</v>
      </c>
      <c r="AP241" s="7">
        <v>605000</v>
      </c>
      <c r="AQ241" s="7">
        <v>294000</v>
      </c>
      <c r="AR241" s="7">
        <v>11250</v>
      </c>
      <c r="AS241" s="7">
        <v>37000</v>
      </c>
      <c r="AT241" s="7">
        <v>60000</v>
      </c>
      <c r="AU241" s="8">
        <v>204000</v>
      </c>
      <c r="AV241" s="8">
        <v>34300</v>
      </c>
      <c r="AW241" s="8">
        <v>6050</v>
      </c>
      <c r="AX241" s="8">
        <v>138000</v>
      </c>
      <c r="AY241" s="8">
        <v>35850</v>
      </c>
    </row>
    <row r="242" spans="1:51" x14ac:dyDescent="0.4">
      <c r="A242" s="11">
        <v>41101</v>
      </c>
      <c r="B242" s="7">
        <v>73200</v>
      </c>
      <c r="C242" s="7">
        <v>22950</v>
      </c>
      <c r="D242" s="7">
        <v>61800</v>
      </c>
      <c r="E242" s="7">
        <v>222500</v>
      </c>
      <c r="F242" s="7">
        <v>61900</v>
      </c>
      <c r="G242" s="8">
        <v>50800</v>
      </c>
      <c r="H242" s="8">
        <v>55200</v>
      </c>
      <c r="I242" s="8">
        <v>142000</v>
      </c>
      <c r="J242" s="8">
        <v>84300</v>
      </c>
      <c r="K242" s="8">
        <v>225500</v>
      </c>
      <c r="L242" s="7">
        <v>368500</v>
      </c>
      <c r="M242" s="7">
        <v>1118000</v>
      </c>
      <c r="N242" s="7">
        <v>74300</v>
      </c>
      <c r="O242" s="7">
        <v>141500</v>
      </c>
      <c r="P242" s="7">
        <v>100000</v>
      </c>
      <c r="Q242" s="8">
        <v>254500</v>
      </c>
      <c r="R242" s="8">
        <v>217000</v>
      </c>
      <c r="S242" s="8">
        <v>363500</v>
      </c>
      <c r="T242" s="8">
        <v>37000</v>
      </c>
      <c r="U242" s="8">
        <v>93800</v>
      </c>
      <c r="V242" s="7">
        <v>243500</v>
      </c>
      <c r="W242" s="7">
        <v>25407</v>
      </c>
      <c r="X242" s="7">
        <v>274000</v>
      </c>
      <c r="Y242" s="7">
        <v>25350</v>
      </c>
      <c r="Z242" s="7">
        <v>49850</v>
      </c>
      <c r="AA242" s="8">
        <v>136500</v>
      </c>
      <c r="AB242" s="8">
        <v>312000</v>
      </c>
      <c r="AC242" s="8">
        <v>12350</v>
      </c>
      <c r="AD242" s="8">
        <v>177000</v>
      </c>
      <c r="AE242" s="8">
        <v>34100</v>
      </c>
      <c r="AF242" s="7">
        <v>32700</v>
      </c>
      <c r="AG242" s="7">
        <v>94600</v>
      </c>
      <c r="AH242" s="7">
        <v>84000</v>
      </c>
      <c r="AI242" s="7">
        <v>58400</v>
      </c>
      <c r="AJ242" s="7">
        <v>22600</v>
      </c>
      <c r="AK242" s="8">
        <v>24450</v>
      </c>
      <c r="AL242" s="8">
        <v>253500</v>
      </c>
      <c r="AM242" s="8">
        <v>237500</v>
      </c>
      <c r="AN242" s="8">
        <v>25900</v>
      </c>
      <c r="AO242" s="8">
        <v>8830</v>
      </c>
      <c r="AP242" s="7">
        <v>625000</v>
      </c>
      <c r="AQ242" s="7">
        <v>304500</v>
      </c>
      <c r="AR242" s="7">
        <v>11600</v>
      </c>
      <c r="AS242" s="7">
        <v>38250</v>
      </c>
      <c r="AT242" s="7">
        <v>60100</v>
      </c>
      <c r="AU242" s="8">
        <v>214500</v>
      </c>
      <c r="AV242" s="8">
        <v>35600</v>
      </c>
      <c r="AW242" s="8">
        <v>6380</v>
      </c>
      <c r="AX242" s="8">
        <v>142000</v>
      </c>
      <c r="AY242" s="8">
        <v>36650</v>
      </c>
    </row>
    <row r="243" spans="1:51" x14ac:dyDescent="0.4">
      <c r="A243" s="11">
        <v>41100</v>
      </c>
      <c r="B243" s="7">
        <v>73100</v>
      </c>
      <c r="C243" s="7">
        <v>23700</v>
      </c>
      <c r="D243" s="7">
        <v>62500</v>
      </c>
      <c r="E243" s="7">
        <v>223000</v>
      </c>
      <c r="F243" s="7">
        <v>62500</v>
      </c>
      <c r="G243" s="8">
        <v>51400</v>
      </c>
      <c r="H243" s="8">
        <v>55000</v>
      </c>
      <c r="I243" s="8">
        <v>138000</v>
      </c>
      <c r="J243" s="8">
        <v>84400</v>
      </c>
      <c r="K243" s="8">
        <v>228000</v>
      </c>
      <c r="L243" s="7">
        <v>372500</v>
      </c>
      <c r="M243" s="7">
        <v>1127000</v>
      </c>
      <c r="N243" s="7">
        <v>75800</v>
      </c>
      <c r="O243" s="7">
        <v>140000</v>
      </c>
      <c r="P243" s="7">
        <v>100000</v>
      </c>
      <c r="Q243" s="8">
        <v>261000</v>
      </c>
      <c r="R243" s="8">
        <v>216500</v>
      </c>
      <c r="S243" s="8">
        <v>368000</v>
      </c>
      <c r="T243" s="8">
        <v>37800</v>
      </c>
      <c r="U243" s="8">
        <v>94500</v>
      </c>
      <c r="V243" s="7">
        <v>241000</v>
      </c>
      <c r="W243" s="7">
        <v>25210</v>
      </c>
      <c r="X243" s="7">
        <v>269000</v>
      </c>
      <c r="Y243" s="7">
        <v>25500</v>
      </c>
      <c r="Z243" s="7">
        <v>49800</v>
      </c>
      <c r="AA243" s="8">
        <v>133000</v>
      </c>
      <c r="AB243" s="8">
        <v>314000</v>
      </c>
      <c r="AC243" s="8">
        <v>12300</v>
      </c>
      <c r="AD243" s="8">
        <v>178000</v>
      </c>
      <c r="AE243" s="8">
        <v>33550</v>
      </c>
      <c r="AF243" s="7">
        <v>32250</v>
      </c>
      <c r="AG243" s="7">
        <v>93600</v>
      </c>
      <c r="AH243" s="7">
        <v>83900</v>
      </c>
      <c r="AI243" s="7">
        <v>59700</v>
      </c>
      <c r="AJ243" s="7">
        <v>22800</v>
      </c>
      <c r="AK243" s="8">
        <v>24600</v>
      </c>
      <c r="AL243" s="8">
        <v>254000</v>
      </c>
      <c r="AM243" s="8">
        <v>246000</v>
      </c>
      <c r="AN243" s="8">
        <v>26700</v>
      </c>
      <c r="AO243" s="8">
        <v>8780</v>
      </c>
      <c r="AP243" s="7">
        <v>612000</v>
      </c>
      <c r="AQ243" s="7">
        <v>301000</v>
      </c>
      <c r="AR243" s="7">
        <v>11700</v>
      </c>
      <c r="AS243" s="7">
        <v>38000</v>
      </c>
      <c r="AT243" s="7">
        <v>60800</v>
      </c>
      <c r="AU243" s="8">
        <v>213000</v>
      </c>
      <c r="AV243" s="8">
        <v>35300</v>
      </c>
      <c r="AW243" s="8">
        <v>6390</v>
      </c>
      <c r="AX243" s="8">
        <v>140500</v>
      </c>
      <c r="AY243" s="8">
        <v>36800</v>
      </c>
    </row>
    <row r="244" spans="1:51" x14ac:dyDescent="0.4">
      <c r="A244" s="12">
        <v>41099</v>
      </c>
      <c r="B244" s="9">
        <v>72500</v>
      </c>
      <c r="C244" s="9">
        <v>23700</v>
      </c>
      <c r="D244" s="9">
        <v>62300</v>
      </c>
      <c r="E244" s="9">
        <v>222000</v>
      </c>
      <c r="F244" s="9">
        <v>62900</v>
      </c>
      <c r="G244" s="10">
        <v>51400</v>
      </c>
      <c r="H244" s="10">
        <v>55700</v>
      </c>
      <c r="I244" s="10">
        <v>140000</v>
      </c>
      <c r="J244" s="10">
        <v>86200</v>
      </c>
      <c r="K244" s="10">
        <v>228500</v>
      </c>
      <c r="L244" s="9">
        <v>374000</v>
      </c>
      <c r="M244" s="9">
        <v>1126000</v>
      </c>
      <c r="N244" s="9">
        <v>77000</v>
      </c>
      <c r="O244" s="9">
        <v>141500</v>
      </c>
      <c r="P244" s="9">
        <v>99400</v>
      </c>
      <c r="Q244" s="10">
        <v>262000</v>
      </c>
      <c r="R244" s="10">
        <v>229500</v>
      </c>
      <c r="S244" s="10">
        <v>375000</v>
      </c>
      <c r="T244" s="10">
        <v>37750</v>
      </c>
      <c r="U244" s="10">
        <v>94700</v>
      </c>
      <c r="V244" s="9">
        <v>245000</v>
      </c>
      <c r="W244" s="9">
        <v>25407</v>
      </c>
      <c r="X244" s="9">
        <v>269000</v>
      </c>
      <c r="Y244" s="9">
        <v>25500</v>
      </c>
      <c r="Z244" s="9">
        <v>50500</v>
      </c>
      <c r="AA244" s="10">
        <v>131500</v>
      </c>
      <c r="AB244" s="10">
        <v>313000</v>
      </c>
      <c r="AC244" s="10">
        <v>12450</v>
      </c>
      <c r="AD244" s="10">
        <v>178000</v>
      </c>
      <c r="AE244" s="10">
        <v>34700</v>
      </c>
      <c r="AF244" s="9">
        <v>31250</v>
      </c>
      <c r="AG244" s="9">
        <v>93500</v>
      </c>
      <c r="AH244" s="9">
        <v>81400</v>
      </c>
      <c r="AI244" s="9">
        <v>59300</v>
      </c>
      <c r="AJ244" s="9">
        <v>23100</v>
      </c>
      <c r="AK244" s="10">
        <v>24700</v>
      </c>
      <c r="AL244" s="10">
        <v>263500</v>
      </c>
      <c r="AM244" s="10">
        <v>243500</v>
      </c>
      <c r="AN244" s="10">
        <v>26450</v>
      </c>
      <c r="AO244" s="10">
        <v>8770</v>
      </c>
      <c r="AP244" s="9">
        <v>623000</v>
      </c>
      <c r="AQ244" s="9">
        <v>307000</v>
      </c>
      <c r="AR244" s="9">
        <v>11850</v>
      </c>
      <c r="AS244" s="9">
        <v>38500</v>
      </c>
      <c r="AT244" s="9">
        <v>61100</v>
      </c>
      <c r="AU244" s="10">
        <v>211000</v>
      </c>
      <c r="AV244" s="10">
        <v>35850</v>
      </c>
      <c r="AW244" s="10">
        <v>6500</v>
      </c>
      <c r="AX244" s="10">
        <v>142000</v>
      </c>
      <c r="AY244" s="10">
        <v>36900</v>
      </c>
    </row>
    <row r="245" spans="1:51" x14ac:dyDescent="0.4">
      <c r="A245" s="11">
        <v>41096</v>
      </c>
      <c r="B245" s="7">
        <v>73700</v>
      </c>
      <c r="C245" s="7">
        <v>24000</v>
      </c>
      <c r="D245" s="7">
        <v>66600</v>
      </c>
      <c r="E245" s="7">
        <v>220500</v>
      </c>
      <c r="F245" s="7">
        <v>64800</v>
      </c>
      <c r="G245" s="8">
        <v>51700</v>
      </c>
      <c r="H245" s="8">
        <v>57100</v>
      </c>
      <c r="I245" s="8">
        <v>137000</v>
      </c>
      <c r="J245" s="8">
        <v>87500</v>
      </c>
      <c r="K245" s="8">
        <v>230000</v>
      </c>
      <c r="L245" s="7">
        <v>375000</v>
      </c>
      <c r="M245" s="7">
        <v>1161000</v>
      </c>
      <c r="N245" s="7">
        <v>78700</v>
      </c>
      <c r="O245" s="7">
        <v>144000</v>
      </c>
      <c r="P245" s="7">
        <v>100000</v>
      </c>
      <c r="Q245" s="8">
        <v>266000</v>
      </c>
      <c r="R245" s="8">
        <v>228500</v>
      </c>
      <c r="S245" s="8">
        <v>375000</v>
      </c>
      <c r="T245" s="8">
        <v>38450</v>
      </c>
      <c r="U245" s="8">
        <v>95400</v>
      </c>
      <c r="V245" s="7">
        <v>253000</v>
      </c>
      <c r="W245" s="7">
        <v>25407</v>
      </c>
      <c r="X245" s="7">
        <v>273000</v>
      </c>
      <c r="Y245" s="7">
        <v>25300</v>
      </c>
      <c r="Z245" s="7">
        <v>50700</v>
      </c>
      <c r="AA245" s="8">
        <v>127000</v>
      </c>
      <c r="AB245" s="8">
        <v>318500</v>
      </c>
      <c r="AC245" s="8">
        <v>12500</v>
      </c>
      <c r="AD245" s="8">
        <v>182500</v>
      </c>
      <c r="AE245" s="8">
        <v>35700</v>
      </c>
      <c r="AF245" s="7">
        <v>30750</v>
      </c>
      <c r="AG245" s="7">
        <v>92800</v>
      </c>
      <c r="AH245" s="7">
        <v>80300</v>
      </c>
      <c r="AI245" s="7">
        <v>59900</v>
      </c>
      <c r="AJ245" s="7">
        <v>23650</v>
      </c>
      <c r="AK245" s="8">
        <v>24450</v>
      </c>
      <c r="AL245" s="8">
        <v>257500</v>
      </c>
      <c r="AM245" s="8">
        <v>257000</v>
      </c>
      <c r="AN245" s="8">
        <v>27800</v>
      </c>
      <c r="AO245" s="8">
        <v>8840</v>
      </c>
      <c r="AP245" s="7">
        <v>623000</v>
      </c>
      <c r="AQ245" s="7">
        <v>313500</v>
      </c>
      <c r="AR245" s="7">
        <v>12000</v>
      </c>
      <c r="AS245" s="7">
        <v>39100</v>
      </c>
      <c r="AT245" s="7">
        <v>61700</v>
      </c>
      <c r="AU245" s="8">
        <v>210000</v>
      </c>
      <c r="AV245" s="8">
        <v>37050</v>
      </c>
      <c r="AW245" s="8">
        <v>6400</v>
      </c>
      <c r="AX245" s="8">
        <v>147000</v>
      </c>
      <c r="AY245" s="8">
        <v>37400</v>
      </c>
    </row>
    <row r="246" spans="1:51" x14ac:dyDescent="0.4">
      <c r="A246" s="11">
        <v>41095</v>
      </c>
      <c r="B246" s="7">
        <v>74100</v>
      </c>
      <c r="C246" s="7">
        <v>23800</v>
      </c>
      <c r="D246" s="7">
        <v>67400</v>
      </c>
      <c r="E246" s="7">
        <v>221500</v>
      </c>
      <c r="F246" s="7">
        <v>66100</v>
      </c>
      <c r="G246" s="8">
        <v>51600</v>
      </c>
      <c r="H246" s="8">
        <v>57500</v>
      </c>
      <c r="I246" s="8">
        <v>139000</v>
      </c>
      <c r="J246" s="8">
        <v>88000</v>
      </c>
      <c r="K246" s="8">
        <v>233500</v>
      </c>
      <c r="L246" s="7">
        <v>375000</v>
      </c>
      <c r="M246" s="7">
        <v>1185000</v>
      </c>
      <c r="N246" s="7">
        <v>80200</v>
      </c>
      <c r="O246" s="7">
        <v>147500</v>
      </c>
      <c r="P246" s="7">
        <v>102500</v>
      </c>
      <c r="Q246" s="8">
        <v>269000</v>
      </c>
      <c r="R246" s="8">
        <v>231000</v>
      </c>
      <c r="S246" s="8">
        <v>385500</v>
      </c>
      <c r="T246" s="8">
        <v>38950</v>
      </c>
      <c r="U246" s="8">
        <v>95500</v>
      </c>
      <c r="V246" s="7">
        <v>252500</v>
      </c>
      <c r="W246" s="7">
        <v>25407</v>
      </c>
      <c r="X246" s="7">
        <v>274000</v>
      </c>
      <c r="Y246" s="7">
        <v>25600</v>
      </c>
      <c r="Z246" s="7">
        <v>50600</v>
      </c>
      <c r="AA246" s="8">
        <v>128500</v>
      </c>
      <c r="AB246" s="8">
        <v>323000</v>
      </c>
      <c r="AC246" s="8">
        <v>12750</v>
      </c>
      <c r="AD246" s="8">
        <v>189000</v>
      </c>
      <c r="AE246" s="8">
        <v>34800</v>
      </c>
      <c r="AF246" s="7">
        <v>30950</v>
      </c>
      <c r="AG246" s="7">
        <v>93300</v>
      </c>
      <c r="AH246" s="7">
        <v>79800</v>
      </c>
      <c r="AI246" s="7">
        <v>60600</v>
      </c>
      <c r="AJ246" s="7">
        <v>23300</v>
      </c>
      <c r="AK246" s="8">
        <v>24450</v>
      </c>
      <c r="AL246" s="8">
        <v>261000</v>
      </c>
      <c r="AM246" s="8">
        <v>272500</v>
      </c>
      <c r="AN246" s="8">
        <v>28300</v>
      </c>
      <c r="AO246" s="8">
        <v>8930</v>
      </c>
      <c r="AP246" s="7">
        <v>621000</v>
      </c>
      <c r="AQ246" s="7">
        <v>313500</v>
      </c>
      <c r="AR246" s="7">
        <v>12150</v>
      </c>
      <c r="AS246" s="7">
        <v>39300</v>
      </c>
      <c r="AT246" s="7">
        <v>62700</v>
      </c>
      <c r="AU246" s="8">
        <v>214000</v>
      </c>
      <c r="AV246" s="8">
        <v>37200</v>
      </c>
      <c r="AW246" s="8">
        <v>6460</v>
      </c>
      <c r="AX246" s="8">
        <v>147500</v>
      </c>
      <c r="AY246" s="8">
        <v>37550</v>
      </c>
    </row>
    <row r="247" spans="1:51" x14ac:dyDescent="0.4">
      <c r="A247" s="11">
        <v>41094</v>
      </c>
      <c r="B247" s="7">
        <v>74500</v>
      </c>
      <c r="C247" s="7">
        <v>24050</v>
      </c>
      <c r="D247" s="7">
        <v>66300</v>
      </c>
      <c r="E247" s="7">
        <v>220000</v>
      </c>
      <c r="F247" s="7">
        <v>66000</v>
      </c>
      <c r="G247" s="8">
        <v>51600</v>
      </c>
      <c r="H247" s="8">
        <v>56200</v>
      </c>
      <c r="I247" s="8">
        <v>138000</v>
      </c>
      <c r="J247" s="8">
        <v>88300</v>
      </c>
      <c r="K247" s="8">
        <v>235500</v>
      </c>
      <c r="L247" s="7">
        <v>377000</v>
      </c>
      <c r="M247" s="7">
        <v>1191000</v>
      </c>
      <c r="N247" s="7">
        <v>79100</v>
      </c>
      <c r="O247" s="7">
        <v>149500</v>
      </c>
      <c r="P247" s="7">
        <v>104000</v>
      </c>
      <c r="Q247" s="8">
        <v>268000</v>
      </c>
      <c r="R247" s="8">
        <v>231000</v>
      </c>
      <c r="S247" s="8">
        <v>383000</v>
      </c>
      <c r="T247" s="8">
        <v>38350</v>
      </c>
      <c r="U247" s="8">
        <v>94800</v>
      </c>
      <c r="V247" s="7">
        <v>246500</v>
      </c>
      <c r="W247" s="7">
        <v>25407</v>
      </c>
      <c r="X247" s="7">
        <v>275000</v>
      </c>
      <c r="Y247" s="7">
        <v>26150</v>
      </c>
      <c r="Z247" s="7">
        <v>49400</v>
      </c>
      <c r="AA247" s="8">
        <v>131000</v>
      </c>
      <c r="AB247" s="8">
        <v>315500</v>
      </c>
      <c r="AC247" s="8">
        <v>12700</v>
      </c>
      <c r="AD247" s="8">
        <v>188500</v>
      </c>
      <c r="AE247" s="8">
        <v>35250</v>
      </c>
      <c r="AF247" s="7">
        <v>31200</v>
      </c>
      <c r="AG247" s="7">
        <v>92300</v>
      </c>
      <c r="AH247" s="7">
        <v>78700</v>
      </c>
      <c r="AI247" s="7">
        <v>60200</v>
      </c>
      <c r="AJ247" s="7">
        <v>23000</v>
      </c>
      <c r="AK247" s="8">
        <v>24550</v>
      </c>
      <c r="AL247" s="8">
        <v>257500</v>
      </c>
      <c r="AM247" s="8">
        <v>274000</v>
      </c>
      <c r="AN247" s="8">
        <v>27950</v>
      </c>
      <c r="AO247" s="8">
        <v>8840</v>
      </c>
      <c r="AP247" s="7">
        <v>615000</v>
      </c>
      <c r="AQ247" s="7">
        <v>302500</v>
      </c>
      <c r="AR247" s="7">
        <v>12300</v>
      </c>
      <c r="AS247" s="7">
        <v>40200</v>
      </c>
      <c r="AT247" s="7">
        <v>62500</v>
      </c>
      <c r="AU247" s="8">
        <v>213000</v>
      </c>
      <c r="AV247" s="8">
        <v>37600</v>
      </c>
      <c r="AW247" s="8">
        <v>6400</v>
      </c>
      <c r="AX247" s="8">
        <v>147500</v>
      </c>
      <c r="AY247" s="8">
        <v>37950</v>
      </c>
    </row>
    <row r="248" spans="1:51" x14ac:dyDescent="0.4">
      <c r="A248" s="11">
        <v>41093</v>
      </c>
      <c r="B248" s="7">
        <v>73500</v>
      </c>
      <c r="C248" s="7">
        <v>24300</v>
      </c>
      <c r="D248" s="7">
        <v>66600</v>
      </c>
      <c r="E248" s="7">
        <v>220500</v>
      </c>
      <c r="F248" s="7">
        <v>65800</v>
      </c>
      <c r="G248" s="8">
        <v>51300</v>
      </c>
      <c r="H248" s="8">
        <v>56600</v>
      </c>
      <c r="I248" s="8">
        <v>137500</v>
      </c>
      <c r="J248" s="8">
        <v>88500</v>
      </c>
      <c r="K248" s="8">
        <v>231500</v>
      </c>
      <c r="L248" s="7">
        <v>373000</v>
      </c>
      <c r="M248" s="7">
        <v>1175000</v>
      </c>
      <c r="N248" s="7">
        <v>78900</v>
      </c>
      <c r="O248" s="7">
        <v>148000</v>
      </c>
      <c r="P248" s="7">
        <v>102000</v>
      </c>
      <c r="Q248" s="8">
        <v>269000</v>
      </c>
      <c r="R248" s="8">
        <v>233000</v>
      </c>
      <c r="S248" s="8">
        <v>383000</v>
      </c>
      <c r="T248" s="8">
        <v>39100</v>
      </c>
      <c r="U248" s="8">
        <v>94900</v>
      </c>
      <c r="V248" s="7">
        <v>250500</v>
      </c>
      <c r="W248" s="7">
        <v>25259</v>
      </c>
      <c r="X248" s="7">
        <v>275000</v>
      </c>
      <c r="Y248" s="7">
        <v>26350</v>
      </c>
      <c r="Z248" s="7">
        <v>49600</v>
      </c>
      <c r="AA248" s="8">
        <v>129500</v>
      </c>
      <c r="AB248" s="8">
        <v>310000</v>
      </c>
      <c r="AC248" s="8">
        <v>12850</v>
      </c>
      <c r="AD248" s="8">
        <v>185500</v>
      </c>
      <c r="AE248" s="8">
        <v>33100</v>
      </c>
      <c r="AF248" s="7">
        <v>31150</v>
      </c>
      <c r="AG248" s="7">
        <v>92800</v>
      </c>
      <c r="AH248" s="7">
        <v>80800</v>
      </c>
      <c r="AI248" s="7">
        <v>60300</v>
      </c>
      <c r="AJ248" s="7">
        <v>22400</v>
      </c>
      <c r="AK248" s="8">
        <v>24700</v>
      </c>
      <c r="AL248" s="8">
        <v>247000</v>
      </c>
      <c r="AM248" s="8">
        <v>279000</v>
      </c>
      <c r="AN248" s="8">
        <v>28050</v>
      </c>
      <c r="AO248" s="8">
        <v>8930</v>
      </c>
      <c r="AP248" s="7">
        <v>619000</v>
      </c>
      <c r="AQ248" s="7">
        <v>305500</v>
      </c>
      <c r="AR248" s="7">
        <v>12350</v>
      </c>
      <c r="AS248" s="7">
        <v>40900</v>
      </c>
      <c r="AT248" s="7">
        <v>63200</v>
      </c>
      <c r="AU248" s="8">
        <v>208500</v>
      </c>
      <c r="AV248" s="8">
        <v>37450</v>
      </c>
      <c r="AW248" s="8">
        <v>6480</v>
      </c>
      <c r="AX248" s="8">
        <v>148000</v>
      </c>
      <c r="AY248" s="8">
        <v>38200</v>
      </c>
    </row>
    <row r="249" spans="1:51" x14ac:dyDescent="0.4">
      <c r="A249" s="12">
        <v>41092</v>
      </c>
      <c r="B249" s="9">
        <v>75300</v>
      </c>
      <c r="C249" s="9">
        <v>23700</v>
      </c>
      <c r="D249" s="9">
        <v>65000</v>
      </c>
      <c r="E249" s="9">
        <v>227000</v>
      </c>
      <c r="F249" s="9">
        <v>65000</v>
      </c>
      <c r="G249" s="10">
        <v>49700</v>
      </c>
      <c r="H249" s="10">
        <v>55100</v>
      </c>
      <c r="I249" s="10">
        <v>134500</v>
      </c>
      <c r="J249" s="10">
        <v>85200</v>
      </c>
      <c r="K249" s="10">
        <v>235500</v>
      </c>
      <c r="L249" s="9">
        <v>366000</v>
      </c>
      <c r="M249" s="9">
        <v>1174000</v>
      </c>
      <c r="N249" s="9">
        <v>76500</v>
      </c>
      <c r="O249" s="9">
        <v>150000</v>
      </c>
      <c r="P249" s="9">
        <v>104500</v>
      </c>
      <c r="Q249" s="10">
        <v>256500</v>
      </c>
      <c r="R249" s="10">
        <v>226000</v>
      </c>
      <c r="S249" s="10">
        <v>380500</v>
      </c>
      <c r="T249" s="10">
        <v>38150</v>
      </c>
      <c r="U249" s="10">
        <v>93100</v>
      </c>
      <c r="V249" s="9">
        <v>238500</v>
      </c>
      <c r="W249" s="9">
        <v>25407</v>
      </c>
      <c r="X249" s="9">
        <v>277500</v>
      </c>
      <c r="Y249" s="9">
        <v>25700</v>
      </c>
      <c r="Z249" s="9">
        <v>49200</v>
      </c>
      <c r="AA249" s="10">
        <v>125000</v>
      </c>
      <c r="AB249" s="10">
        <v>312000</v>
      </c>
      <c r="AC249" s="10">
        <v>12700</v>
      </c>
      <c r="AD249" s="10">
        <v>181000</v>
      </c>
      <c r="AE249" s="10">
        <v>32000</v>
      </c>
      <c r="AF249" s="9">
        <v>30650</v>
      </c>
      <c r="AG249" s="9">
        <v>92500</v>
      </c>
      <c r="AH249" s="9">
        <v>81000</v>
      </c>
      <c r="AI249" s="9">
        <v>58300</v>
      </c>
      <c r="AJ249" s="9">
        <v>21600</v>
      </c>
      <c r="AK249" s="10">
        <v>24300</v>
      </c>
      <c r="AL249" s="10">
        <v>244000</v>
      </c>
      <c r="AM249" s="10">
        <v>271500</v>
      </c>
      <c r="AN249" s="10">
        <v>26450</v>
      </c>
      <c r="AO249" s="10">
        <v>8750</v>
      </c>
      <c r="AP249" s="9">
        <v>613000</v>
      </c>
      <c r="AQ249" s="9">
        <v>291000</v>
      </c>
      <c r="AR249" s="9">
        <v>12250</v>
      </c>
      <c r="AS249" s="9">
        <v>40150</v>
      </c>
      <c r="AT249" s="9">
        <v>61000</v>
      </c>
      <c r="AU249" s="10">
        <v>219000</v>
      </c>
      <c r="AV249" s="10">
        <v>36550</v>
      </c>
      <c r="AW249" s="10">
        <v>6520</v>
      </c>
      <c r="AX249" s="10">
        <v>141500</v>
      </c>
      <c r="AY249" s="10">
        <v>36850</v>
      </c>
    </row>
    <row r="250" spans="1:51" x14ac:dyDescent="0.4">
      <c r="A250" s="11">
        <v>41089</v>
      </c>
      <c r="B250" s="7">
        <v>74700</v>
      </c>
      <c r="C250" s="7">
        <v>23850</v>
      </c>
      <c r="D250" s="7">
        <v>65000</v>
      </c>
      <c r="E250" s="7">
        <v>226000</v>
      </c>
      <c r="F250" s="7">
        <v>65400</v>
      </c>
      <c r="G250" s="8">
        <v>50300</v>
      </c>
      <c r="H250" s="8">
        <v>55000</v>
      </c>
      <c r="I250" s="8">
        <v>132500</v>
      </c>
      <c r="J250" s="8">
        <v>84000</v>
      </c>
      <c r="K250" s="8">
        <v>232500</v>
      </c>
      <c r="L250" s="7">
        <v>363500</v>
      </c>
      <c r="M250" s="7">
        <v>1201000</v>
      </c>
      <c r="N250" s="7">
        <v>76300</v>
      </c>
      <c r="O250" s="7">
        <v>151500</v>
      </c>
      <c r="P250" s="7">
        <v>106000</v>
      </c>
      <c r="Q250" s="8">
        <v>257500</v>
      </c>
      <c r="R250" s="8">
        <v>225500</v>
      </c>
      <c r="S250" s="8">
        <v>385000</v>
      </c>
      <c r="T250" s="8">
        <v>37300</v>
      </c>
      <c r="U250" s="8">
        <v>90800</v>
      </c>
      <c r="V250" s="7">
        <v>236500</v>
      </c>
      <c r="W250" s="7">
        <v>24668</v>
      </c>
      <c r="X250" s="7">
        <v>274500</v>
      </c>
      <c r="Y250" s="7">
        <v>25650</v>
      </c>
      <c r="Z250" s="7">
        <v>48950</v>
      </c>
      <c r="AA250" s="8">
        <v>125000</v>
      </c>
      <c r="AB250" s="8">
        <v>311500</v>
      </c>
      <c r="AC250" s="8">
        <v>12750</v>
      </c>
      <c r="AD250" s="8">
        <v>179500</v>
      </c>
      <c r="AE250" s="8">
        <v>31900</v>
      </c>
      <c r="AF250" s="7">
        <v>30350</v>
      </c>
      <c r="AG250" s="7">
        <v>93100</v>
      </c>
      <c r="AH250" s="7">
        <v>81200</v>
      </c>
      <c r="AI250" s="7">
        <v>57500</v>
      </c>
      <c r="AJ250" s="7">
        <v>21350</v>
      </c>
      <c r="AK250" s="8">
        <v>24350</v>
      </c>
      <c r="AL250" s="8">
        <v>250000</v>
      </c>
      <c r="AM250" s="8">
        <v>273000</v>
      </c>
      <c r="AN250" s="8">
        <v>26200</v>
      </c>
      <c r="AO250" s="8">
        <v>8760</v>
      </c>
      <c r="AP250" s="7">
        <v>617000</v>
      </c>
      <c r="AQ250" s="7">
        <v>292000</v>
      </c>
      <c r="AR250" s="7">
        <v>12450</v>
      </c>
      <c r="AS250" s="7">
        <v>39700</v>
      </c>
      <c r="AT250" s="7">
        <v>61000</v>
      </c>
      <c r="AU250" s="8">
        <v>217500</v>
      </c>
      <c r="AV250" s="8">
        <v>36200</v>
      </c>
      <c r="AW250" s="8">
        <v>6430</v>
      </c>
      <c r="AX250" s="8">
        <v>138000</v>
      </c>
      <c r="AY250" s="8">
        <v>36900</v>
      </c>
    </row>
    <row r="251" spans="1:51" x14ac:dyDescent="0.4">
      <c r="A251" s="11">
        <v>41088</v>
      </c>
      <c r="B251" s="7">
        <v>74300</v>
      </c>
      <c r="C251" s="7">
        <v>23300</v>
      </c>
      <c r="D251" s="7">
        <v>61600</v>
      </c>
      <c r="E251" s="7">
        <v>216000</v>
      </c>
      <c r="F251" s="7">
        <v>63700</v>
      </c>
      <c r="G251" s="8">
        <v>50300</v>
      </c>
      <c r="H251" s="8">
        <v>53700</v>
      </c>
      <c r="I251" s="8">
        <v>128500</v>
      </c>
      <c r="J251" s="8">
        <v>83000</v>
      </c>
      <c r="K251" s="8">
        <v>234000</v>
      </c>
      <c r="L251" s="7">
        <v>358000</v>
      </c>
      <c r="M251" s="7">
        <v>1168000</v>
      </c>
      <c r="N251" s="7">
        <v>73500</v>
      </c>
      <c r="O251" s="7">
        <v>149000</v>
      </c>
      <c r="P251" s="7">
        <v>102500</v>
      </c>
      <c r="Q251" s="8">
        <v>255000</v>
      </c>
      <c r="R251" s="8">
        <v>221500</v>
      </c>
      <c r="S251" s="8">
        <v>374500</v>
      </c>
      <c r="T251" s="8">
        <v>35800</v>
      </c>
      <c r="U251" s="8">
        <v>89200</v>
      </c>
      <c r="V251" s="7">
        <v>230500</v>
      </c>
      <c r="W251" s="7">
        <v>24570</v>
      </c>
      <c r="X251" s="7">
        <v>273500</v>
      </c>
      <c r="Y251" s="7">
        <v>25500</v>
      </c>
      <c r="Z251" s="7">
        <v>48000</v>
      </c>
      <c r="AA251" s="8">
        <v>123500</v>
      </c>
      <c r="AB251" s="8">
        <v>304000</v>
      </c>
      <c r="AC251" s="8">
        <v>12400</v>
      </c>
      <c r="AD251" s="8">
        <v>177000</v>
      </c>
      <c r="AE251" s="8">
        <v>30150</v>
      </c>
      <c r="AF251" s="7">
        <v>29550</v>
      </c>
      <c r="AG251" s="7">
        <v>91400</v>
      </c>
      <c r="AH251" s="7">
        <v>78600</v>
      </c>
      <c r="AI251" s="7">
        <v>55800</v>
      </c>
      <c r="AJ251" s="7">
        <v>21150</v>
      </c>
      <c r="AK251" s="8">
        <v>24150</v>
      </c>
      <c r="AL251" s="8">
        <v>245000</v>
      </c>
      <c r="AM251" s="8">
        <v>264000</v>
      </c>
      <c r="AN251" s="8">
        <v>25700</v>
      </c>
      <c r="AO251" s="8">
        <v>8480</v>
      </c>
      <c r="AP251" s="7">
        <v>610000</v>
      </c>
      <c r="AQ251" s="7">
        <v>290000</v>
      </c>
      <c r="AR251" s="7">
        <v>11850</v>
      </c>
      <c r="AS251" s="7">
        <v>38100</v>
      </c>
      <c r="AT251" s="7">
        <v>60300</v>
      </c>
      <c r="AU251" s="8">
        <v>219500</v>
      </c>
      <c r="AV251" s="8">
        <v>35200</v>
      </c>
      <c r="AW251" s="8">
        <v>6320</v>
      </c>
      <c r="AX251" s="8">
        <v>131500</v>
      </c>
      <c r="AY251" s="8">
        <v>35800</v>
      </c>
    </row>
    <row r="252" spans="1:51" x14ac:dyDescent="0.4">
      <c r="A252" s="11">
        <v>41087</v>
      </c>
      <c r="B252" s="7">
        <v>73600</v>
      </c>
      <c r="C252" s="7">
        <v>22800</v>
      </c>
      <c r="D252" s="7">
        <v>62800</v>
      </c>
      <c r="E252" s="7">
        <v>213000</v>
      </c>
      <c r="F252" s="7">
        <v>63800</v>
      </c>
      <c r="G252" s="8">
        <v>49850</v>
      </c>
      <c r="H252" s="8">
        <v>53400</v>
      </c>
      <c r="I252" s="8">
        <v>129000</v>
      </c>
      <c r="J252" s="8">
        <v>83600</v>
      </c>
      <c r="K252" s="8">
        <v>231000</v>
      </c>
      <c r="L252" s="7">
        <v>359000</v>
      </c>
      <c r="M252" s="7">
        <v>1167000</v>
      </c>
      <c r="N252" s="7">
        <v>74800</v>
      </c>
      <c r="O252" s="7">
        <v>148000</v>
      </c>
      <c r="P252" s="7">
        <v>102500</v>
      </c>
      <c r="Q252" s="8">
        <v>256500</v>
      </c>
      <c r="R252" s="8">
        <v>215500</v>
      </c>
      <c r="S252" s="8">
        <v>366500</v>
      </c>
      <c r="T252" s="8">
        <v>35850</v>
      </c>
      <c r="U252" s="8">
        <v>90000</v>
      </c>
      <c r="V252" s="7">
        <v>234000</v>
      </c>
      <c r="W252" s="7">
        <v>24619</v>
      </c>
      <c r="X252" s="7">
        <v>275500</v>
      </c>
      <c r="Y252" s="7">
        <v>25300</v>
      </c>
      <c r="Z252" s="7">
        <v>48100</v>
      </c>
      <c r="AA252" s="8">
        <v>124000</v>
      </c>
      <c r="AB252" s="8">
        <v>300000</v>
      </c>
      <c r="AC252" s="8">
        <v>12300</v>
      </c>
      <c r="AD252" s="8">
        <v>175000</v>
      </c>
      <c r="AE252" s="8">
        <v>30150</v>
      </c>
      <c r="AF252" s="7">
        <v>29150</v>
      </c>
      <c r="AG252" s="7">
        <v>92700</v>
      </c>
      <c r="AH252" s="7">
        <v>79300</v>
      </c>
      <c r="AI252" s="7">
        <v>54700</v>
      </c>
      <c r="AJ252" s="7">
        <v>21050</v>
      </c>
      <c r="AK252" s="8">
        <v>24650</v>
      </c>
      <c r="AL252" s="8">
        <v>242500</v>
      </c>
      <c r="AM252" s="8">
        <v>272500</v>
      </c>
      <c r="AN252" s="8">
        <v>26100</v>
      </c>
      <c r="AO252" s="8">
        <v>8600</v>
      </c>
      <c r="AP252" s="7">
        <v>603000</v>
      </c>
      <c r="AQ252" s="7">
        <v>289500</v>
      </c>
      <c r="AR252" s="7">
        <v>11600</v>
      </c>
      <c r="AS252" s="7">
        <v>38450</v>
      </c>
      <c r="AT252" s="7">
        <v>61300</v>
      </c>
      <c r="AU252" s="8">
        <v>215500</v>
      </c>
      <c r="AV252" s="8">
        <v>35450</v>
      </c>
      <c r="AW252" s="8">
        <v>6280</v>
      </c>
      <c r="AX252" s="8">
        <v>132000</v>
      </c>
      <c r="AY252" s="8">
        <v>36100</v>
      </c>
    </row>
    <row r="253" spans="1:51" x14ac:dyDescent="0.4">
      <c r="A253" s="11">
        <v>41086</v>
      </c>
      <c r="B253" s="7">
        <v>76100</v>
      </c>
      <c r="C253" s="7">
        <v>23100</v>
      </c>
      <c r="D253" s="7">
        <v>62600</v>
      </c>
      <c r="E253" s="7">
        <v>209000</v>
      </c>
      <c r="F253" s="7">
        <v>63900</v>
      </c>
      <c r="G253" s="8">
        <v>49350</v>
      </c>
      <c r="H253" s="8">
        <v>53900</v>
      </c>
      <c r="I253" s="8">
        <v>130000</v>
      </c>
      <c r="J253" s="8">
        <v>84500</v>
      </c>
      <c r="K253" s="8">
        <v>238500</v>
      </c>
      <c r="L253" s="7">
        <v>359000</v>
      </c>
      <c r="M253" s="7">
        <v>1139000</v>
      </c>
      <c r="N253" s="7">
        <v>74800</v>
      </c>
      <c r="O253" s="7">
        <v>148500</v>
      </c>
      <c r="P253" s="7">
        <v>101500</v>
      </c>
      <c r="Q253" s="8">
        <v>257500</v>
      </c>
      <c r="R253" s="8">
        <v>217500</v>
      </c>
      <c r="S253" s="8">
        <v>369500</v>
      </c>
      <c r="T253" s="8">
        <v>36150</v>
      </c>
      <c r="U253" s="8">
        <v>90800</v>
      </c>
      <c r="V253" s="7">
        <v>230500</v>
      </c>
      <c r="W253" s="7">
        <v>24619</v>
      </c>
      <c r="X253" s="7">
        <v>280000</v>
      </c>
      <c r="Y253" s="7">
        <v>25250</v>
      </c>
      <c r="Z253" s="7">
        <v>48400</v>
      </c>
      <c r="AA253" s="8">
        <v>123500</v>
      </c>
      <c r="AB253" s="8">
        <v>303500</v>
      </c>
      <c r="AC253" s="8">
        <v>12300</v>
      </c>
      <c r="AD253" s="8">
        <v>176000</v>
      </c>
      <c r="AE253" s="8">
        <v>30750</v>
      </c>
      <c r="AF253" s="7">
        <v>28950</v>
      </c>
      <c r="AG253" s="7">
        <v>93500</v>
      </c>
      <c r="AH253" s="7">
        <v>78400</v>
      </c>
      <c r="AI253" s="7">
        <v>54700</v>
      </c>
      <c r="AJ253" s="7">
        <v>21200</v>
      </c>
      <c r="AK253" s="8">
        <v>24000</v>
      </c>
      <c r="AL253" s="8">
        <v>234000</v>
      </c>
      <c r="AM253" s="8">
        <v>280000</v>
      </c>
      <c r="AN253" s="8">
        <v>26050</v>
      </c>
      <c r="AO253" s="8">
        <v>8710</v>
      </c>
      <c r="AP253" s="7">
        <v>589000</v>
      </c>
      <c r="AQ253" s="7">
        <v>288500</v>
      </c>
      <c r="AR253" s="7">
        <v>11750</v>
      </c>
      <c r="AS253" s="7">
        <v>38550</v>
      </c>
      <c r="AT253" s="7">
        <v>61400</v>
      </c>
      <c r="AU253" s="8">
        <v>218000</v>
      </c>
      <c r="AV253" s="8">
        <v>35550</v>
      </c>
      <c r="AW253" s="8">
        <v>6360</v>
      </c>
      <c r="AX253" s="8">
        <v>134000</v>
      </c>
      <c r="AY253" s="8">
        <v>36750</v>
      </c>
    </row>
    <row r="254" spans="1:51" x14ac:dyDescent="0.4">
      <c r="A254" s="12">
        <v>41085</v>
      </c>
      <c r="B254" s="9">
        <v>77300</v>
      </c>
      <c r="C254" s="9">
        <v>23050</v>
      </c>
      <c r="D254" s="9">
        <v>62900</v>
      </c>
      <c r="E254" s="9">
        <v>209500</v>
      </c>
      <c r="F254" s="9">
        <v>63800</v>
      </c>
      <c r="G254" s="10">
        <v>49200</v>
      </c>
      <c r="H254" s="10">
        <v>53900</v>
      </c>
      <c r="I254" s="10">
        <v>129500</v>
      </c>
      <c r="J254" s="10">
        <v>84000</v>
      </c>
      <c r="K254" s="10">
        <v>241000</v>
      </c>
      <c r="L254" s="9">
        <v>365500</v>
      </c>
      <c r="M254" s="9">
        <v>1132000</v>
      </c>
      <c r="N254" s="9">
        <v>75100</v>
      </c>
      <c r="O254" s="9">
        <v>149500</v>
      </c>
      <c r="P254" s="9">
        <v>101000</v>
      </c>
      <c r="Q254" s="10">
        <v>258500</v>
      </c>
      <c r="R254" s="10">
        <v>221500</v>
      </c>
      <c r="S254" s="10">
        <v>369500</v>
      </c>
      <c r="T254" s="10">
        <v>36450</v>
      </c>
      <c r="U254" s="10">
        <v>90900</v>
      </c>
      <c r="V254" s="9">
        <v>230000</v>
      </c>
      <c r="W254" s="9">
        <v>25259</v>
      </c>
      <c r="X254" s="9">
        <v>280500</v>
      </c>
      <c r="Y254" s="9">
        <v>25850</v>
      </c>
      <c r="Z254" s="9">
        <v>48550</v>
      </c>
      <c r="AA254" s="10">
        <v>121500</v>
      </c>
      <c r="AB254" s="10">
        <v>302000</v>
      </c>
      <c r="AC254" s="10">
        <v>12250</v>
      </c>
      <c r="AD254" s="10">
        <v>175000</v>
      </c>
      <c r="AE254" s="10">
        <v>31500</v>
      </c>
      <c r="AF254" s="9">
        <v>28100</v>
      </c>
      <c r="AG254" s="9">
        <v>94500</v>
      </c>
      <c r="AH254" s="9">
        <v>80900</v>
      </c>
      <c r="AI254" s="9">
        <v>55400</v>
      </c>
      <c r="AJ254" s="9">
        <v>21500</v>
      </c>
      <c r="AK254" s="10">
        <v>24250</v>
      </c>
      <c r="AL254" s="10">
        <v>236000</v>
      </c>
      <c r="AM254" s="10">
        <v>286500</v>
      </c>
      <c r="AN254" s="10">
        <v>26150</v>
      </c>
      <c r="AO254" s="10">
        <v>8800</v>
      </c>
      <c r="AP254" s="9">
        <v>611000</v>
      </c>
      <c r="AQ254" s="9">
        <v>281500</v>
      </c>
      <c r="AR254" s="9">
        <v>11600</v>
      </c>
      <c r="AS254" s="9">
        <v>38750</v>
      </c>
      <c r="AT254" s="9">
        <v>62000</v>
      </c>
      <c r="AU254" s="10">
        <v>223000</v>
      </c>
      <c r="AV254" s="10">
        <v>35550</v>
      </c>
      <c r="AW254" s="10">
        <v>6400</v>
      </c>
      <c r="AX254" s="10">
        <v>139000</v>
      </c>
      <c r="AY254" s="10">
        <v>37300</v>
      </c>
    </row>
    <row r="255" spans="1:51" x14ac:dyDescent="0.4">
      <c r="A255" s="11">
        <v>41082</v>
      </c>
      <c r="B255" s="7">
        <v>77500</v>
      </c>
      <c r="C255" s="7">
        <v>24100</v>
      </c>
      <c r="D255" s="7">
        <v>64400</v>
      </c>
      <c r="E255" s="7">
        <v>208500</v>
      </c>
      <c r="F255" s="7">
        <v>65200</v>
      </c>
      <c r="G255" s="8">
        <v>49400</v>
      </c>
      <c r="H255" s="8">
        <v>54500</v>
      </c>
      <c r="I255" s="8">
        <v>130500</v>
      </c>
      <c r="J255" s="8">
        <v>86000</v>
      </c>
      <c r="K255" s="8">
        <v>243000</v>
      </c>
      <c r="L255" s="7">
        <v>370500</v>
      </c>
      <c r="M255" s="7">
        <v>1182000</v>
      </c>
      <c r="N255" s="7">
        <v>76200</v>
      </c>
      <c r="O255" s="7">
        <v>151500</v>
      </c>
      <c r="P255" s="7">
        <v>104000</v>
      </c>
      <c r="Q255" s="8">
        <v>262500</v>
      </c>
      <c r="R255" s="8">
        <v>217000</v>
      </c>
      <c r="S255" s="8">
        <v>362500</v>
      </c>
      <c r="T255" s="8">
        <v>36800</v>
      </c>
      <c r="U255" s="8">
        <v>91900</v>
      </c>
      <c r="V255" s="7">
        <v>230000</v>
      </c>
      <c r="W255" s="7">
        <v>25653</v>
      </c>
      <c r="X255" s="7">
        <v>278500</v>
      </c>
      <c r="Y255" s="7">
        <v>25500</v>
      </c>
      <c r="Z255" s="7">
        <v>49250</v>
      </c>
      <c r="AA255" s="8">
        <v>120500</v>
      </c>
      <c r="AB255" s="8">
        <v>314500</v>
      </c>
      <c r="AC255" s="8">
        <v>12400</v>
      </c>
      <c r="AD255" s="8">
        <v>175500</v>
      </c>
      <c r="AE255" s="8">
        <v>31250</v>
      </c>
      <c r="AF255" s="7">
        <v>28500</v>
      </c>
      <c r="AG255" s="7">
        <v>94800</v>
      </c>
      <c r="AH255" s="7">
        <v>78900</v>
      </c>
      <c r="AI255" s="7">
        <v>55300</v>
      </c>
      <c r="AJ255" s="7">
        <v>22100</v>
      </c>
      <c r="AK255" s="8">
        <v>24050</v>
      </c>
      <c r="AL255" s="8">
        <v>240500</v>
      </c>
      <c r="AM255" s="8">
        <v>275500</v>
      </c>
      <c r="AN255" s="8">
        <v>26600</v>
      </c>
      <c r="AO255" s="8">
        <v>8770</v>
      </c>
      <c r="AP255" s="7">
        <v>610000</v>
      </c>
      <c r="AQ255" s="7">
        <v>278500</v>
      </c>
      <c r="AR255" s="7">
        <v>11600</v>
      </c>
      <c r="AS255" s="7">
        <v>38950</v>
      </c>
      <c r="AT255" s="7">
        <v>62800</v>
      </c>
      <c r="AU255" s="8">
        <v>223000</v>
      </c>
      <c r="AV255" s="8">
        <v>35800</v>
      </c>
      <c r="AW255" s="8">
        <v>6570</v>
      </c>
      <c r="AX255" s="8">
        <v>140500</v>
      </c>
      <c r="AY255" s="8">
        <v>37450</v>
      </c>
    </row>
    <row r="256" spans="1:51" x14ac:dyDescent="0.4">
      <c r="A256" s="11">
        <v>41081</v>
      </c>
      <c r="B256" s="7">
        <v>78800</v>
      </c>
      <c r="C256" s="7">
        <v>24550</v>
      </c>
      <c r="D256" s="7">
        <v>65800</v>
      </c>
      <c r="E256" s="7">
        <v>212000</v>
      </c>
      <c r="F256" s="7">
        <v>67500</v>
      </c>
      <c r="G256" s="8">
        <v>49250</v>
      </c>
      <c r="H256" s="8">
        <v>55500</v>
      </c>
      <c r="I256" s="8">
        <v>132500</v>
      </c>
      <c r="J256" s="8">
        <v>89000</v>
      </c>
      <c r="K256" s="8">
        <v>250500</v>
      </c>
      <c r="L256" s="7">
        <v>379000</v>
      </c>
      <c r="M256" s="7">
        <v>1227000</v>
      </c>
      <c r="N256" s="7">
        <v>78600</v>
      </c>
      <c r="O256" s="7">
        <v>154500</v>
      </c>
      <c r="P256" s="7">
        <v>108000</v>
      </c>
      <c r="Q256" s="8">
        <v>273500</v>
      </c>
      <c r="R256" s="8">
        <v>217500</v>
      </c>
      <c r="S256" s="8">
        <v>375000</v>
      </c>
      <c r="T256" s="8">
        <v>38200</v>
      </c>
      <c r="U256" s="8">
        <v>93600</v>
      </c>
      <c r="V256" s="7">
        <v>236000</v>
      </c>
      <c r="W256" s="7">
        <v>26539</v>
      </c>
      <c r="X256" s="7">
        <v>286500</v>
      </c>
      <c r="Y256" s="7">
        <v>25100</v>
      </c>
      <c r="Z256" s="7">
        <v>50100</v>
      </c>
      <c r="AA256" s="8">
        <v>122000</v>
      </c>
      <c r="AB256" s="8">
        <v>308500</v>
      </c>
      <c r="AC256" s="8">
        <v>12750</v>
      </c>
      <c r="AD256" s="8">
        <v>174000</v>
      </c>
      <c r="AE256" s="8">
        <v>32200</v>
      </c>
      <c r="AF256" s="7">
        <v>29100</v>
      </c>
      <c r="AG256" s="7">
        <v>96200</v>
      </c>
      <c r="AH256" s="7">
        <v>79600</v>
      </c>
      <c r="AI256" s="7">
        <v>56400</v>
      </c>
      <c r="AJ256" s="7">
        <v>22600</v>
      </c>
      <c r="AK256" s="8">
        <v>24600</v>
      </c>
      <c r="AL256" s="8">
        <v>249000</v>
      </c>
      <c r="AM256" s="8">
        <v>271000</v>
      </c>
      <c r="AN256" s="8">
        <v>27600</v>
      </c>
      <c r="AO256" s="8">
        <v>9150</v>
      </c>
      <c r="AP256" s="7">
        <v>610000</v>
      </c>
      <c r="AQ256" s="7">
        <v>288500</v>
      </c>
      <c r="AR256" s="7">
        <v>11950</v>
      </c>
      <c r="AS256" s="7">
        <v>40150</v>
      </c>
      <c r="AT256" s="7">
        <v>64000</v>
      </c>
      <c r="AU256" s="8">
        <v>224500</v>
      </c>
      <c r="AV256" s="8">
        <v>36700</v>
      </c>
      <c r="AW256" s="8">
        <v>6900</v>
      </c>
      <c r="AX256" s="8">
        <v>144500</v>
      </c>
      <c r="AY256" s="8">
        <v>38900</v>
      </c>
    </row>
    <row r="257" spans="1:51" x14ac:dyDescent="0.4">
      <c r="A257" s="11">
        <v>41080</v>
      </c>
      <c r="B257" s="7">
        <v>80000</v>
      </c>
      <c r="C257" s="7">
        <v>24800</v>
      </c>
      <c r="D257" s="7">
        <v>66900</v>
      </c>
      <c r="E257" s="7">
        <v>209500</v>
      </c>
      <c r="F257" s="7">
        <v>68000</v>
      </c>
      <c r="G257" s="8">
        <v>47450</v>
      </c>
      <c r="H257" s="8">
        <v>56600</v>
      </c>
      <c r="I257" s="8">
        <v>135500</v>
      </c>
      <c r="J257" s="8">
        <v>90700</v>
      </c>
      <c r="K257" s="8">
        <v>253500</v>
      </c>
      <c r="L257" s="7">
        <v>382500</v>
      </c>
      <c r="M257" s="7">
        <v>1252000</v>
      </c>
      <c r="N257" s="7">
        <v>80000</v>
      </c>
      <c r="O257" s="7">
        <v>155500</v>
      </c>
      <c r="P257" s="7">
        <v>106500</v>
      </c>
      <c r="Q257" s="8">
        <v>278000</v>
      </c>
      <c r="R257" s="8">
        <v>217500</v>
      </c>
      <c r="S257" s="8">
        <v>389500</v>
      </c>
      <c r="T257" s="8">
        <v>38800</v>
      </c>
      <c r="U257" s="8">
        <v>95500</v>
      </c>
      <c r="V257" s="7">
        <v>244000</v>
      </c>
      <c r="W257" s="7">
        <v>26195</v>
      </c>
      <c r="X257" s="7">
        <v>285500</v>
      </c>
      <c r="Y257" s="7">
        <v>24700</v>
      </c>
      <c r="Z257" s="7">
        <v>50500</v>
      </c>
      <c r="AA257" s="8">
        <v>123000</v>
      </c>
      <c r="AB257" s="8">
        <v>300000</v>
      </c>
      <c r="AC257" s="8">
        <v>12950</v>
      </c>
      <c r="AD257" s="8">
        <v>181500</v>
      </c>
      <c r="AE257" s="8">
        <v>32800</v>
      </c>
      <c r="AF257" s="7">
        <v>28900</v>
      </c>
      <c r="AG257" s="7">
        <v>96100</v>
      </c>
      <c r="AH257" s="7">
        <v>79600</v>
      </c>
      <c r="AI257" s="7">
        <v>56300</v>
      </c>
      <c r="AJ257" s="7">
        <v>22900</v>
      </c>
      <c r="AK257" s="8">
        <v>24400</v>
      </c>
      <c r="AL257" s="8">
        <v>247500</v>
      </c>
      <c r="AM257" s="8">
        <v>270000</v>
      </c>
      <c r="AN257" s="8">
        <v>28350</v>
      </c>
      <c r="AO257" s="8">
        <v>9320</v>
      </c>
      <c r="AP257" s="7">
        <v>608000</v>
      </c>
      <c r="AQ257" s="7">
        <v>294000</v>
      </c>
      <c r="AR257" s="7">
        <v>12200</v>
      </c>
      <c r="AS257" s="7">
        <v>40650</v>
      </c>
      <c r="AT257" s="7">
        <v>64600</v>
      </c>
      <c r="AU257" s="8">
        <v>225000</v>
      </c>
      <c r="AV257" s="8">
        <v>37500</v>
      </c>
      <c r="AW257" s="8">
        <v>6790</v>
      </c>
      <c r="AX257" s="8">
        <v>149500</v>
      </c>
      <c r="AY257" s="8">
        <v>39950</v>
      </c>
    </row>
    <row r="258" spans="1:51" x14ac:dyDescent="0.4">
      <c r="A258" s="11">
        <v>41079</v>
      </c>
      <c r="B258" s="7">
        <v>80000</v>
      </c>
      <c r="C258" s="7">
        <v>23850</v>
      </c>
      <c r="D258" s="7">
        <v>66400</v>
      </c>
      <c r="E258" s="7">
        <v>207000</v>
      </c>
      <c r="F258" s="7">
        <v>68100</v>
      </c>
      <c r="G258" s="8">
        <v>47300</v>
      </c>
      <c r="H258" s="8">
        <v>56400</v>
      </c>
      <c r="I258" s="8">
        <v>135000</v>
      </c>
      <c r="J258" s="8">
        <v>90900</v>
      </c>
      <c r="K258" s="8">
        <v>253500</v>
      </c>
      <c r="L258" s="7">
        <v>379500</v>
      </c>
      <c r="M258" s="7">
        <v>1244000</v>
      </c>
      <c r="N258" s="7">
        <v>79500</v>
      </c>
      <c r="O258" s="7">
        <v>155000</v>
      </c>
      <c r="P258" s="7">
        <v>106500</v>
      </c>
      <c r="Q258" s="8">
        <v>279500</v>
      </c>
      <c r="R258" s="8">
        <v>216000</v>
      </c>
      <c r="S258" s="8">
        <v>388500</v>
      </c>
      <c r="T258" s="8">
        <v>38400</v>
      </c>
      <c r="U258" s="8">
        <v>95400</v>
      </c>
      <c r="V258" s="7">
        <v>237500</v>
      </c>
      <c r="W258" s="7">
        <v>25850</v>
      </c>
      <c r="X258" s="7">
        <v>282000</v>
      </c>
      <c r="Y258" s="7">
        <v>24050</v>
      </c>
      <c r="Z258" s="7">
        <v>49900</v>
      </c>
      <c r="AA258" s="8">
        <v>122000</v>
      </c>
      <c r="AB258" s="8">
        <v>294000</v>
      </c>
      <c r="AC258" s="8">
        <v>13000</v>
      </c>
      <c r="AD258" s="8">
        <v>182000</v>
      </c>
      <c r="AE258" s="8">
        <v>32950</v>
      </c>
      <c r="AF258" s="7">
        <v>28600</v>
      </c>
      <c r="AG258" s="7">
        <v>96100</v>
      </c>
      <c r="AH258" s="7">
        <v>79700</v>
      </c>
      <c r="AI258" s="7">
        <v>55300</v>
      </c>
      <c r="AJ258" s="7">
        <v>22100</v>
      </c>
      <c r="AK258" s="8">
        <v>24350</v>
      </c>
      <c r="AL258" s="8">
        <v>246500</v>
      </c>
      <c r="AM258" s="8">
        <v>263000</v>
      </c>
      <c r="AN258" s="8">
        <v>28250</v>
      </c>
      <c r="AO258" s="8">
        <v>9200</v>
      </c>
      <c r="AP258" s="7">
        <v>608000</v>
      </c>
      <c r="AQ258" s="7">
        <v>291500</v>
      </c>
      <c r="AR258" s="7">
        <v>12000</v>
      </c>
      <c r="AS258" s="7">
        <v>41000</v>
      </c>
      <c r="AT258" s="7">
        <v>64400</v>
      </c>
      <c r="AU258" s="8">
        <v>224500</v>
      </c>
      <c r="AV258" s="8">
        <v>37600</v>
      </c>
      <c r="AW258" s="8">
        <v>6790</v>
      </c>
      <c r="AX258" s="8">
        <v>148000</v>
      </c>
      <c r="AY258" s="8">
        <v>39600</v>
      </c>
    </row>
    <row r="259" spans="1:51" x14ac:dyDescent="0.4">
      <c r="A259" s="12">
        <v>41078</v>
      </c>
      <c r="B259" s="9">
        <v>80000</v>
      </c>
      <c r="C259" s="9">
        <v>23600</v>
      </c>
      <c r="D259" s="9">
        <v>67000</v>
      </c>
      <c r="E259" s="9">
        <v>207000</v>
      </c>
      <c r="F259" s="9">
        <v>68500</v>
      </c>
      <c r="G259" s="10">
        <v>47650</v>
      </c>
      <c r="H259" s="10">
        <v>56600</v>
      </c>
      <c r="I259" s="10">
        <v>135500</v>
      </c>
      <c r="J259" s="10">
        <v>91300</v>
      </c>
      <c r="K259" s="10">
        <v>248500</v>
      </c>
      <c r="L259" s="9">
        <v>380500</v>
      </c>
      <c r="M259" s="9">
        <v>1243000</v>
      </c>
      <c r="N259" s="9">
        <v>80300</v>
      </c>
      <c r="O259" s="9">
        <v>155500</v>
      </c>
      <c r="P259" s="9">
        <v>108000</v>
      </c>
      <c r="Q259" s="10">
        <v>280000</v>
      </c>
      <c r="R259" s="10">
        <v>208500</v>
      </c>
      <c r="S259" s="10">
        <v>392000</v>
      </c>
      <c r="T259" s="10">
        <v>38950</v>
      </c>
      <c r="U259" s="10">
        <v>96800</v>
      </c>
      <c r="V259" s="9">
        <v>236000</v>
      </c>
      <c r="W259" s="9">
        <v>25948</v>
      </c>
      <c r="X259" s="9">
        <v>278000</v>
      </c>
      <c r="Y259" s="9">
        <v>24200</v>
      </c>
      <c r="Z259" s="9">
        <v>50100</v>
      </c>
      <c r="AA259" s="10">
        <v>122500</v>
      </c>
      <c r="AB259" s="10">
        <v>296000</v>
      </c>
      <c r="AC259" s="10">
        <v>13250</v>
      </c>
      <c r="AD259" s="10">
        <v>187500</v>
      </c>
      <c r="AE259" s="10">
        <v>32450</v>
      </c>
      <c r="AF259" s="9">
        <v>28600</v>
      </c>
      <c r="AG259" s="9">
        <v>95500</v>
      </c>
      <c r="AH259" s="9">
        <v>81400</v>
      </c>
      <c r="AI259" s="9">
        <v>55300</v>
      </c>
      <c r="AJ259" s="9">
        <v>22350</v>
      </c>
      <c r="AK259" s="10">
        <v>24200</v>
      </c>
      <c r="AL259" s="10">
        <v>242500</v>
      </c>
      <c r="AM259" s="10">
        <v>258500</v>
      </c>
      <c r="AN259" s="10">
        <v>28800</v>
      </c>
      <c r="AO259" s="10">
        <v>9110</v>
      </c>
      <c r="AP259" s="9">
        <v>600000</v>
      </c>
      <c r="AQ259" s="9">
        <v>296000</v>
      </c>
      <c r="AR259" s="9">
        <v>12200</v>
      </c>
      <c r="AS259" s="9">
        <v>41350</v>
      </c>
      <c r="AT259" s="9">
        <v>64800</v>
      </c>
      <c r="AU259" s="10">
        <v>218500</v>
      </c>
      <c r="AV259" s="10">
        <v>37800</v>
      </c>
      <c r="AW259" s="10">
        <v>6790</v>
      </c>
      <c r="AX259" s="10">
        <v>150500</v>
      </c>
      <c r="AY259" s="10">
        <v>40200</v>
      </c>
    </row>
    <row r="260" spans="1:51" x14ac:dyDescent="0.4">
      <c r="A260" s="11">
        <v>41075</v>
      </c>
      <c r="B260" s="7">
        <v>77900</v>
      </c>
      <c r="C260" s="7">
        <v>23400</v>
      </c>
      <c r="D260" s="7">
        <v>64400</v>
      </c>
      <c r="E260" s="7">
        <v>201500</v>
      </c>
      <c r="F260" s="7">
        <v>66900</v>
      </c>
      <c r="G260" s="8">
        <v>47300</v>
      </c>
      <c r="H260" s="8">
        <v>55300</v>
      </c>
      <c r="I260" s="8">
        <v>133500</v>
      </c>
      <c r="J260" s="8">
        <v>89900</v>
      </c>
      <c r="K260" s="8">
        <v>240000</v>
      </c>
      <c r="L260" s="7">
        <v>375000</v>
      </c>
      <c r="M260" s="7">
        <v>1217000</v>
      </c>
      <c r="N260" s="7">
        <v>79100</v>
      </c>
      <c r="O260" s="7">
        <v>152500</v>
      </c>
      <c r="P260" s="7">
        <v>107500</v>
      </c>
      <c r="Q260" s="8">
        <v>272500</v>
      </c>
      <c r="R260" s="8">
        <v>205500</v>
      </c>
      <c r="S260" s="8">
        <v>390500</v>
      </c>
      <c r="T260" s="8">
        <v>37050</v>
      </c>
      <c r="U260" s="8">
        <v>94700</v>
      </c>
      <c r="V260" s="7">
        <v>228000</v>
      </c>
      <c r="W260" s="7">
        <v>25407</v>
      </c>
      <c r="X260" s="7">
        <v>270500</v>
      </c>
      <c r="Y260" s="7">
        <v>24050</v>
      </c>
      <c r="Z260" s="7">
        <v>48950</v>
      </c>
      <c r="AA260" s="8">
        <v>120500</v>
      </c>
      <c r="AB260" s="8">
        <v>293500</v>
      </c>
      <c r="AC260" s="8">
        <v>13200</v>
      </c>
      <c r="AD260" s="8">
        <v>179000</v>
      </c>
      <c r="AE260" s="8">
        <v>31550</v>
      </c>
      <c r="AF260" s="7">
        <v>28350</v>
      </c>
      <c r="AG260" s="7">
        <v>95700</v>
      </c>
      <c r="AH260" s="7">
        <v>79100</v>
      </c>
      <c r="AI260" s="7">
        <v>54400</v>
      </c>
      <c r="AJ260" s="7">
        <v>22300</v>
      </c>
      <c r="AK260" s="8">
        <v>24000</v>
      </c>
      <c r="AL260" s="8">
        <v>243000</v>
      </c>
      <c r="AM260" s="8">
        <v>250000</v>
      </c>
      <c r="AN260" s="8">
        <v>27800</v>
      </c>
      <c r="AO260" s="8">
        <v>9060</v>
      </c>
      <c r="AP260" s="7">
        <v>596000</v>
      </c>
      <c r="AQ260" s="7">
        <v>291000</v>
      </c>
      <c r="AR260" s="7">
        <v>12250</v>
      </c>
      <c r="AS260" s="7">
        <v>40700</v>
      </c>
      <c r="AT260" s="7">
        <v>63800</v>
      </c>
      <c r="AU260" s="8">
        <v>217000</v>
      </c>
      <c r="AV260" s="8">
        <v>37300</v>
      </c>
      <c r="AW260" s="8">
        <v>6550</v>
      </c>
      <c r="AX260" s="8">
        <v>149000</v>
      </c>
      <c r="AY260" s="8">
        <v>39350</v>
      </c>
    </row>
    <row r="261" spans="1:51" x14ac:dyDescent="0.4">
      <c r="A261" s="11">
        <v>41074</v>
      </c>
      <c r="B261" s="7">
        <v>78300</v>
      </c>
      <c r="C261" s="7">
        <v>23900</v>
      </c>
      <c r="D261" s="7">
        <v>64100</v>
      </c>
      <c r="E261" s="7">
        <v>205000</v>
      </c>
      <c r="F261" s="7">
        <v>67800</v>
      </c>
      <c r="G261" s="8">
        <v>47250</v>
      </c>
      <c r="H261" s="8">
        <v>55700</v>
      </c>
      <c r="I261" s="8">
        <v>131000</v>
      </c>
      <c r="J261" s="8">
        <v>90000</v>
      </c>
      <c r="K261" s="8">
        <v>238000</v>
      </c>
      <c r="L261" s="7">
        <v>376500</v>
      </c>
      <c r="M261" s="7">
        <v>1261000</v>
      </c>
      <c r="N261" s="7">
        <v>78900</v>
      </c>
      <c r="O261" s="7">
        <v>156000</v>
      </c>
      <c r="P261" s="7">
        <v>108500</v>
      </c>
      <c r="Q261" s="8">
        <v>272500</v>
      </c>
      <c r="R261" s="8">
        <v>207000</v>
      </c>
      <c r="S261" s="8">
        <v>383500</v>
      </c>
      <c r="T261" s="8">
        <v>37650</v>
      </c>
      <c r="U261" s="8">
        <v>92700</v>
      </c>
      <c r="V261" s="7">
        <v>228000</v>
      </c>
      <c r="W261" s="7">
        <v>25899</v>
      </c>
      <c r="X261" s="7">
        <v>270000</v>
      </c>
      <c r="Y261" s="7">
        <v>24150</v>
      </c>
      <c r="Z261" s="7">
        <v>49400</v>
      </c>
      <c r="AA261" s="8">
        <v>122000</v>
      </c>
      <c r="AB261" s="8">
        <v>299000</v>
      </c>
      <c r="AC261" s="8">
        <v>12850</v>
      </c>
      <c r="AD261" s="8">
        <v>179500</v>
      </c>
      <c r="AE261" s="8">
        <v>32300</v>
      </c>
      <c r="AF261" s="7">
        <v>28350</v>
      </c>
      <c r="AG261" s="7">
        <v>96500</v>
      </c>
      <c r="AH261" s="7">
        <v>78700</v>
      </c>
      <c r="AI261" s="7">
        <v>55300</v>
      </c>
      <c r="AJ261" s="7">
        <v>22350</v>
      </c>
      <c r="AK261" s="8">
        <v>24750</v>
      </c>
      <c r="AL261" s="8">
        <v>245000</v>
      </c>
      <c r="AM261" s="8">
        <v>257500</v>
      </c>
      <c r="AN261" s="8">
        <v>27750</v>
      </c>
      <c r="AO261" s="8">
        <v>8870</v>
      </c>
      <c r="AP261" s="7">
        <v>594000</v>
      </c>
      <c r="AQ261" s="7">
        <v>288500</v>
      </c>
      <c r="AR261" s="7">
        <v>12000</v>
      </c>
      <c r="AS261" s="7">
        <v>40200</v>
      </c>
      <c r="AT261" s="7">
        <v>64200</v>
      </c>
      <c r="AU261" s="8">
        <v>211000</v>
      </c>
      <c r="AV261" s="8">
        <v>37300</v>
      </c>
      <c r="AW261" s="8">
        <v>6620</v>
      </c>
      <c r="AX261" s="8">
        <v>144500</v>
      </c>
      <c r="AY261" s="8">
        <v>38900</v>
      </c>
    </row>
    <row r="262" spans="1:51" x14ac:dyDescent="0.4">
      <c r="A262" s="11">
        <v>41073</v>
      </c>
      <c r="B262" s="7">
        <v>78000</v>
      </c>
      <c r="C262" s="7">
        <v>23650</v>
      </c>
      <c r="D262" s="7">
        <v>62300</v>
      </c>
      <c r="E262" s="7">
        <v>201500</v>
      </c>
      <c r="F262" s="7">
        <v>65700</v>
      </c>
      <c r="G262" s="8">
        <v>46900</v>
      </c>
      <c r="H262" s="8">
        <v>55900</v>
      </c>
      <c r="I262" s="8">
        <v>128500</v>
      </c>
      <c r="J262" s="8">
        <v>88300</v>
      </c>
      <c r="K262" s="8">
        <v>238500</v>
      </c>
      <c r="L262" s="7">
        <v>368000</v>
      </c>
      <c r="M262" s="7">
        <v>1271000</v>
      </c>
      <c r="N262" s="7">
        <v>77400</v>
      </c>
      <c r="O262" s="7">
        <v>157000</v>
      </c>
      <c r="P262" s="7">
        <v>107500</v>
      </c>
      <c r="Q262" s="8">
        <v>269000</v>
      </c>
      <c r="R262" s="8">
        <v>205000</v>
      </c>
      <c r="S262" s="8">
        <v>382000</v>
      </c>
      <c r="T262" s="8">
        <v>37700</v>
      </c>
      <c r="U262" s="8">
        <v>92800</v>
      </c>
      <c r="V262" s="7">
        <v>227000</v>
      </c>
      <c r="W262" s="7">
        <v>25801</v>
      </c>
      <c r="X262" s="7">
        <v>272500</v>
      </c>
      <c r="Y262" s="7">
        <v>23750</v>
      </c>
      <c r="Z262" s="7">
        <v>48700</v>
      </c>
      <c r="AA262" s="8">
        <v>121500</v>
      </c>
      <c r="AB262" s="8">
        <v>293000</v>
      </c>
      <c r="AC262" s="8">
        <v>12700</v>
      </c>
      <c r="AD262" s="8">
        <v>177000</v>
      </c>
      <c r="AE262" s="8">
        <v>31300</v>
      </c>
      <c r="AF262" s="7">
        <v>28100</v>
      </c>
      <c r="AG262" s="7">
        <v>95900</v>
      </c>
      <c r="AH262" s="7">
        <v>78700</v>
      </c>
      <c r="AI262" s="7">
        <v>54500</v>
      </c>
      <c r="AJ262" s="7">
        <v>22750</v>
      </c>
      <c r="AK262" s="8">
        <v>24500</v>
      </c>
      <c r="AL262" s="8">
        <v>245000</v>
      </c>
      <c r="AM262" s="8">
        <v>260000</v>
      </c>
      <c r="AN262" s="8">
        <v>27200</v>
      </c>
      <c r="AO262" s="8">
        <v>8570</v>
      </c>
      <c r="AP262" s="7">
        <v>590000</v>
      </c>
      <c r="AQ262" s="7">
        <v>282000</v>
      </c>
      <c r="AR262" s="7">
        <v>11950</v>
      </c>
      <c r="AS262" s="7">
        <v>39300</v>
      </c>
      <c r="AT262" s="7">
        <v>66100</v>
      </c>
      <c r="AU262" s="8">
        <v>211000</v>
      </c>
      <c r="AV262" s="8">
        <v>36700</v>
      </c>
      <c r="AW262" s="8">
        <v>6400</v>
      </c>
      <c r="AX262" s="8">
        <v>141000</v>
      </c>
      <c r="AY262" s="8">
        <v>38500</v>
      </c>
    </row>
    <row r="263" spans="1:51" x14ac:dyDescent="0.4">
      <c r="A263" s="11">
        <v>41072</v>
      </c>
      <c r="B263" s="7">
        <v>78100</v>
      </c>
      <c r="C263" s="7">
        <v>23550</v>
      </c>
      <c r="D263" s="7">
        <v>63100</v>
      </c>
      <c r="E263" s="7">
        <v>197500</v>
      </c>
      <c r="F263" s="7">
        <v>65200</v>
      </c>
      <c r="G263" s="8">
        <v>46650</v>
      </c>
      <c r="H263" s="8">
        <v>56400</v>
      </c>
      <c r="I263" s="8">
        <v>129500</v>
      </c>
      <c r="J263" s="8">
        <v>88500</v>
      </c>
      <c r="K263" s="8">
        <v>238500</v>
      </c>
      <c r="L263" s="7">
        <v>368500</v>
      </c>
      <c r="M263" s="7">
        <v>1255000</v>
      </c>
      <c r="N263" s="7">
        <v>77700</v>
      </c>
      <c r="O263" s="7">
        <v>156000</v>
      </c>
      <c r="P263" s="7">
        <v>106500</v>
      </c>
      <c r="Q263" s="8">
        <v>269000</v>
      </c>
      <c r="R263" s="8">
        <v>200000</v>
      </c>
      <c r="S263" s="8">
        <v>382500</v>
      </c>
      <c r="T263" s="8">
        <v>37250</v>
      </c>
      <c r="U263" s="8">
        <v>93200</v>
      </c>
      <c r="V263" s="7">
        <v>234000</v>
      </c>
      <c r="W263" s="7">
        <v>25456</v>
      </c>
      <c r="X263" s="7">
        <v>267500</v>
      </c>
      <c r="Y263" s="7">
        <v>23800</v>
      </c>
      <c r="Z263" s="7">
        <v>48950</v>
      </c>
      <c r="AA263" s="8">
        <v>123000</v>
      </c>
      <c r="AB263" s="8">
        <v>291000</v>
      </c>
      <c r="AC263" s="8">
        <v>12700</v>
      </c>
      <c r="AD263" s="8">
        <v>178000</v>
      </c>
      <c r="AE263" s="8">
        <v>30700</v>
      </c>
      <c r="AF263" s="7">
        <v>28400</v>
      </c>
      <c r="AG263" s="7">
        <v>96100</v>
      </c>
      <c r="AH263" s="7">
        <v>78700</v>
      </c>
      <c r="AI263" s="7">
        <v>54300</v>
      </c>
      <c r="AJ263" s="7">
        <v>22800</v>
      </c>
      <c r="AK263" s="8">
        <v>24600</v>
      </c>
      <c r="AL263" s="8">
        <v>244500</v>
      </c>
      <c r="AM263" s="8">
        <v>259000</v>
      </c>
      <c r="AN263" s="8">
        <v>27400</v>
      </c>
      <c r="AO263" s="8">
        <v>8600</v>
      </c>
      <c r="AP263" s="7">
        <v>579000</v>
      </c>
      <c r="AQ263" s="7">
        <v>287000</v>
      </c>
      <c r="AR263" s="7">
        <v>12100</v>
      </c>
      <c r="AS263" s="7">
        <v>39250</v>
      </c>
      <c r="AT263" s="7">
        <v>67200</v>
      </c>
      <c r="AU263" s="8">
        <v>205000</v>
      </c>
      <c r="AV263" s="8">
        <v>38100</v>
      </c>
      <c r="AW263" s="8">
        <v>6380</v>
      </c>
      <c r="AX263" s="8">
        <v>142500</v>
      </c>
      <c r="AY263" s="8">
        <v>38500</v>
      </c>
    </row>
    <row r="264" spans="1:51" x14ac:dyDescent="0.4">
      <c r="A264" s="12">
        <v>41071</v>
      </c>
      <c r="B264" s="9">
        <v>77900</v>
      </c>
      <c r="C264" s="9">
        <v>23050</v>
      </c>
      <c r="D264" s="9">
        <v>64500</v>
      </c>
      <c r="E264" s="9">
        <v>201000</v>
      </c>
      <c r="F264" s="9">
        <v>66000</v>
      </c>
      <c r="G264" s="10">
        <v>47400</v>
      </c>
      <c r="H264" s="10">
        <v>57000</v>
      </c>
      <c r="I264" s="10">
        <v>128500</v>
      </c>
      <c r="J264" s="10">
        <v>89000</v>
      </c>
      <c r="K264" s="10">
        <v>240000</v>
      </c>
      <c r="L264" s="9">
        <v>375500</v>
      </c>
      <c r="M264" s="9">
        <v>1268000</v>
      </c>
      <c r="N264" s="9">
        <v>78500</v>
      </c>
      <c r="O264" s="9">
        <v>154500</v>
      </c>
      <c r="P264" s="9">
        <v>105000</v>
      </c>
      <c r="Q264" s="10">
        <v>272000</v>
      </c>
      <c r="R264" s="10">
        <v>199500</v>
      </c>
      <c r="S264" s="10">
        <v>377500</v>
      </c>
      <c r="T264" s="10">
        <v>37400</v>
      </c>
      <c r="U264" s="10">
        <v>94600</v>
      </c>
      <c r="V264" s="9">
        <v>243000</v>
      </c>
      <c r="W264" s="9">
        <v>25702</v>
      </c>
      <c r="X264" s="9">
        <v>268500</v>
      </c>
      <c r="Y264" s="9">
        <v>24150</v>
      </c>
      <c r="Z264" s="9">
        <v>49600</v>
      </c>
      <c r="AA264" s="10">
        <v>122500</v>
      </c>
      <c r="AB264" s="10">
        <v>294500</v>
      </c>
      <c r="AC264" s="10">
        <v>12700</v>
      </c>
      <c r="AD264" s="10">
        <v>184000</v>
      </c>
      <c r="AE264" s="10">
        <v>31250</v>
      </c>
      <c r="AF264" s="9">
        <v>29050</v>
      </c>
      <c r="AG264" s="9">
        <v>96000</v>
      </c>
      <c r="AH264" s="9">
        <v>79600</v>
      </c>
      <c r="AI264" s="9">
        <v>54000</v>
      </c>
      <c r="AJ264" s="9">
        <v>23100</v>
      </c>
      <c r="AK264" s="10">
        <v>24550</v>
      </c>
      <c r="AL264" s="10">
        <v>241000</v>
      </c>
      <c r="AM264" s="10">
        <v>255000</v>
      </c>
      <c r="AN264" s="10">
        <v>28000</v>
      </c>
      <c r="AO264" s="10">
        <v>8770</v>
      </c>
      <c r="AP264" s="9">
        <v>579000</v>
      </c>
      <c r="AQ264" s="9">
        <v>288000</v>
      </c>
      <c r="AR264" s="9">
        <v>12000</v>
      </c>
      <c r="AS264" s="9">
        <v>39900</v>
      </c>
      <c r="AT264" s="9">
        <v>69100</v>
      </c>
      <c r="AU264" s="10">
        <v>202500</v>
      </c>
      <c r="AV264" s="10">
        <v>38350</v>
      </c>
      <c r="AW264" s="10">
        <v>6530</v>
      </c>
      <c r="AX264" s="10">
        <v>143000</v>
      </c>
      <c r="AY264" s="10">
        <v>39150</v>
      </c>
    </row>
    <row r="265" spans="1:51" x14ac:dyDescent="0.4">
      <c r="A265" s="11">
        <v>41068</v>
      </c>
      <c r="B265" s="7">
        <v>77000</v>
      </c>
      <c r="C265" s="7">
        <v>21750</v>
      </c>
      <c r="D265" s="7">
        <v>62000</v>
      </c>
      <c r="E265" s="7">
        <v>206000</v>
      </c>
      <c r="F265" s="7">
        <v>63600</v>
      </c>
      <c r="G265" s="8">
        <v>46300</v>
      </c>
      <c r="H265" s="8">
        <v>55400</v>
      </c>
      <c r="I265" s="8">
        <v>122000</v>
      </c>
      <c r="J265" s="8">
        <v>86000</v>
      </c>
      <c r="K265" s="8">
        <v>236500</v>
      </c>
      <c r="L265" s="7">
        <v>370500</v>
      </c>
      <c r="M265" s="7">
        <v>1247000</v>
      </c>
      <c r="N265" s="7">
        <v>75800</v>
      </c>
      <c r="O265" s="7">
        <v>149500</v>
      </c>
      <c r="P265" s="7">
        <v>101500</v>
      </c>
      <c r="Q265" s="8">
        <v>262000</v>
      </c>
      <c r="R265" s="8">
        <v>192500</v>
      </c>
      <c r="S265" s="8">
        <v>359500</v>
      </c>
      <c r="T265" s="8">
        <v>35500</v>
      </c>
      <c r="U265" s="8">
        <v>90900</v>
      </c>
      <c r="V265" s="7">
        <v>227000</v>
      </c>
      <c r="W265" s="7">
        <v>25555</v>
      </c>
      <c r="X265" s="7">
        <v>267500</v>
      </c>
      <c r="Y265" s="7">
        <v>24100</v>
      </c>
      <c r="Z265" s="7">
        <v>48050</v>
      </c>
      <c r="AA265" s="8">
        <v>122500</v>
      </c>
      <c r="AB265" s="8">
        <v>289500</v>
      </c>
      <c r="AC265" s="8">
        <v>12500</v>
      </c>
      <c r="AD265" s="8">
        <v>180000</v>
      </c>
      <c r="AE265" s="8">
        <v>31000</v>
      </c>
      <c r="AF265" s="7">
        <v>29350</v>
      </c>
      <c r="AG265" s="7">
        <v>96700</v>
      </c>
      <c r="AH265" s="7">
        <v>80100</v>
      </c>
      <c r="AI265" s="7">
        <v>52500</v>
      </c>
      <c r="AJ265" s="7">
        <v>21850</v>
      </c>
      <c r="AK265" s="8">
        <v>24750</v>
      </c>
      <c r="AL265" s="8">
        <v>249000</v>
      </c>
      <c r="AM265" s="8">
        <v>268000</v>
      </c>
      <c r="AN265" s="8">
        <v>26450</v>
      </c>
      <c r="AO265" s="8">
        <v>8580</v>
      </c>
      <c r="AP265" s="7">
        <v>587000</v>
      </c>
      <c r="AQ265" s="7">
        <v>270000</v>
      </c>
      <c r="AR265" s="7">
        <v>11800</v>
      </c>
      <c r="AS265" s="7">
        <v>39400</v>
      </c>
      <c r="AT265" s="7">
        <v>67200</v>
      </c>
      <c r="AU265" s="8">
        <v>206000</v>
      </c>
      <c r="AV265" s="8">
        <v>37400</v>
      </c>
      <c r="AW265" s="8">
        <v>6480</v>
      </c>
      <c r="AX265" s="8">
        <v>134000</v>
      </c>
      <c r="AY265" s="8">
        <v>37800</v>
      </c>
    </row>
    <row r="266" spans="1:51" x14ac:dyDescent="0.4">
      <c r="A266" s="11">
        <v>41067</v>
      </c>
      <c r="B266" s="7">
        <v>78100</v>
      </c>
      <c r="C266" s="7">
        <v>22550</v>
      </c>
      <c r="D266" s="7">
        <v>62500</v>
      </c>
      <c r="E266" s="7">
        <v>210500</v>
      </c>
      <c r="F266" s="7">
        <v>64300</v>
      </c>
      <c r="G266" s="8">
        <v>46900</v>
      </c>
      <c r="H266" s="8">
        <v>54900</v>
      </c>
      <c r="I266" s="8">
        <v>121500</v>
      </c>
      <c r="J266" s="8">
        <v>83700</v>
      </c>
      <c r="K266" s="8">
        <v>240000</v>
      </c>
      <c r="L266" s="7">
        <v>365000</v>
      </c>
      <c r="M266" s="7">
        <v>1265000</v>
      </c>
      <c r="N266" s="7">
        <v>76700</v>
      </c>
      <c r="O266" s="7">
        <v>152000</v>
      </c>
      <c r="P266" s="7">
        <v>102000</v>
      </c>
      <c r="Q266" s="8">
        <v>262500</v>
      </c>
      <c r="R266" s="8">
        <v>195000</v>
      </c>
      <c r="S266" s="8">
        <v>360500</v>
      </c>
      <c r="T266" s="8">
        <v>35800</v>
      </c>
      <c r="U266" s="8">
        <v>90400</v>
      </c>
      <c r="V266" s="7">
        <v>224500</v>
      </c>
      <c r="W266" s="7">
        <v>25604</v>
      </c>
      <c r="X266" s="7">
        <v>274500</v>
      </c>
      <c r="Y266" s="7">
        <v>24100</v>
      </c>
      <c r="Z266" s="7">
        <v>48500</v>
      </c>
      <c r="AA266" s="8">
        <v>126500</v>
      </c>
      <c r="AB266" s="8">
        <v>289500</v>
      </c>
      <c r="AC266" s="8">
        <v>12500</v>
      </c>
      <c r="AD266" s="8">
        <v>181500</v>
      </c>
      <c r="AE266" s="8">
        <v>31900</v>
      </c>
      <c r="AF266" s="7">
        <v>29450</v>
      </c>
      <c r="AG266" s="7">
        <v>96200</v>
      </c>
      <c r="AH266" s="7">
        <v>80900</v>
      </c>
      <c r="AI266" s="7">
        <v>52400</v>
      </c>
      <c r="AJ266" s="7">
        <v>21750</v>
      </c>
      <c r="AK266" s="8">
        <v>25500</v>
      </c>
      <c r="AL266" s="8">
        <v>242000</v>
      </c>
      <c r="AM266" s="8">
        <v>267000</v>
      </c>
      <c r="AN266" s="8">
        <v>26750</v>
      </c>
      <c r="AO266" s="8">
        <v>8510</v>
      </c>
      <c r="AP266" s="7">
        <v>588000</v>
      </c>
      <c r="AQ266" s="7">
        <v>272500</v>
      </c>
      <c r="AR266" s="7">
        <v>11650</v>
      </c>
      <c r="AS266" s="7">
        <v>39400</v>
      </c>
      <c r="AT266" s="7">
        <v>66700</v>
      </c>
      <c r="AU266" s="8">
        <v>206500</v>
      </c>
      <c r="AV266" s="8">
        <v>37950</v>
      </c>
      <c r="AW266" s="8">
        <v>6580</v>
      </c>
      <c r="AX266" s="8">
        <v>133000</v>
      </c>
      <c r="AY266" s="8">
        <v>38100</v>
      </c>
    </row>
    <row r="267" spans="1:51" x14ac:dyDescent="0.4">
      <c r="A267" s="11">
        <v>41065</v>
      </c>
      <c r="B267" s="7">
        <v>76900</v>
      </c>
      <c r="C267" s="7">
        <v>21650</v>
      </c>
      <c r="D267" s="7">
        <v>62000</v>
      </c>
      <c r="E267" s="7">
        <v>211500</v>
      </c>
      <c r="F267" s="7">
        <v>62800</v>
      </c>
      <c r="G267" s="8">
        <v>46500</v>
      </c>
      <c r="H267" s="8">
        <v>53500</v>
      </c>
      <c r="I267" s="8">
        <v>116500</v>
      </c>
      <c r="J267" s="8">
        <v>82000</v>
      </c>
      <c r="K267" s="8">
        <v>233500</v>
      </c>
      <c r="L267" s="7">
        <v>357500</v>
      </c>
      <c r="M267" s="7">
        <v>1203000</v>
      </c>
      <c r="N267" s="7">
        <v>74000</v>
      </c>
      <c r="O267" s="7">
        <v>150000</v>
      </c>
      <c r="P267" s="7">
        <v>99800</v>
      </c>
      <c r="Q267" s="8">
        <v>253000</v>
      </c>
      <c r="R267" s="8">
        <v>191000</v>
      </c>
      <c r="S267" s="8">
        <v>358000</v>
      </c>
      <c r="T267" s="8">
        <v>34600</v>
      </c>
      <c r="U267" s="8">
        <v>88600</v>
      </c>
      <c r="V267" s="7">
        <v>222000</v>
      </c>
      <c r="W267" s="7">
        <v>25555</v>
      </c>
      <c r="X267" s="7">
        <v>271000</v>
      </c>
      <c r="Y267" s="7">
        <v>23950</v>
      </c>
      <c r="Z267" s="7">
        <v>47650</v>
      </c>
      <c r="AA267" s="8">
        <v>124500</v>
      </c>
      <c r="AB267" s="8">
        <v>291500</v>
      </c>
      <c r="AC267" s="8">
        <v>12050</v>
      </c>
      <c r="AD267" s="8">
        <v>174000</v>
      </c>
      <c r="AE267" s="8">
        <v>32100</v>
      </c>
      <c r="AF267" s="7">
        <v>29100</v>
      </c>
      <c r="AG267" s="7">
        <v>97700</v>
      </c>
      <c r="AH267" s="7">
        <v>81100</v>
      </c>
      <c r="AI267" s="7">
        <v>51500</v>
      </c>
      <c r="AJ267" s="7">
        <v>20450</v>
      </c>
      <c r="AK267" s="8">
        <v>25600</v>
      </c>
      <c r="AL267" s="8">
        <v>236000</v>
      </c>
      <c r="AM267" s="8">
        <v>250000</v>
      </c>
      <c r="AN267" s="8">
        <v>26050</v>
      </c>
      <c r="AO267" s="8">
        <v>8340</v>
      </c>
      <c r="AP267" s="7">
        <v>588000</v>
      </c>
      <c r="AQ267" s="7">
        <v>267000</v>
      </c>
      <c r="AR267" s="7">
        <v>11000</v>
      </c>
      <c r="AS267" s="7">
        <v>38000</v>
      </c>
      <c r="AT267" s="7">
        <v>64500</v>
      </c>
      <c r="AU267" s="8">
        <v>205000</v>
      </c>
      <c r="AV267" s="8">
        <v>36350</v>
      </c>
      <c r="AW267" s="8">
        <v>6500</v>
      </c>
      <c r="AX267" s="8">
        <v>129000</v>
      </c>
      <c r="AY267" s="8">
        <v>36750</v>
      </c>
    </row>
    <row r="268" spans="1:51" x14ac:dyDescent="0.4">
      <c r="A268" s="11">
        <v>41064</v>
      </c>
      <c r="B268" s="7">
        <v>76700</v>
      </c>
      <c r="C268" s="7">
        <v>21550</v>
      </c>
      <c r="D268" s="7">
        <v>61400</v>
      </c>
      <c r="E268" s="7">
        <v>212000</v>
      </c>
      <c r="F268" s="7">
        <v>62500</v>
      </c>
      <c r="G268" s="8">
        <v>44500</v>
      </c>
      <c r="H268" s="8">
        <v>53000</v>
      </c>
      <c r="I268" s="8">
        <v>116000</v>
      </c>
      <c r="J268" s="8">
        <v>80600</v>
      </c>
      <c r="K268" s="8">
        <v>234000</v>
      </c>
      <c r="L268" s="7">
        <v>353000</v>
      </c>
      <c r="M268" s="7">
        <v>1196000</v>
      </c>
      <c r="N268" s="7">
        <v>73600</v>
      </c>
      <c r="O268" s="7">
        <v>149000</v>
      </c>
      <c r="P268" s="7">
        <v>97600</v>
      </c>
      <c r="Q268" s="8">
        <v>250000</v>
      </c>
      <c r="R268" s="8">
        <v>192000</v>
      </c>
      <c r="S268" s="8">
        <v>338000</v>
      </c>
      <c r="T268" s="8">
        <v>33650</v>
      </c>
      <c r="U268" s="8">
        <v>87100</v>
      </c>
      <c r="V268" s="7">
        <v>223000</v>
      </c>
      <c r="W268" s="7">
        <v>24619</v>
      </c>
      <c r="X268" s="7">
        <v>267000</v>
      </c>
      <c r="Y268" s="7">
        <v>23150</v>
      </c>
      <c r="Z268" s="7">
        <v>47300</v>
      </c>
      <c r="AA268" s="8">
        <v>126000</v>
      </c>
      <c r="AB268" s="8">
        <v>291000</v>
      </c>
      <c r="AC268" s="8">
        <v>11700</v>
      </c>
      <c r="AD268" s="8">
        <v>171000</v>
      </c>
      <c r="AE268" s="8">
        <v>33450</v>
      </c>
      <c r="AF268" s="7">
        <v>28750</v>
      </c>
      <c r="AG268" s="7">
        <v>97000</v>
      </c>
      <c r="AH268" s="7">
        <v>81700</v>
      </c>
      <c r="AI268" s="7">
        <v>50700</v>
      </c>
      <c r="AJ268" s="7">
        <v>20050</v>
      </c>
      <c r="AK268" s="8">
        <v>25450</v>
      </c>
      <c r="AL268" s="8">
        <v>236000</v>
      </c>
      <c r="AM268" s="8">
        <v>237000</v>
      </c>
      <c r="AN268" s="8">
        <v>25150</v>
      </c>
      <c r="AO268" s="8">
        <v>8140</v>
      </c>
      <c r="AP268" s="7">
        <v>588000</v>
      </c>
      <c r="AQ268" s="7">
        <v>265500</v>
      </c>
      <c r="AR268" s="7">
        <v>10600</v>
      </c>
      <c r="AS268" s="7">
        <v>37250</v>
      </c>
      <c r="AT268" s="7">
        <v>61600</v>
      </c>
      <c r="AU268" s="8">
        <v>209000</v>
      </c>
      <c r="AV268" s="8">
        <v>35400</v>
      </c>
      <c r="AW268" s="8">
        <v>6330</v>
      </c>
      <c r="AX268" s="8">
        <v>125500</v>
      </c>
      <c r="AY268" s="8">
        <v>36000</v>
      </c>
    </row>
    <row r="269" spans="1:51" x14ac:dyDescent="0.4">
      <c r="A269" s="12">
        <v>41061</v>
      </c>
      <c r="B269" s="9">
        <v>79400</v>
      </c>
      <c r="C269" s="9">
        <v>22750</v>
      </c>
      <c r="D269" s="9">
        <v>65200</v>
      </c>
      <c r="E269" s="9">
        <v>216000</v>
      </c>
      <c r="F269" s="9">
        <v>66300</v>
      </c>
      <c r="G269" s="10">
        <v>45750</v>
      </c>
      <c r="H269" s="10">
        <v>54500</v>
      </c>
      <c r="I269" s="10">
        <v>122000</v>
      </c>
      <c r="J269" s="10">
        <v>83600</v>
      </c>
      <c r="K269" s="10">
        <v>238000</v>
      </c>
      <c r="L269" s="9">
        <v>357500</v>
      </c>
      <c r="M269" s="9">
        <v>1233000</v>
      </c>
      <c r="N269" s="9">
        <v>78600</v>
      </c>
      <c r="O269" s="9">
        <v>153500</v>
      </c>
      <c r="P269" s="9">
        <v>101500</v>
      </c>
      <c r="Q269" s="10">
        <v>260000</v>
      </c>
      <c r="R269" s="10">
        <v>199000</v>
      </c>
      <c r="S269" s="10">
        <v>342000</v>
      </c>
      <c r="T269" s="10">
        <v>35700</v>
      </c>
      <c r="U269" s="10">
        <v>91000</v>
      </c>
      <c r="V269" s="9">
        <v>240500</v>
      </c>
      <c r="W269" s="9">
        <v>25062</v>
      </c>
      <c r="X269" s="9">
        <v>273000</v>
      </c>
      <c r="Y269" s="9">
        <v>22600</v>
      </c>
      <c r="Z269" s="9">
        <v>49150</v>
      </c>
      <c r="AA269" s="10">
        <v>124000</v>
      </c>
      <c r="AB269" s="10">
        <v>301000</v>
      </c>
      <c r="AC269" s="10">
        <v>11950</v>
      </c>
      <c r="AD269" s="10">
        <v>180000</v>
      </c>
      <c r="AE269" s="10">
        <v>33650</v>
      </c>
      <c r="AF269" s="9">
        <v>28350</v>
      </c>
      <c r="AG269" s="9">
        <v>98100</v>
      </c>
      <c r="AH269" s="9">
        <v>79800</v>
      </c>
      <c r="AI269" s="9">
        <v>52900</v>
      </c>
      <c r="AJ269" s="9">
        <v>21150</v>
      </c>
      <c r="AK269" s="10">
        <v>25400</v>
      </c>
      <c r="AL269" s="10">
        <v>240000</v>
      </c>
      <c r="AM269" s="10">
        <v>241500</v>
      </c>
      <c r="AN269" s="10">
        <v>26550</v>
      </c>
      <c r="AO269" s="10">
        <v>8480</v>
      </c>
      <c r="AP269" s="9">
        <v>583000</v>
      </c>
      <c r="AQ269" s="9">
        <v>282000</v>
      </c>
      <c r="AR269" s="9">
        <v>11000</v>
      </c>
      <c r="AS269" s="9">
        <v>37750</v>
      </c>
      <c r="AT269" s="9">
        <v>64000</v>
      </c>
      <c r="AU269" s="10">
        <v>212000</v>
      </c>
      <c r="AV269" s="10">
        <v>36700</v>
      </c>
      <c r="AW269" s="10">
        <v>6100</v>
      </c>
      <c r="AX269" s="10">
        <v>136000</v>
      </c>
      <c r="AY269" s="10">
        <v>36850</v>
      </c>
    </row>
    <row r="270" spans="1:51" x14ac:dyDescent="0.4">
      <c r="A270" s="11">
        <v>41060</v>
      </c>
      <c r="B270" s="7">
        <v>80200</v>
      </c>
      <c r="C270" s="7">
        <v>23100</v>
      </c>
      <c r="D270" s="7">
        <v>66500</v>
      </c>
      <c r="E270" s="7">
        <v>210500</v>
      </c>
      <c r="F270" s="7">
        <v>68000</v>
      </c>
      <c r="G270" s="8">
        <v>45200</v>
      </c>
      <c r="H270" s="8">
        <v>55000</v>
      </c>
      <c r="I270" s="8">
        <v>122500</v>
      </c>
      <c r="J270" s="8">
        <v>84700</v>
      </c>
      <c r="K270" s="8">
        <v>244000</v>
      </c>
      <c r="L270" s="7">
        <v>362000</v>
      </c>
      <c r="M270" s="7">
        <v>1211000</v>
      </c>
      <c r="N270" s="7">
        <v>80500</v>
      </c>
      <c r="O270" s="7">
        <v>153000</v>
      </c>
      <c r="P270" s="7">
        <v>102000</v>
      </c>
      <c r="Q270" s="8">
        <v>267000</v>
      </c>
      <c r="R270" s="8">
        <v>203500</v>
      </c>
      <c r="S270" s="8">
        <v>355000</v>
      </c>
      <c r="T270" s="8">
        <v>36550</v>
      </c>
      <c r="U270" s="8">
        <v>92700</v>
      </c>
      <c r="V270" s="7">
        <v>250000</v>
      </c>
      <c r="W270" s="7">
        <v>24668</v>
      </c>
      <c r="X270" s="7">
        <v>277000</v>
      </c>
      <c r="Y270" s="7">
        <v>22500</v>
      </c>
      <c r="Z270" s="7">
        <v>50400</v>
      </c>
      <c r="AA270" s="8">
        <v>120500</v>
      </c>
      <c r="AB270" s="8">
        <v>315500</v>
      </c>
      <c r="AC270" s="8">
        <v>12000</v>
      </c>
      <c r="AD270" s="8">
        <v>188000</v>
      </c>
      <c r="AE270" s="8">
        <v>33200</v>
      </c>
      <c r="AF270" s="7">
        <v>27950</v>
      </c>
      <c r="AG270" s="7">
        <v>97600</v>
      </c>
      <c r="AH270" s="7">
        <v>78600</v>
      </c>
      <c r="AI270" s="7">
        <v>54000</v>
      </c>
      <c r="AJ270" s="7">
        <v>20900</v>
      </c>
      <c r="AK270" s="8">
        <v>25200</v>
      </c>
      <c r="AL270" s="8">
        <v>242500</v>
      </c>
      <c r="AM270" s="8">
        <v>240000</v>
      </c>
      <c r="AN270" s="8">
        <v>27300</v>
      </c>
      <c r="AO270" s="8">
        <v>8530</v>
      </c>
      <c r="AP270" s="7">
        <v>584000</v>
      </c>
      <c r="AQ270" s="7">
        <v>291000</v>
      </c>
      <c r="AR270" s="7">
        <v>11000</v>
      </c>
      <c r="AS270" s="7">
        <v>37950</v>
      </c>
      <c r="AT270" s="7">
        <v>66100</v>
      </c>
      <c r="AU270" s="8">
        <v>208500</v>
      </c>
      <c r="AV270" s="8">
        <v>37200</v>
      </c>
      <c r="AW270" s="8">
        <v>6090</v>
      </c>
      <c r="AX270" s="8">
        <v>140000</v>
      </c>
      <c r="AY270" s="8">
        <v>36900</v>
      </c>
    </row>
    <row r="271" spans="1:51" x14ac:dyDescent="0.4">
      <c r="A271" s="11">
        <v>41059</v>
      </c>
      <c r="B271" s="7">
        <v>78500</v>
      </c>
      <c r="C271" s="7">
        <v>23450</v>
      </c>
      <c r="D271" s="7">
        <v>68600</v>
      </c>
      <c r="E271" s="7">
        <v>206500</v>
      </c>
      <c r="F271" s="7">
        <v>69100</v>
      </c>
      <c r="G271" s="8">
        <v>45200</v>
      </c>
      <c r="H271" s="8">
        <v>54500</v>
      </c>
      <c r="I271" s="8">
        <v>121000</v>
      </c>
      <c r="J271" s="8">
        <v>87000</v>
      </c>
      <c r="K271" s="8">
        <v>243000</v>
      </c>
      <c r="L271" s="7">
        <v>362500</v>
      </c>
      <c r="M271" s="7">
        <v>1226000</v>
      </c>
      <c r="N271" s="7">
        <v>80100</v>
      </c>
      <c r="O271" s="7">
        <v>154000</v>
      </c>
      <c r="P271" s="7">
        <v>102000</v>
      </c>
      <c r="Q271" s="8">
        <v>272000</v>
      </c>
      <c r="R271" s="8">
        <v>205000</v>
      </c>
      <c r="S271" s="8">
        <v>358500</v>
      </c>
      <c r="T271" s="8">
        <v>37200</v>
      </c>
      <c r="U271" s="8">
        <v>93600</v>
      </c>
      <c r="V271" s="7">
        <v>255000</v>
      </c>
      <c r="W271" s="7">
        <v>25111</v>
      </c>
      <c r="X271" s="7">
        <v>279000</v>
      </c>
      <c r="Y271" s="7">
        <v>22400</v>
      </c>
      <c r="Z271" s="7">
        <v>49800</v>
      </c>
      <c r="AA271" s="8">
        <v>122500</v>
      </c>
      <c r="AB271" s="8">
        <v>313500</v>
      </c>
      <c r="AC271" s="8">
        <v>12100</v>
      </c>
      <c r="AD271" s="8">
        <v>192000</v>
      </c>
      <c r="AE271" s="8">
        <v>33000</v>
      </c>
      <c r="AF271" s="7">
        <v>27800</v>
      </c>
      <c r="AG271" s="7">
        <v>93900</v>
      </c>
      <c r="AH271" s="7">
        <v>76600</v>
      </c>
      <c r="AI271" s="7">
        <v>53300</v>
      </c>
      <c r="AJ271" s="7">
        <v>21300</v>
      </c>
      <c r="AK271" s="8">
        <v>24600</v>
      </c>
      <c r="AL271" s="8">
        <v>235500</v>
      </c>
      <c r="AM271" s="8">
        <v>248000</v>
      </c>
      <c r="AN271" s="8">
        <v>27150</v>
      </c>
      <c r="AO271" s="8">
        <v>8640</v>
      </c>
      <c r="AP271" s="7">
        <v>590000</v>
      </c>
      <c r="AQ271" s="7">
        <v>298000</v>
      </c>
      <c r="AR271" s="7">
        <v>10800</v>
      </c>
      <c r="AS271" s="7">
        <v>38350</v>
      </c>
      <c r="AT271" s="7">
        <v>67200</v>
      </c>
      <c r="AU271" s="8">
        <v>203500</v>
      </c>
      <c r="AV271" s="8">
        <v>37250</v>
      </c>
      <c r="AW271" s="8">
        <v>6030</v>
      </c>
      <c r="AX271" s="8">
        <v>144000</v>
      </c>
      <c r="AY271" s="8">
        <v>36650</v>
      </c>
    </row>
    <row r="272" spans="1:51" x14ac:dyDescent="0.4">
      <c r="A272" s="11">
        <v>41058</v>
      </c>
      <c r="B272" s="7">
        <v>77900</v>
      </c>
      <c r="C272" s="7">
        <v>23450</v>
      </c>
      <c r="D272" s="7">
        <v>69900</v>
      </c>
      <c r="E272" s="7">
        <v>206500</v>
      </c>
      <c r="F272" s="7">
        <v>69600</v>
      </c>
      <c r="G272" s="8">
        <v>45800</v>
      </c>
      <c r="H272" s="8">
        <v>55300</v>
      </c>
      <c r="I272" s="8">
        <v>124000</v>
      </c>
      <c r="J272" s="8">
        <v>87400</v>
      </c>
      <c r="K272" s="8">
        <v>237500</v>
      </c>
      <c r="L272" s="7">
        <v>358500</v>
      </c>
      <c r="M272" s="7">
        <v>1238000</v>
      </c>
      <c r="N272" s="7">
        <v>80300</v>
      </c>
      <c r="O272" s="7">
        <v>155000</v>
      </c>
      <c r="P272" s="7">
        <v>102000</v>
      </c>
      <c r="Q272" s="8">
        <v>270500</v>
      </c>
      <c r="R272" s="8">
        <v>203000</v>
      </c>
      <c r="S272" s="8">
        <v>363000</v>
      </c>
      <c r="T272" s="8">
        <v>37300</v>
      </c>
      <c r="U272" s="8">
        <v>94400</v>
      </c>
      <c r="V272" s="7">
        <v>263000</v>
      </c>
      <c r="W272" s="7">
        <v>25899</v>
      </c>
      <c r="X272" s="7">
        <v>273000</v>
      </c>
      <c r="Y272" s="7">
        <v>22650</v>
      </c>
      <c r="Z272" s="7">
        <v>50200</v>
      </c>
      <c r="AA272" s="8">
        <v>123500</v>
      </c>
      <c r="AB272" s="8">
        <v>310500</v>
      </c>
      <c r="AC272" s="8">
        <v>12100</v>
      </c>
      <c r="AD272" s="8">
        <v>193500</v>
      </c>
      <c r="AE272" s="8">
        <v>32800</v>
      </c>
      <c r="AF272" s="7">
        <v>28050</v>
      </c>
      <c r="AG272" s="7">
        <v>95500</v>
      </c>
      <c r="AH272" s="7">
        <v>76100</v>
      </c>
      <c r="AI272" s="7">
        <v>53700</v>
      </c>
      <c r="AJ272" s="7">
        <v>21000</v>
      </c>
      <c r="AK272" s="8">
        <v>25000</v>
      </c>
      <c r="AL272" s="8">
        <v>226500</v>
      </c>
      <c r="AM272" s="8">
        <v>245500</v>
      </c>
      <c r="AN272" s="8">
        <v>27500</v>
      </c>
      <c r="AO272" s="8">
        <v>8600</v>
      </c>
      <c r="AP272" s="7">
        <v>585000</v>
      </c>
      <c r="AQ272" s="7">
        <v>299000</v>
      </c>
      <c r="AR272" s="7">
        <v>11050</v>
      </c>
      <c r="AS272" s="7">
        <v>38950</v>
      </c>
      <c r="AT272" s="7">
        <v>67800</v>
      </c>
      <c r="AU272" s="8">
        <v>201500</v>
      </c>
      <c r="AV272" s="8">
        <v>37250</v>
      </c>
      <c r="AW272" s="8">
        <v>6190</v>
      </c>
      <c r="AX272" s="8">
        <v>145000</v>
      </c>
      <c r="AY272" s="8">
        <v>36550</v>
      </c>
    </row>
    <row r="273" spans="1:51" x14ac:dyDescent="0.4">
      <c r="A273" s="11">
        <v>41054</v>
      </c>
      <c r="B273" s="7">
        <v>76400</v>
      </c>
      <c r="C273" s="7">
        <v>22000</v>
      </c>
      <c r="D273" s="7">
        <v>69800</v>
      </c>
      <c r="E273" s="7">
        <v>211500</v>
      </c>
      <c r="F273" s="7">
        <v>68500</v>
      </c>
      <c r="G273" s="8">
        <v>45200</v>
      </c>
      <c r="H273" s="8">
        <v>53900</v>
      </c>
      <c r="I273" s="8">
        <v>122000</v>
      </c>
      <c r="J273" s="8">
        <v>85700</v>
      </c>
      <c r="K273" s="8">
        <v>233000</v>
      </c>
      <c r="L273" s="7">
        <v>356000</v>
      </c>
      <c r="M273" s="7">
        <v>1225000</v>
      </c>
      <c r="N273" s="7">
        <v>78700</v>
      </c>
      <c r="O273" s="7">
        <v>153500</v>
      </c>
      <c r="P273" s="7">
        <v>102500</v>
      </c>
      <c r="Q273" s="8">
        <v>261500</v>
      </c>
      <c r="R273" s="8">
        <v>197000</v>
      </c>
      <c r="S273" s="8">
        <v>358000</v>
      </c>
      <c r="T273" s="8">
        <v>35600</v>
      </c>
      <c r="U273" s="8">
        <v>92400</v>
      </c>
      <c r="V273" s="7">
        <v>248000</v>
      </c>
      <c r="W273" s="7">
        <v>25161</v>
      </c>
      <c r="X273" s="7">
        <v>266000</v>
      </c>
      <c r="Y273" s="7">
        <v>22400</v>
      </c>
      <c r="Z273" s="7">
        <v>49400</v>
      </c>
      <c r="AA273" s="8">
        <v>123500</v>
      </c>
      <c r="AB273" s="8">
        <v>305500</v>
      </c>
      <c r="AC273" s="8">
        <v>11950</v>
      </c>
      <c r="AD273" s="8">
        <v>191000</v>
      </c>
      <c r="AE273" s="8">
        <v>31900</v>
      </c>
      <c r="AF273" s="7">
        <v>27800</v>
      </c>
      <c r="AG273" s="7">
        <v>95800</v>
      </c>
      <c r="AH273" s="7">
        <v>75700</v>
      </c>
      <c r="AI273" s="7">
        <v>53200</v>
      </c>
      <c r="AJ273" s="7">
        <v>20050</v>
      </c>
      <c r="AK273" s="8">
        <v>25000</v>
      </c>
      <c r="AL273" s="8">
        <v>230000</v>
      </c>
      <c r="AM273" s="8">
        <v>233500</v>
      </c>
      <c r="AN273" s="8">
        <v>25800</v>
      </c>
      <c r="AO273" s="8">
        <v>8600</v>
      </c>
      <c r="AP273" s="7">
        <v>575000</v>
      </c>
      <c r="AQ273" s="7">
        <v>292500</v>
      </c>
      <c r="AR273" s="7">
        <v>10750</v>
      </c>
      <c r="AS273" s="7">
        <v>38550</v>
      </c>
      <c r="AT273" s="7">
        <v>66800</v>
      </c>
      <c r="AU273" s="8">
        <v>199500</v>
      </c>
      <c r="AV273" s="8">
        <v>36250</v>
      </c>
      <c r="AW273" s="8">
        <v>6190</v>
      </c>
      <c r="AX273" s="8">
        <v>141500</v>
      </c>
      <c r="AY273" s="8">
        <v>36250</v>
      </c>
    </row>
    <row r="274" spans="1:51" x14ac:dyDescent="0.4">
      <c r="A274" s="12">
        <v>41053</v>
      </c>
      <c r="B274" s="9">
        <v>75900</v>
      </c>
      <c r="C274" s="9">
        <v>22400</v>
      </c>
      <c r="D274" s="9">
        <v>68800</v>
      </c>
      <c r="E274" s="9">
        <v>215500</v>
      </c>
      <c r="F274" s="9">
        <v>68100</v>
      </c>
      <c r="G274" s="10">
        <v>44450</v>
      </c>
      <c r="H274" s="10">
        <v>53000</v>
      </c>
      <c r="I274" s="10">
        <v>119500</v>
      </c>
      <c r="J274" s="10">
        <v>83000</v>
      </c>
      <c r="K274" s="10">
        <v>233500</v>
      </c>
      <c r="L274" s="9">
        <v>353500</v>
      </c>
      <c r="M274" s="9">
        <v>1225000</v>
      </c>
      <c r="N274" s="9">
        <v>77700</v>
      </c>
      <c r="O274" s="9">
        <v>152000</v>
      </c>
      <c r="P274" s="9">
        <v>100500</v>
      </c>
      <c r="Q274" s="10">
        <v>257000</v>
      </c>
      <c r="R274" s="10">
        <v>197000</v>
      </c>
      <c r="S274" s="10">
        <v>344000</v>
      </c>
      <c r="T274" s="10">
        <v>35450</v>
      </c>
      <c r="U274" s="10">
        <v>91000</v>
      </c>
      <c r="V274" s="9">
        <v>234500</v>
      </c>
      <c r="W274" s="9">
        <v>24619</v>
      </c>
      <c r="X274" s="9">
        <v>269000</v>
      </c>
      <c r="Y274" s="9">
        <v>22450</v>
      </c>
      <c r="Z274" s="9">
        <v>49450</v>
      </c>
      <c r="AA274" s="10">
        <v>121000</v>
      </c>
      <c r="AB274" s="10">
        <v>302000</v>
      </c>
      <c r="AC274" s="10">
        <v>11900</v>
      </c>
      <c r="AD274" s="10">
        <v>192500</v>
      </c>
      <c r="AE274" s="10">
        <v>31550</v>
      </c>
      <c r="AF274" s="9">
        <v>27700</v>
      </c>
      <c r="AG274" s="9">
        <v>95500</v>
      </c>
      <c r="AH274" s="9">
        <v>77100</v>
      </c>
      <c r="AI274" s="9">
        <v>52800</v>
      </c>
      <c r="AJ274" s="9">
        <v>20600</v>
      </c>
      <c r="AK274" s="10">
        <v>24350</v>
      </c>
      <c r="AL274" s="10">
        <v>234000</v>
      </c>
      <c r="AM274" s="10">
        <v>238500</v>
      </c>
      <c r="AN274" s="10">
        <v>25650</v>
      </c>
      <c r="AO274" s="10">
        <v>8490</v>
      </c>
      <c r="AP274" s="9">
        <v>590000</v>
      </c>
      <c r="AQ274" s="9">
        <v>279000</v>
      </c>
      <c r="AR274" s="9">
        <v>10750</v>
      </c>
      <c r="AS274" s="9">
        <v>38400</v>
      </c>
      <c r="AT274" s="9">
        <v>66300</v>
      </c>
      <c r="AU274" s="10">
        <v>196500</v>
      </c>
      <c r="AV274" s="10">
        <v>36450</v>
      </c>
      <c r="AW274" s="10">
        <v>6270</v>
      </c>
      <c r="AX274" s="10">
        <v>138500</v>
      </c>
      <c r="AY274" s="10">
        <v>36250</v>
      </c>
    </row>
    <row r="275" spans="1:51" x14ac:dyDescent="0.4">
      <c r="A275" s="11">
        <v>41052</v>
      </c>
      <c r="B275" s="7">
        <v>75500</v>
      </c>
      <c r="C275" s="7">
        <v>22400</v>
      </c>
      <c r="D275" s="7">
        <v>68100</v>
      </c>
      <c r="E275" s="7">
        <v>216000</v>
      </c>
      <c r="F275" s="7">
        <v>68300</v>
      </c>
      <c r="G275" s="8">
        <v>44000</v>
      </c>
      <c r="H275" s="8">
        <v>52800</v>
      </c>
      <c r="I275" s="8">
        <v>119000</v>
      </c>
      <c r="J275" s="8">
        <v>81600</v>
      </c>
      <c r="K275" s="8">
        <v>233500</v>
      </c>
      <c r="L275" s="7">
        <v>351500</v>
      </c>
      <c r="M275" s="7">
        <v>1221000</v>
      </c>
      <c r="N275" s="7">
        <v>76300</v>
      </c>
      <c r="O275" s="7">
        <v>153500</v>
      </c>
      <c r="P275" s="7">
        <v>100500</v>
      </c>
      <c r="Q275" s="8">
        <v>255000</v>
      </c>
      <c r="R275" s="8">
        <v>195000</v>
      </c>
      <c r="S275" s="8">
        <v>348000</v>
      </c>
      <c r="T275" s="8">
        <v>35650</v>
      </c>
      <c r="U275" s="8">
        <v>91000</v>
      </c>
      <c r="V275" s="7">
        <v>237000</v>
      </c>
      <c r="W275" s="7">
        <v>24127</v>
      </c>
      <c r="X275" s="7">
        <v>274000</v>
      </c>
      <c r="Y275" s="7">
        <v>22600</v>
      </c>
      <c r="Z275" s="7">
        <v>49250</v>
      </c>
      <c r="AA275" s="8">
        <v>124500</v>
      </c>
      <c r="AB275" s="8">
        <v>312500</v>
      </c>
      <c r="AC275" s="8">
        <v>11900</v>
      </c>
      <c r="AD275" s="8">
        <v>193500</v>
      </c>
      <c r="AE275" s="8">
        <v>31350</v>
      </c>
      <c r="AF275" s="7">
        <v>28300</v>
      </c>
      <c r="AG275" s="7">
        <v>95500</v>
      </c>
      <c r="AH275" s="7">
        <v>76200</v>
      </c>
      <c r="AI275" s="7">
        <v>50600</v>
      </c>
      <c r="AJ275" s="7">
        <v>20400</v>
      </c>
      <c r="AK275" s="8">
        <v>24550</v>
      </c>
      <c r="AL275" s="8">
        <v>230000</v>
      </c>
      <c r="AM275" s="8">
        <v>235000</v>
      </c>
      <c r="AN275" s="8">
        <v>25500</v>
      </c>
      <c r="AO275" s="8">
        <v>8150</v>
      </c>
      <c r="AP275" s="7">
        <v>584000</v>
      </c>
      <c r="AQ275" s="7">
        <v>275000</v>
      </c>
      <c r="AR275" s="7">
        <v>10650</v>
      </c>
      <c r="AS275" s="7">
        <v>38250</v>
      </c>
      <c r="AT275" s="7">
        <v>65200</v>
      </c>
      <c r="AU275" s="8">
        <v>199000</v>
      </c>
      <c r="AV275" s="8">
        <v>36600</v>
      </c>
      <c r="AW275" s="8">
        <v>6140</v>
      </c>
      <c r="AX275" s="8">
        <v>138500</v>
      </c>
      <c r="AY275" s="8">
        <v>35950</v>
      </c>
    </row>
    <row r="276" spans="1:51" x14ac:dyDescent="0.4">
      <c r="A276" s="11">
        <v>41051</v>
      </c>
      <c r="B276" s="7">
        <v>76100</v>
      </c>
      <c r="C276" s="7">
        <v>23550</v>
      </c>
      <c r="D276" s="7">
        <v>67500</v>
      </c>
      <c r="E276" s="7">
        <v>217000</v>
      </c>
      <c r="F276" s="7">
        <v>69300</v>
      </c>
      <c r="G276" s="8">
        <v>44600</v>
      </c>
      <c r="H276" s="8">
        <v>54000</v>
      </c>
      <c r="I276" s="8">
        <v>120000</v>
      </c>
      <c r="J276" s="8">
        <v>85800</v>
      </c>
      <c r="K276" s="8">
        <v>237000</v>
      </c>
      <c r="L276" s="7">
        <v>355000</v>
      </c>
      <c r="M276" s="7">
        <v>1240000</v>
      </c>
      <c r="N276" s="7">
        <v>77500</v>
      </c>
      <c r="O276" s="7">
        <v>156500</v>
      </c>
      <c r="P276" s="7">
        <v>100500</v>
      </c>
      <c r="Q276" s="8">
        <v>262500</v>
      </c>
      <c r="R276" s="8">
        <v>196500</v>
      </c>
      <c r="S276" s="8">
        <v>345000</v>
      </c>
      <c r="T276" s="8">
        <v>35950</v>
      </c>
      <c r="U276" s="8">
        <v>93000</v>
      </c>
      <c r="V276" s="7">
        <v>246000</v>
      </c>
      <c r="W276" s="7">
        <v>24127</v>
      </c>
      <c r="X276" s="7">
        <v>271500</v>
      </c>
      <c r="Y276" s="7">
        <v>22750</v>
      </c>
      <c r="Z276" s="7">
        <v>49650</v>
      </c>
      <c r="AA276" s="8">
        <v>128500</v>
      </c>
      <c r="AB276" s="8">
        <v>317500</v>
      </c>
      <c r="AC276" s="8">
        <v>11900</v>
      </c>
      <c r="AD276" s="8">
        <v>193000</v>
      </c>
      <c r="AE276" s="8">
        <v>32100</v>
      </c>
      <c r="AF276" s="7">
        <v>28850</v>
      </c>
      <c r="AG276" s="7">
        <v>96100</v>
      </c>
      <c r="AH276" s="7">
        <v>76300</v>
      </c>
      <c r="AI276" s="7">
        <v>51600</v>
      </c>
      <c r="AJ276" s="7">
        <v>21250</v>
      </c>
      <c r="AK276" s="8">
        <v>24350</v>
      </c>
      <c r="AL276" s="8">
        <v>229000</v>
      </c>
      <c r="AM276" s="8">
        <v>218000</v>
      </c>
      <c r="AN276" s="8">
        <v>27050</v>
      </c>
      <c r="AO276" s="8">
        <v>8290</v>
      </c>
      <c r="AP276" s="7">
        <v>575000</v>
      </c>
      <c r="AQ276" s="7">
        <v>283000</v>
      </c>
      <c r="AR276" s="7">
        <v>10700</v>
      </c>
      <c r="AS276" s="7">
        <v>38250</v>
      </c>
      <c r="AT276" s="7">
        <v>67700</v>
      </c>
      <c r="AU276" s="8">
        <v>194000</v>
      </c>
      <c r="AV276" s="8">
        <v>36750</v>
      </c>
      <c r="AW276" s="8">
        <v>6200</v>
      </c>
      <c r="AX276" s="8">
        <v>142500</v>
      </c>
      <c r="AY276" s="8">
        <v>36200</v>
      </c>
    </row>
    <row r="277" spans="1:51" x14ac:dyDescent="0.4">
      <c r="A277" s="11">
        <v>41050</v>
      </c>
      <c r="B277" s="7">
        <v>76100</v>
      </c>
      <c r="C277" s="7">
        <v>23400</v>
      </c>
      <c r="D277" s="7">
        <v>65000</v>
      </c>
      <c r="E277" s="7">
        <v>217000</v>
      </c>
      <c r="F277" s="7">
        <v>67000</v>
      </c>
      <c r="G277" s="8">
        <v>44050</v>
      </c>
      <c r="H277" s="8">
        <v>52800</v>
      </c>
      <c r="I277" s="8">
        <v>117500</v>
      </c>
      <c r="J277" s="8">
        <v>83700</v>
      </c>
      <c r="K277" s="8">
        <v>237000</v>
      </c>
      <c r="L277" s="7">
        <v>357500</v>
      </c>
      <c r="M277" s="7">
        <v>1209000</v>
      </c>
      <c r="N277" s="7">
        <v>74100</v>
      </c>
      <c r="O277" s="7">
        <v>156500</v>
      </c>
      <c r="P277" s="7">
        <v>97200</v>
      </c>
      <c r="Q277" s="8">
        <v>255000</v>
      </c>
      <c r="R277" s="8">
        <v>194000</v>
      </c>
      <c r="S277" s="8">
        <v>335500</v>
      </c>
      <c r="T277" s="8">
        <v>34650</v>
      </c>
      <c r="U277" s="8">
        <v>92600</v>
      </c>
      <c r="V277" s="7">
        <v>241000</v>
      </c>
      <c r="W277" s="7">
        <v>24471</v>
      </c>
      <c r="X277" s="7">
        <v>274500</v>
      </c>
      <c r="Y277" s="7">
        <v>22750</v>
      </c>
      <c r="Z277" s="7">
        <v>47750</v>
      </c>
      <c r="AA277" s="8">
        <v>126000</v>
      </c>
      <c r="AB277" s="8">
        <v>301500</v>
      </c>
      <c r="AC277" s="8">
        <v>11600</v>
      </c>
      <c r="AD277" s="8">
        <v>186000</v>
      </c>
      <c r="AE277" s="8">
        <v>32050</v>
      </c>
      <c r="AF277" s="7">
        <v>28700</v>
      </c>
      <c r="AG277" s="7">
        <v>95300</v>
      </c>
      <c r="AH277" s="7">
        <v>75000</v>
      </c>
      <c r="AI277" s="7">
        <v>50200</v>
      </c>
      <c r="AJ277" s="7">
        <v>20900</v>
      </c>
      <c r="AK277" s="8">
        <v>24950</v>
      </c>
      <c r="AL277" s="8">
        <v>229000</v>
      </c>
      <c r="AM277" s="8">
        <v>213000</v>
      </c>
      <c r="AN277" s="8">
        <v>26750</v>
      </c>
      <c r="AO277" s="8">
        <v>8140</v>
      </c>
      <c r="AP277" s="7">
        <v>588000</v>
      </c>
      <c r="AQ277" s="7">
        <v>280500</v>
      </c>
      <c r="AR277" s="7">
        <v>10050</v>
      </c>
      <c r="AS277" s="7">
        <v>37000</v>
      </c>
      <c r="AT277" s="7">
        <v>62900</v>
      </c>
      <c r="AU277" s="8">
        <v>195000</v>
      </c>
      <c r="AV277" s="8">
        <v>35050</v>
      </c>
      <c r="AW277" s="8">
        <v>6200</v>
      </c>
      <c r="AX277" s="8">
        <v>140500</v>
      </c>
      <c r="AY277" s="8">
        <v>35300</v>
      </c>
    </row>
    <row r="278" spans="1:51" x14ac:dyDescent="0.4">
      <c r="A278" s="11">
        <v>41047</v>
      </c>
      <c r="B278" s="7">
        <v>73300</v>
      </c>
      <c r="C278" s="7">
        <v>23600</v>
      </c>
      <c r="D278" s="7">
        <v>64800</v>
      </c>
      <c r="E278" s="7">
        <v>215000</v>
      </c>
      <c r="F278" s="7">
        <v>66400</v>
      </c>
      <c r="G278" s="8">
        <v>43600</v>
      </c>
      <c r="H278" s="8">
        <v>53500</v>
      </c>
      <c r="I278" s="8">
        <v>116500</v>
      </c>
      <c r="J278" s="8">
        <v>84700</v>
      </c>
      <c r="K278" s="8">
        <v>229000</v>
      </c>
      <c r="L278" s="7">
        <v>358500</v>
      </c>
      <c r="M278" s="7">
        <v>1166000</v>
      </c>
      <c r="N278" s="7">
        <v>74100</v>
      </c>
      <c r="O278" s="7">
        <v>156000</v>
      </c>
      <c r="P278" s="7">
        <v>93800</v>
      </c>
      <c r="Q278" s="8">
        <v>253000</v>
      </c>
      <c r="R278" s="8">
        <v>203000</v>
      </c>
      <c r="S278" s="8">
        <v>339500</v>
      </c>
      <c r="T278" s="8">
        <v>34150</v>
      </c>
      <c r="U278" s="8">
        <v>93600</v>
      </c>
      <c r="V278" s="7">
        <v>240500</v>
      </c>
      <c r="W278" s="7">
        <v>24422</v>
      </c>
      <c r="X278" s="7">
        <v>272500</v>
      </c>
      <c r="Y278" s="7">
        <v>22750</v>
      </c>
      <c r="Z278" s="7">
        <v>48400</v>
      </c>
      <c r="AA278" s="8">
        <v>128500</v>
      </c>
      <c r="AB278" s="8">
        <v>309000</v>
      </c>
      <c r="AC278" s="8">
        <v>11750</v>
      </c>
      <c r="AD278" s="8">
        <v>182500</v>
      </c>
      <c r="AE278" s="8">
        <v>32850</v>
      </c>
      <c r="AF278" s="7">
        <v>29100</v>
      </c>
      <c r="AG278" s="7">
        <v>95100</v>
      </c>
      <c r="AH278" s="7">
        <v>75500</v>
      </c>
      <c r="AI278" s="7">
        <v>50900</v>
      </c>
      <c r="AJ278" s="7">
        <v>20850</v>
      </c>
      <c r="AK278" s="8">
        <v>25000</v>
      </c>
      <c r="AL278" s="8">
        <v>224000</v>
      </c>
      <c r="AM278" s="8">
        <v>222000</v>
      </c>
      <c r="AN278" s="8">
        <v>26800</v>
      </c>
      <c r="AO278" s="8">
        <v>8310</v>
      </c>
      <c r="AP278" s="7">
        <v>556000</v>
      </c>
      <c r="AQ278" s="7">
        <v>278500</v>
      </c>
      <c r="AR278" s="7">
        <v>9900</v>
      </c>
      <c r="AS278" s="7">
        <v>37650</v>
      </c>
      <c r="AT278" s="7">
        <v>64400</v>
      </c>
      <c r="AU278" s="8">
        <v>192500</v>
      </c>
      <c r="AV278" s="8">
        <v>34650</v>
      </c>
      <c r="AW278" s="8">
        <v>6320</v>
      </c>
      <c r="AX278" s="8">
        <v>138500</v>
      </c>
      <c r="AY278" s="8">
        <v>35400</v>
      </c>
    </row>
    <row r="279" spans="1:51" x14ac:dyDescent="0.4">
      <c r="A279" s="12">
        <v>41046</v>
      </c>
      <c r="B279" s="9">
        <v>77700</v>
      </c>
      <c r="C279" s="9">
        <v>24500</v>
      </c>
      <c r="D279" s="9">
        <v>67200</v>
      </c>
      <c r="E279" s="9">
        <v>219000</v>
      </c>
      <c r="F279" s="9">
        <v>69000</v>
      </c>
      <c r="G279" s="10">
        <v>45800</v>
      </c>
      <c r="H279" s="10">
        <v>55400</v>
      </c>
      <c r="I279" s="10">
        <v>119000</v>
      </c>
      <c r="J279" s="10">
        <v>88900</v>
      </c>
      <c r="K279" s="10">
        <v>240500</v>
      </c>
      <c r="L279" s="9">
        <v>368500</v>
      </c>
      <c r="M279" s="9">
        <v>1223000</v>
      </c>
      <c r="N279" s="9">
        <v>76900</v>
      </c>
      <c r="O279" s="9">
        <v>158500</v>
      </c>
      <c r="P279" s="9">
        <v>98000</v>
      </c>
      <c r="Q279" s="10">
        <v>260000</v>
      </c>
      <c r="R279" s="10">
        <v>213000</v>
      </c>
      <c r="S279" s="10">
        <v>344000</v>
      </c>
      <c r="T279" s="10">
        <v>35400</v>
      </c>
      <c r="U279" s="10">
        <v>96000</v>
      </c>
      <c r="V279" s="9">
        <v>245000</v>
      </c>
      <c r="W279" s="9">
        <v>25111</v>
      </c>
      <c r="X279" s="9">
        <v>277500</v>
      </c>
      <c r="Y279" s="9">
        <v>23000</v>
      </c>
      <c r="Z279" s="9">
        <v>50000</v>
      </c>
      <c r="AA279" s="10">
        <v>131500</v>
      </c>
      <c r="AB279" s="10">
        <v>324000</v>
      </c>
      <c r="AC279" s="10">
        <v>12100</v>
      </c>
      <c r="AD279" s="10">
        <v>190000</v>
      </c>
      <c r="AE279" s="10">
        <v>33500</v>
      </c>
      <c r="AF279" s="9">
        <v>29550</v>
      </c>
      <c r="AG279" s="9">
        <v>95700</v>
      </c>
      <c r="AH279" s="9">
        <v>77200</v>
      </c>
      <c r="AI279" s="9">
        <v>52300</v>
      </c>
      <c r="AJ279" s="9">
        <v>20700</v>
      </c>
      <c r="AK279" s="10">
        <v>24450</v>
      </c>
      <c r="AL279" s="10">
        <v>222500</v>
      </c>
      <c r="AM279" s="10">
        <v>235500</v>
      </c>
      <c r="AN279" s="10">
        <v>27850</v>
      </c>
      <c r="AO279" s="10">
        <v>8700</v>
      </c>
      <c r="AP279" s="9">
        <v>574000</v>
      </c>
      <c r="AQ279" s="9">
        <v>282000</v>
      </c>
      <c r="AR279" s="9">
        <v>10550</v>
      </c>
      <c r="AS279" s="9">
        <v>39600</v>
      </c>
      <c r="AT279" s="9">
        <v>66600</v>
      </c>
      <c r="AU279" s="10">
        <v>197500</v>
      </c>
      <c r="AV279" s="10">
        <v>36250</v>
      </c>
      <c r="AW279" s="10">
        <v>6480</v>
      </c>
      <c r="AX279" s="10">
        <v>144000</v>
      </c>
      <c r="AY279" s="10">
        <v>36650</v>
      </c>
    </row>
    <row r="280" spans="1:51" x14ac:dyDescent="0.4">
      <c r="A280" s="11">
        <v>41045</v>
      </c>
      <c r="B280" s="7">
        <v>77600</v>
      </c>
      <c r="C280" s="7">
        <v>23050</v>
      </c>
      <c r="D280" s="7">
        <v>64200</v>
      </c>
      <c r="E280" s="7">
        <v>221500</v>
      </c>
      <c r="F280" s="7">
        <v>66700</v>
      </c>
      <c r="G280" s="8">
        <v>44850</v>
      </c>
      <c r="H280" s="8">
        <v>55100</v>
      </c>
      <c r="I280" s="8">
        <v>115000</v>
      </c>
      <c r="J280" s="8">
        <v>87900</v>
      </c>
      <c r="K280" s="8">
        <v>240500</v>
      </c>
      <c r="L280" s="7">
        <v>372500</v>
      </c>
      <c r="M280" s="7">
        <v>1230000</v>
      </c>
      <c r="N280" s="7">
        <v>73500</v>
      </c>
      <c r="O280" s="7">
        <v>154500</v>
      </c>
      <c r="P280" s="7">
        <v>98000</v>
      </c>
      <c r="Q280" s="8">
        <v>251000</v>
      </c>
      <c r="R280" s="8">
        <v>210000</v>
      </c>
      <c r="S280" s="8">
        <v>324500</v>
      </c>
      <c r="T280" s="8">
        <v>34650</v>
      </c>
      <c r="U280" s="8">
        <v>92300</v>
      </c>
      <c r="V280" s="7">
        <v>235500</v>
      </c>
      <c r="W280" s="7">
        <v>25308</v>
      </c>
      <c r="X280" s="7">
        <v>280500</v>
      </c>
      <c r="Y280" s="7">
        <v>22300</v>
      </c>
      <c r="Z280" s="7">
        <v>50100</v>
      </c>
      <c r="AA280" s="8">
        <v>133000</v>
      </c>
      <c r="AB280" s="8">
        <v>333000</v>
      </c>
      <c r="AC280" s="8">
        <v>12100</v>
      </c>
      <c r="AD280" s="8">
        <v>189500</v>
      </c>
      <c r="AE280" s="8">
        <v>33950</v>
      </c>
      <c r="AF280" s="7">
        <v>29750</v>
      </c>
      <c r="AG280" s="7">
        <v>97000</v>
      </c>
      <c r="AH280" s="7">
        <v>78600</v>
      </c>
      <c r="AI280" s="7">
        <v>51200</v>
      </c>
      <c r="AJ280" s="7">
        <v>20050</v>
      </c>
      <c r="AK280" s="8">
        <v>25600</v>
      </c>
      <c r="AL280" s="8">
        <v>227000</v>
      </c>
      <c r="AM280" s="8">
        <v>245000</v>
      </c>
      <c r="AN280" s="8">
        <v>27550</v>
      </c>
      <c r="AO280" s="8">
        <v>8740</v>
      </c>
      <c r="AP280" s="7">
        <v>572000</v>
      </c>
      <c r="AQ280" s="7">
        <v>267000</v>
      </c>
      <c r="AR280" s="7">
        <v>11350</v>
      </c>
      <c r="AS280" s="7">
        <v>39850</v>
      </c>
      <c r="AT280" s="7">
        <v>67700</v>
      </c>
      <c r="AU280" s="8">
        <v>195500</v>
      </c>
      <c r="AV280" s="8">
        <v>37500</v>
      </c>
      <c r="AW280" s="8">
        <v>6510</v>
      </c>
      <c r="AX280" s="8">
        <v>135500</v>
      </c>
      <c r="AY280" s="8">
        <v>36700</v>
      </c>
    </row>
    <row r="281" spans="1:51" x14ac:dyDescent="0.4">
      <c r="A281" s="11">
        <v>41044</v>
      </c>
      <c r="B281" s="7">
        <v>80800</v>
      </c>
      <c r="C281" s="7">
        <v>25300</v>
      </c>
      <c r="D281" s="7">
        <v>65600</v>
      </c>
      <c r="E281" s="7">
        <v>229000</v>
      </c>
      <c r="F281" s="7">
        <v>70300</v>
      </c>
      <c r="G281" s="8">
        <v>45500</v>
      </c>
      <c r="H281" s="8">
        <v>55700</v>
      </c>
      <c r="I281" s="8">
        <v>117500</v>
      </c>
      <c r="J281" s="8">
        <v>88900</v>
      </c>
      <c r="K281" s="8">
        <v>250500</v>
      </c>
      <c r="L281" s="7">
        <v>381000</v>
      </c>
      <c r="M281" s="7">
        <v>1311000</v>
      </c>
      <c r="N281" s="7">
        <v>76200</v>
      </c>
      <c r="O281" s="7">
        <v>167000</v>
      </c>
      <c r="P281" s="7">
        <v>105500</v>
      </c>
      <c r="Q281" s="8">
        <v>254500</v>
      </c>
      <c r="R281" s="8">
        <v>213500</v>
      </c>
      <c r="S281" s="8">
        <v>337000</v>
      </c>
      <c r="T281" s="8">
        <v>35100</v>
      </c>
      <c r="U281" s="8">
        <v>92700</v>
      </c>
      <c r="V281" s="7">
        <v>240000</v>
      </c>
      <c r="W281" s="7">
        <v>26490</v>
      </c>
      <c r="X281" s="7">
        <v>290000</v>
      </c>
      <c r="Y281" s="7">
        <v>22350</v>
      </c>
      <c r="Z281" s="7">
        <v>50900</v>
      </c>
      <c r="AA281" s="8">
        <v>136500</v>
      </c>
      <c r="AB281" s="8">
        <v>340000</v>
      </c>
      <c r="AC281" s="8">
        <v>12250</v>
      </c>
      <c r="AD281" s="8">
        <v>194500</v>
      </c>
      <c r="AE281" s="8">
        <v>34400</v>
      </c>
      <c r="AF281" s="7">
        <v>30250</v>
      </c>
      <c r="AG281" s="7">
        <v>96300</v>
      </c>
      <c r="AH281" s="7">
        <v>79200</v>
      </c>
      <c r="AI281" s="7">
        <v>51500</v>
      </c>
      <c r="AJ281" s="7">
        <v>21000</v>
      </c>
      <c r="AK281" s="8">
        <v>25850</v>
      </c>
      <c r="AL281" s="8">
        <v>232000</v>
      </c>
      <c r="AM281" s="8">
        <v>248500</v>
      </c>
      <c r="AN281" s="8">
        <v>27800</v>
      </c>
      <c r="AO281" s="8">
        <v>8760</v>
      </c>
      <c r="AP281" s="7">
        <v>576000</v>
      </c>
      <c r="AQ281" s="7">
        <v>269000</v>
      </c>
      <c r="AR281" s="7">
        <v>11800</v>
      </c>
      <c r="AS281" s="7">
        <v>40300</v>
      </c>
      <c r="AT281" s="7">
        <v>70300</v>
      </c>
      <c r="AU281" s="8">
        <v>209000</v>
      </c>
      <c r="AV281" s="8">
        <v>38000</v>
      </c>
      <c r="AW281" s="8">
        <v>6500</v>
      </c>
      <c r="AX281" s="8">
        <v>139000</v>
      </c>
      <c r="AY281" s="8">
        <v>37200</v>
      </c>
    </row>
    <row r="282" spans="1:51" x14ac:dyDescent="0.4">
      <c r="A282" s="11">
        <v>41043</v>
      </c>
      <c r="B282" s="7">
        <v>80300</v>
      </c>
      <c r="C282" s="7">
        <v>26100</v>
      </c>
      <c r="D282" s="7">
        <v>65300</v>
      </c>
      <c r="E282" s="7">
        <v>229000</v>
      </c>
      <c r="F282" s="7">
        <v>71100</v>
      </c>
      <c r="G282" s="8">
        <v>46600</v>
      </c>
      <c r="H282" s="8">
        <v>57200</v>
      </c>
      <c r="I282" s="8">
        <v>119000</v>
      </c>
      <c r="J282" s="8">
        <v>91300</v>
      </c>
      <c r="K282" s="8">
        <v>250500</v>
      </c>
      <c r="L282" s="7">
        <v>381000</v>
      </c>
      <c r="M282" s="7">
        <v>1314000</v>
      </c>
      <c r="N282" s="7">
        <v>77400</v>
      </c>
      <c r="O282" s="7">
        <v>166000</v>
      </c>
      <c r="P282" s="7">
        <v>106000</v>
      </c>
      <c r="Q282" s="8">
        <v>256500</v>
      </c>
      <c r="R282" s="8">
        <v>215000</v>
      </c>
      <c r="S282" s="8">
        <v>337000</v>
      </c>
      <c r="T282" s="8">
        <v>35450</v>
      </c>
      <c r="U282" s="8">
        <v>94300</v>
      </c>
      <c r="V282" s="7">
        <v>249500</v>
      </c>
      <c r="W282" s="7">
        <v>26933</v>
      </c>
      <c r="X282" s="7">
        <v>291500</v>
      </c>
      <c r="Y282" s="7">
        <v>23000</v>
      </c>
      <c r="Z282" s="7">
        <v>51100</v>
      </c>
      <c r="AA282" s="8">
        <v>136000</v>
      </c>
      <c r="AB282" s="8">
        <v>340000</v>
      </c>
      <c r="AC282" s="8">
        <v>12450</v>
      </c>
      <c r="AD282" s="8">
        <v>192500</v>
      </c>
      <c r="AE282" s="8">
        <v>34850</v>
      </c>
      <c r="AF282" s="7">
        <v>30000</v>
      </c>
      <c r="AG282" s="7">
        <v>98300</v>
      </c>
      <c r="AH282" s="7">
        <v>78300</v>
      </c>
      <c r="AI282" s="7">
        <v>52600</v>
      </c>
      <c r="AJ282" s="7">
        <v>21850</v>
      </c>
      <c r="AK282" s="8">
        <v>24900</v>
      </c>
      <c r="AL282" s="8">
        <v>238500</v>
      </c>
      <c r="AM282" s="8">
        <v>246500</v>
      </c>
      <c r="AN282" s="8">
        <v>27950</v>
      </c>
      <c r="AO282" s="8">
        <v>8810</v>
      </c>
      <c r="AP282" s="7">
        <v>586000</v>
      </c>
      <c r="AQ282" s="7">
        <v>274500</v>
      </c>
      <c r="AR282" s="7">
        <v>12200</v>
      </c>
      <c r="AS282" s="7">
        <v>40500</v>
      </c>
      <c r="AT282" s="7">
        <v>71800</v>
      </c>
      <c r="AU282" s="8">
        <v>209500</v>
      </c>
      <c r="AV282" s="8">
        <v>38400</v>
      </c>
      <c r="AW282" s="8">
        <v>6590</v>
      </c>
      <c r="AX282" s="8">
        <v>143000</v>
      </c>
      <c r="AY282" s="8">
        <v>37750</v>
      </c>
    </row>
    <row r="283" spans="1:51" x14ac:dyDescent="0.4">
      <c r="A283" s="11">
        <v>41040</v>
      </c>
      <c r="B283" s="7">
        <v>80600</v>
      </c>
      <c r="C283" s="7">
        <v>25400</v>
      </c>
      <c r="D283" s="7">
        <v>65300</v>
      </c>
      <c r="E283" s="7">
        <v>224000</v>
      </c>
      <c r="F283" s="7">
        <v>71300</v>
      </c>
      <c r="G283" s="8">
        <v>47500</v>
      </c>
      <c r="H283" s="8">
        <v>58100</v>
      </c>
      <c r="I283" s="8">
        <v>120500</v>
      </c>
      <c r="J283" s="8">
        <v>91700</v>
      </c>
      <c r="K283" s="8">
        <v>248000</v>
      </c>
      <c r="L283" s="7">
        <v>384500</v>
      </c>
      <c r="M283" s="7">
        <v>1303000</v>
      </c>
      <c r="N283" s="7">
        <v>77300</v>
      </c>
      <c r="O283" s="7">
        <v>165500</v>
      </c>
      <c r="P283" s="7">
        <v>107000</v>
      </c>
      <c r="Q283" s="8">
        <v>260000</v>
      </c>
      <c r="R283" s="8">
        <v>213500</v>
      </c>
      <c r="S283" s="8">
        <v>338500</v>
      </c>
      <c r="T283" s="8">
        <v>35850</v>
      </c>
      <c r="U283" s="8">
        <v>94900</v>
      </c>
      <c r="V283" s="7">
        <v>252000</v>
      </c>
      <c r="W283" s="7">
        <v>27278</v>
      </c>
      <c r="X283" s="7">
        <v>282500</v>
      </c>
      <c r="Y283" s="7">
        <v>23100</v>
      </c>
      <c r="Z283" s="7">
        <v>50700</v>
      </c>
      <c r="AA283" s="8">
        <v>135000</v>
      </c>
      <c r="AB283" s="8">
        <v>342500</v>
      </c>
      <c r="AC283" s="8">
        <v>12600</v>
      </c>
      <c r="AD283" s="8">
        <v>185000</v>
      </c>
      <c r="AE283" s="8">
        <v>36000</v>
      </c>
      <c r="AF283" s="7">
        <v>29650</v>
      </c>
      <c r="AG283" s="7">
        <v>97800</v>
      </c>
      <c r="AH283" s="7">
        <v>79400</v>
      </c>
      <c r="AI283" s="7">
        <v>52400</v>
      </c>
      <c r="AJ283" s="7">
        <v>22200</v>
      </c>
      <c r="AK283" s="8">
        <v>24500</v>
      </c>
      <c r="AL283" s="8">
        <v>239500</v>
      </c>
      <c r="AM283" s="8">
        <v>280000</v>
      </c>
      <c r="AN283" s="8">
        <v>27750</v>
      </c>
      <c r="AO283" s="8">
        <v>8840</v>
      </c>
      <c r="AP283" s="7">
        <v>585000</v>
      </c>
      <c r="AQ283" s="7">
        <v>278000</v>
      </c>
      <c r="AR283" s="7">
        <v>12250</v>
      </c>
      <c r="AS283" s="7">
        <v>40400</v>
      </c>
      <c r="AT283" s="7">
        <v>71600</v>
      </c>
      <c r="AU283" s="8">
        <v>208500</v>
      </c>
      <c r="AV283" s="8">
        <v>38650</v>
      </c>
      <c r="AW283" s="8">
        <v>6690</v>
      </c>
      <c r="AX283" s="8">
        <v>144000</v>
      </c>
      <c r="AY283" s="8">
        <v>37850</v>
      </c>
    </row>
    <row r="284" spans="1:51" x14ac:dyDescent="0.4">
      <c r="A284" s="12">
        <v>41039</v>
      </c>
      <c r="B284" s="9">
        <v>79800</v>
      </c>
      <c r="C284" s="9">
        <v>26600</v>
      </c>
      <c r="D284" s="9">
        <v>68000</v>
      </c>
      <c r="E284" s="9">
        <v>221500</v>
      </c>
      <c r="F284" s="9">
        <v>72600</v>
      </c>
      <c r="G284" s="10">
        <v>49000</v>
      </c>
      <c r="H284" s="10">
        <v>58800</v>
      </c>
      <c r="I284" s="10">
        <v>123500</v>
      </c>
      <c r="J284" s="10">
        <v>92800</v>
      </c>
      <c r="K284" s="10">
        <v>250000</v>
      </c>
      <c r="L284" s="9">
        <v>381500</v>
      </c>
      <c r="M284" s="9">
        <v>1327000</v>
      </c>
      <c r="N284" s="9">
        <v>80200</v>
      </c>
      <c r="O284" s="9">
        <v>167000</v>
      </c>
      <c r="P284" s="9">
        <v>111000</v>
      </c>
      <c r="Q284" s="10">
        <v>264000</v>
      </c>
      <c r="R284" s="10">
        <v>217500</v>
      </c>
      <c r="S284" s="10">
        <v>355000</v>
      </c>
      <c r="T284" s="10">
        <v>36950</v>
      </c>
      <c r="U284" s="10">
        <v>96300</v>
      </c>
      <c r="V284" s="9">
        <v>261500</v>
      </c>
      <c r="W284" s="9">
        <v>27376</v>
      </c>
      <c r="X284" s="9">
        <v>282000</v>
      </c>
      <c r="Y284" s="9">
        <v>23200</v>
      </c>
      <c r="Z284" s="9">
        <v>51200</v>
      </c>
      <c r="AA284" s="10">
        <v>137000</v>
      </c>
      <c r="AB284" s="10">
        <v>344000</v>
      </c>
      <c r="AC284" s="10">
        <v>12850</v>
      </c>
      <c r="AD284" s="10">
        <v>190000</v>
      </c>
      <c r="AE284" s="10">
        <v>36550</v>
      </c>
      <c r="AF284" s="9">
        <v>30050</v>
      </c>
      <c r="AG284" s="9">
        <v>96600</v>
      </c>
      <c r="AH284" s="9">
        <v>79900</v>
      </c>
      <c r="AI284" s="9">
        <v>53900</v>
      </c>
      <c r="AJ284" s="9">
        <v>22900</v>
      </c>
      <c r="AK284" s="10">
        <v>24200</v>
      </c>
      <c r="AL284" s="10">
        <v>245000</v>
      </c>
      <c r="AM284" s="10">
        <v>285500</v>
      </c>
      <c r="AN284" s="10">
        <v>28700</v>
      </c>
      <c r="AO284" s="10">
        <v>9150</v>
      </c>
      <c r="AP284" s="9">
        <v>594000</v>
      </c>
      <c r="AQ284" s="9">
        <v>288000</v>
      </c>
      <c r="AR284" s="9">
        <v>12500</v>
      </c>
      <c r="AS284" s="9">
        <v>41150</v>
      </c>
      <c r="AT284" s="9">
        <v>74500</v>
      </c>
      <c r="AU284" s="10">
        <v>207500</v>
      </c>
      <c r="AV284" s="10">
        <v>39450</v>
      </c>
      <c r="AW284" s="10">
        <v>6810</v>
      </c>
      <c r="AX284" s="10">
        <v>148500</v>
      </c>
      <c r="AY284" s="10">
        <v>38400</v>
      </c>
    </row>
    <row r="285" spans="1:51" x14ac:dyDescent="0.4">
      <c r="A285" s="11">
        <v>41038</v>
      </c>
      <c r="B285" s="7">
        <v>80800</v>
      </c>
      <c r="C285" s="7">
        <v>26200</v>
      </c>
      <c r="D285" s="7">
        <v>67000</v>
      </c>
      <c r="E285" s="7">
        <v>220500</v>
      </c>
      <c r="F285" s="7">
        <v>72400</v>
      </c>
      <c r="G285" s="8">
        <v>48450</v>
      </c>
      <c r="H285" s="8">
        <v>58200</v>
      </c>
      <c r="I285" s="8">
        <v>123000</v>
      </c>
      <c r="J285" s="8">
        <v>93300</v>
      </c>
      <c r="K285" s="8">
        <v>250000</v>
      </c>
      <c r="L285" s="7">
        <v>385000</v>
      </c>
      <c r="M285" s="7">
        <v>1331000</v>
      </c>
      <c r="N285" s="7">
        <v>78800</v>
      </c>
      <c r="O285" s="7">
        <v>168000</v>
      </c>
      <c r="P285" s="7">
        <v>111000</v>
      </c>
      <c r="Q285" s="8">
        <v>260500</v>
      </c>
      <c r="R285" s="8">
        <v>222500</v>
      </c>
      <c r="S285" s="8">
        <v>348500</v>
      </c>
      <c r="T285" s="8">
        <v>37150</v>
      </c>
      <c r="U285" s="8">
        <v>97200</v>
      </c>
      <c r="V285" s="7">
        <v>259500</v>
      </c>
      <c r="W285" s="7">
        <v>27721</v>
      </c>
      <c r="X285" s="7">
        <v>285500</v>
      </c>
      <c r="Y285" s="7">
        <v>23500</v>
      </c>
      <c r="Z285" s="7">
        <v>51300</v>
      </c>
      <c r="AA285" s="8">
        <v>138500</v>
      </c>
      <c r="AB285" s="8">
        <v>338500</v>
      </c>
      <c r="AC285" s="8">
        <v>12900</v>
      </c>
      <c r="AD285" s="8">
        <v>188000</v>
      </c>
      <c r="AE285" s="8">
        <v>36550</v>
      </c>
      <c r="AF285" s="7">
        <v>30550</v>
      </c>
      <c r="AG285" s="7">
        <v>98500</v>
      </c>
      <c r="AH285" s="7">
        <v>78500</v>
      </c>
      <c r="AI285" s="7">
        <v>54400</v>
      </c>
      <c r="AJ285" s="7">
        <v>23450</v>
      </c>
      <c r="AK285" s="8">
        <v>25000</v>
      </c>
      <c r="AL285" s="8">
        <v>254500</v>
      </c>
      <c r="AM285" s="8">
        <v>279500</v>
      </c>
      <c r="AN285" s="8">
        <v>28350</v>
      </c>
      <c r="AO285" s="8">
        <v>9150</v>
      </c>
      <c r="AP285" s="7">
        <v>606000</v>
      </c>
      <c r="AQ285" s="7">
        <v>286500</v>
      </c>
      <c r="AR285" s="7">
        <v>12650</v>
      </c>
      <c r="AS285" s="7">
        <v>41250</v>
      </c>
      <c r="AT285" s="7">
        <v>73100</v>
      </c>
      <c r="AU285" s="8">
        <v>210000</v>
      </c>
      <c r="AV285" s="8">
        <v>39650</v>
      </c>
      <c r="AW285" s="8">
        <v>6970</v>
      </c>
      <c r="AX285" s="8">
        <v>149500</v>
      </c>
      <c r="AY285" s="8">
        <v>38700</v>
      </c>
    </row>
    <row r="286" spans="1:51" x14ac:dyDescent="0.4">
      <c r="A286" s="11">
        <v>41037</v>
      </c>
      <c r="B286" s="7">
        <v>81800</v>
      </c>
      <c r="C286" s="7">
        <v>26650</v>
      </c>
      <c r="D286" s="7">
        <v>69900</v>
      </c>
      <c r="E286" s="7">
        <v>217500</v>
      </c>
      <c r="F286" s="7">
        <v>74200</v>
      </c>
      <c r="G286" s="8">
        <v>48350</v>
      </c>
      <c r="H286" s="8">
        <v>58200</v>
      </c>
      <c r="I286" s="8">
        <v>127000</v>
      </c>
      <c r="J286" s="8">
        <v>96000</v>
      </c>
      <c r="K286" s="8">
        <v>255500</v>
      </c>
      <c r="L286" s="7">
        <v>379500</v>
      </c>
      <c r="M286" s="7">
        <v>1341000</v>
      </c>
      <c r="N286" s="7">
        <v>82200</v>
      </c>
      <c r="O286" s="7">
        <v>166500</v>
      </c>
      <c r="P286" s="7">
        <v>108000</v>
      </c>
      <c r="Q286" s="8">
        <v>274500</v>
      </c>
      <c r="R286" s="8">
        <v>222000</v>
      </c>
      <c r="S286" s="8">
        <v>381500</v>
      </c>
      <c r="T286" s="8">
        <v>39450</v>
      </c>
      <c r="U286" s="8">
        <v>100000</v>
      </c>
      <c r="V286" s="7">
        <v>278000</v>
      </c>
      <c r="W286" s="7">
        <v>27869</v>
      </c>
      <c r="X286" s="7">
        <v>285500</v>
      </c>
      <c r="Y286" s="7">
        <v>23400</v>
      </c>
      <c r="Z286" s="7">
        <v>51800</v>
      </c>
      <c r="AA286" s="8">
        <v>138000</v>
      </c>
      <c r="AB286" s="8">
        <v>344500</v>
      </c>
      <c r="AC286" s="8">
        <v>13050</v>
      </c>
      <c r="AD286" s="8">
        <v>201500</v>
      </c>
      <c r="AE286" s="8">
        <v>36100</v>
      </c>
      <c r="AF286" s="7">
        <v>30500</v>
      </c>
      <c r="AG286" s="7">
        <v>97600</v>
      </c>
      <c r="AH286" s="7">
        <v>79700</v>
      </c>
      <c r="AI286" s="7">
        <v>55500</v>
      </c>
      <c r="AJ286" s="7">
        <v>23750</v>
      </c>
      <c r="AK286" s="8">
        <v>25000</v>
      </c>
      <c r="AL286" s="8">
        <v>238500</v>
      </c>
      <c r="AM286" s="8">
        <v>278500</v>
      </c>
      <c r="AN286" s="8">
        <v>30200</v>
      </c>
      <c r="AO286" s="8">
        <v>9200</v>
      </c>
      <c r="AP286" s="7">
        <v>604000</v>
      </c>
      <c r="AQ286" s="7">
        <v>298000</v>
      </c>
      <c r="AR286" s="7">
        <v>12550</v>
      </c>
      <c r="AS286" s="7">
        <v>41150</v>
      </c>
      <c r="AT286" s="7">
        <v>71000</v>
      </c>
      <c r="AU286" s="8">
        <v>204500</v>
      </c>
      <c r="AV286" s="8">
        <v>39900</v>
      </c>
      <c r="AW286" s="8">
        <v>6840</v>
      </c>
      <c r="AX286" s="8">
        <v>155000</v>
      </c>
      <c r="AY286" s="8">
        <v>39050</v>
      </c>
    </row>
    <row r="287" spans="1:51" x14ac:dyDescent="0.4">
      <c r="A287" s="11">
        <v>41036</v>
      </c>
      <c r="B287" s="7">
        <v>80900</v>
      </c>
      <c r="C287" s="7">
        <v>27250</v>
      </c>
      <c r="D287" s="7">
        <v>69500</v>
      </c>
      <c r="E287" s="7">
        <v>218000</v>
      </c>
      <c r="F287" s="7">
        <v>72200</v>
      </c>
      <c r="G287" s="8">
        <v>47750</v>
      </c>
      <c r="H287" s="8">
        <v>57400</v>
      </c>
      <c r="I287" s="8">
        <v>125000</v>
      </c>
      <c r="J287" s="8">
        <v>97400</v>
      </c>
      <c r="K287" s="8">
        <v>257500</v>
      </c>
      <c r="L287" s="7">
        <v>370000</v>
      </c>
      <c r="M287" s="7">
        <v>1342000</v>
      </c>
      <c r="N287" s="7">
        <v>83000</v>
      </c>
      <c r="O287" s="7">
        <v>161500</v>
      </c>
      <c r="P287" s="7">
        <v>106000</v>
      </c>
      <c r="Q287" s="8">
        <v>277000</v>
      </c>
      <c r="R287" s="8">
        <v>225500</v>
      </c>
      <c r="S287" s="8">
        <v>373000</v>
      </c>
      <c r="T287" s="8">
        <v>39200</v>
      </c>
      <c r="U287" s="8">
        <v>98000</v>
      </c>
      <c r="V287" s="7">
        <v>273000</v>
      </c>
      <c r="W287" s="7">
        <v>27179</v>
      </c>
      <c r="X287" s="7">
        <v>291000</v>
      </c>
      <c r="Y287" s="7">
        <v>23350</v>
      </c>
      <c r="Z287" s="7">
        <v>51400</v>
      </c>
      <c r="AA287" s="8">
        <v>138000</v>
      </c>
      <c r="AB287" s="8">
        <v>344000</v>
      </c>
      <c r="AC287" s="8">
        <v>12700</v>
      </c>
      <c r="AD287" s="8">
        <v>197000</v>
      </c>
      <c r="AE287" s="8">
        <v>35900</v>
      </c>
      <c r="AF287" s="7">
        <v>30500</v>
      </c>
      <c r="AG287" s="7">
        <v>96700</v>
      </c>
      <c r="AH287" s="7">
        <v>78500</v>
      </c>
      <c r="AI287" s="7">
        <v>55600</v>
      </c>
      <c r="AJ287" s="7">
        <v>23550</v>
      </c>
      <c r="AK287" s="8">
        <v>25000</v>
      </c>
      <c r="AL287" s="8">
        <v>244000</v>
      </c>
      <c r="AM287" s="8">
        <v>273500</v>
      </c>
      <c r="AN287" s="8">
        <v>30100</v>
      </c>
      <c r="AO287" s="8">
        <v>9080</v>
      </c>
      <c r="AP287" s="7">
        <v>600000</v>
      </c>
      <c r="AQ287" s="7">
        <v>294000</v>
      </c>
      <c r="AR287" s="7">
        <v>12150</v>
      </c>
      <c r="AS287" s="7">
        <v>40700</v>
      </c>
      <c r="AT287" s="7">
        <v>69700</v>
      </c>
      <c r="AU287" s="8">
        <v>210000</v>
      </c>
      <c r="AV287" s="8">
        <v>39250</v>
      </c>
      <c r="AW287" s="8">
        <v>6750</v>
      </c>
      <c r="AX287" s="8">
        <v>153500</v>
      </c>
      <c r="AY287" s="8">
        <v>38000</v>
      </c>
    </row>
    <row r="288" spans="1:51" x14ac:dyDescent="0.4">
      <c r="A288" s="11">
        <v>41033</v>
      </c>
      <c r="B288" s="7">
        <v>80300</v>
      </c>
      <c r="C288" s="7">
        <v>28150</v>
      </c>
      <c r="D288" s="7">
        <v>72300</v>
      </c>
      <c r="E288" s="7">
        <v>223500</v>
      </c>
      <c r="F288" s="7">
        <v>74000</v>
      </c>
      <c r="G288" s="8">
        <v>48200</v>
      </c>
      <c r="H288" s="8">
        <v>59300</v>
      </c>
      <c r="I288" s="8">
        <v>132000</v>
      </c>
      <c r="J288" s="8">
        <v>99800</v>
      </c>
      <c r="K288" s="8">
        <v>257000</v>
      </c>
      <c r="L288" s="7">
        <v>374000</v>
      </c>
      <c r="M288" s="7">
        <v>1360000</v>
      </c>
      <c r="N288" s="7">
        <v>87100</v>
      </c>
      <c r="O288" s="7">
        <v>163000</v>
      </c>
      <c r="P288" s="7">
        <v>108000</v>
      </c>
      <c r="Q288" s="8">
        <v>286500</v>
      </c>
      <c r="R288" s="8">
        <v>233500</v>
      </c>
      <c r="S288" s="8">
        <v>382000</v>
      </c>
      <c r="T288" s="8">
        <v>41900</v>
      </c>
      <c r="U288" s="8">
        <v>102500</v>
      </c>
      <c r="V288" s="7">
        <v>286500</v>
      </c>
      <c r="W288" s="7">
        <v>28213</v>
      </c>
      <c r="X288" s="7">
        <v>294000</v>
      </c>
      <c r="Y288" s="7">
        <v>23300</v>
      </c>
      <c r="Z288" s="7">
        <v>52400</v>
      </c>
      <c r="AA288" s="8">
        <v>133500</v>
      </c>
      <c r="AB288" s="8">
        <v>342000</v>
      </c>
      <c r="AC288" s="8">
        <v>13000</v>
      </c>
      <c r="AD288" s="8">
        <v>209000</v>
      </c>
      <c r="AE288" s="8">
        <v>36800</v>
      </c>
      <c r="AF288" s="7">
        <v>28800</v>
      </c>
      <c r="AG288" s="7">
        <v>97600</v>
      </c>
      <c r="AH288" s="7">
        <v>79800</v>
      </c>
      <c r="AI288" s="7">
        <v>55000</v>
      </c>
      <c r="AJ288" s="7">
        <v>23950</v>
      </c>
      <c r="AK288" s="8">
        <v>25900</v>
      </c>
      <c r="AL288" s="8">
        <v>247000</v>
      </c>
      <c r="AM288" s="8">
        <v>278000</v>
      </c>
      <c r="AN288" s="8">
        <v>31600</v>
      </c>
      <c r="AO288" s="8">
        <v>9290</v>
      </c>
      <c r="AP288" s="7">
        <v>619000</v>
      </c>
      <c r="AQ288" s="7">
        <v>304000</v>
      </c>
      <c r="AR288" s="7">
        <v>12450</v>
      </c>
      <c r="AS288" s="7">
        <v>41300</v>
      </c>
      <c r="AT288" s="7">
        <v>72000</v>
      </c>
      <c r="AU288" s="8">
        <v>213000</v>
      </c>
      <c r="AV288" s="8">
        <v>40700</v>
      </c>
      <c r="AW288" s="8">
        <v>6980</v>
      </c>
      <c r="AX288" s="8">
        <v>161000</v>
      </c>
      <c r="AY288" s="8">
        <v>39000</v>
      </c>
    </row>
    <row r="289" spans="1:51" x14ac:dyDescent="0.4">
      <c r="A289" s="12">
        <v>41032</v>
      </c>
      <c r="B289" s="9">
        <v>82400</v>
      </c>
      <c r="C289" s="9">
        <v>27250</v>
      </c>
      <c r="D289" s="9">
        <v>74500</v>
      </c>
      <c r="E289" s="9">
        <v>224500</v>
      </c>
      <c r="F289" s="9">
        <v>76100</v>
      </c>
      <c r="G289" s="10">
        <v>45700</v>
      </c>
      <c r="H289" s="10">
        <v>59300</v>
      </c>
      <c r="I289" s="10">
        <v>131000</v>
      </c>
      <c r="J289" s="10">
        <v>100000</v>
      </c>
      <c r="K289" s="10">
        <v>265500</v>
      </c>
      <c r="L289" s="9">
        <v>374000</v>
      </c>
      <c r="M289" s="9">
        <v>1401000</v>
      </c>
      <c r="N289" s="9">
        <v>88500</v>
      </c>
      <c r="O289" s="9">
        <v>163000</v>
      </c>
      <c r="P289" s="9">
        <v>110000</v>
      </c>
      <c r="Q289" s="10">
        <v>283000</v>
      </c>
      <c r="R289" s="10">
        <v>233000</v>
      </c>
      <c r="S289" s="10">
        <v>374000</v>
      </c>
      <c r="T289" s="10">
        <v>41250</v>
      </c>
      <c r="U289" s="10">
        <v>102000</v>
      </c>
      <c r="V289" s="9">
        <v>281500</v>
      </c>
      <c r="W289" s="9">
        <v>27967</v>
      </c>
      <c r="X289" s="9">
        <v>293500</v>
      </c>
      <c r="Y289" s="9">
        <v>22850</v>
      </c>
      <c r="Z289" s="9">
        <v>52100</v>
      </c>
      <c r="AA289" s="10">
        <v>132500</v>
      </c>
      <c r="AB289" s="10">
        <v>335000</v>
      </c>
      <c r="AC289" s="10">
        <v>12800</v>
      </c>
      <c r="AD289" s="10">
        <v>213000</v>
      </c>
      <c r="AE289" s="10">
        <v>35300</v>
      </c>
      <c r="AF289" s="9">
        <v>29000</v>
      </c>
      <c r="AG289" s="9">
        <v>98600</v>
      </c>
      <c r="AH289" s="9">
        <v>80000</v>
      </c>
      <c r="AI289" s="9">
        <v>54400</v>
      </c>
      <c r="AJ289" s="9">
        <v>23500</v>
      </c>
      <c r="AK289" s="10">
        <v>25100</v>
      </c>
      <c r="AL289" s="10">
        <v>255000</v>
      </c>
      <c r="AM289" s="10">
        <v>273000</v>
      </c>
      <c r="AN289" s="10">
        <v>31600</v>
      </c>
      <c r="AO289" s="10">
        <v>9470</v>
      </c>
      <c r="AP289" s="9">
        <v>604000</v>
      </c>
      <c r="AQ289" s="9">
        <v>301500</v>
      </c>
      <c r="AR289" s="9">
        <v>12150</v>
      </c>
      <c r="AS289" s="9">
        <v>41000</v>
      </c>
      <c r="AT289" s="9">
        <v>71200</v>
      </c>
      <c r="AU289" s="10">
        <v>209500</v>
      </c>
      <c r="AV289" s="10">
        <v>40600</v>
      </c>
      <c r="AW289" s="10">
        <v>6840</v>
      </c>
      <c r="AX289" s="10">
        <v>160000</v>
      </c>
      <c r="AY289" s="10">
        <v>39000</v>
      </c>
    </row>
    <row r="290" spans="1:51" x14ac:dyDescent="0.4">
      <c r="A290" s="11">
        <v>41031</v>
      </c>
      <c r="B290" s="7">
        <v>83800</v>
      </c>
      <c r="C290" s="7">
        <v>27350</v>
      </c>
      <c r="D290" s="7">
        <v>75000</v>
      </c>
      <c r="E290" s="7">
        <v>221000</v>
      </c>
      <c r="F290" s="7">
        <v>77100</v>
      </c>
      <c r="G290" s="8">
        <v>45600</v>
      </c>
      <c r="H290" s="8">
        <v>59300</v>
      </c>
      <c r="I290" s="8">
        <v>129000</v>
      </c>
      <c r="J290" s="8">
        <v>100500</v>
      </c>
      <c r="K290" s="8">
        <v>268000</v>
      </c>
      <c r="L290" s="7">
        <v>376000</v>
      </c>
      <c r="M290" s="7">
        <v>1410000</v>
      </c>
      <c r="N290" s="7">
        <v>88300</v>
      </c>
      <c r="O290" s="7">
        <v>160500</v>
      </c>
      <c r="P290" s="7">
        <v>109500</v>
      </c>
      <c r="Q290" s="8">
        <v>288000</v>
      </c>
      <c r="R290" s="8">
        <v>233500</v>
      </c>
      <c r="S290" s="8">
        <v>380000</v>
      </c>
      <c r="T290" s="8">
        <v>41850</v>
      </c>
      <c r="U290" s="8">
        <v>101000</v>
      </c>
      <c r="V290" s="7">
        <v>285500</v>
      </c>
      <c r="W290" s="7">
        <v>27967</v>
      </c>
      <c r="X290" s="7">
        <v>300000</v>
      </c>
      <c r="Y290" s="7">
        <v>22500</v>
      </c>
      <c r="Z290" s="7">
        <v>51800</v>
      </c>
      <c r="AA290" s="8">
        <v>134000</v>
      </c>
      <c r="AB290" s="8">
        <v>344000</v>
      </c>
      <c r="AC290" s="8">
        <v>12700</v>
      </c>
      <c r="AD290" s="8">
        <v>213000</v>
      </c>
      <c r="AE290" s="8">
        <v>35250</v>
      </c>
      <c r="AF290" s="7">
        <v>29300</v>
      </c>
      <c r="AG290" s="7">
        <v>99500</v>
      </c>
      <c r="AH290" s="7">
        <v>79200</v>
      </c>
      <c r="AI290" s="7">
        <v>54800</v>
      </c>
      <c r="AJ290" s="7">
        <v>25150</v>
      </c>
      <c r="AK290" s="8">
        <v>24900</v>
      </c>
      <c r="AL290" s="8">
        <v>250000</v>
      </c>
      <c r="AM290" s="8">
        <v>276000</v>
      </c>
      <c r="AN290" s="8">
        <v>32300</v>
      </c>
      <c r="AO290" s="8">
        <v>9500</v>
      </c>
      <c r="AP290" s="7">
        <v>580000</v>
      </c>
      <c r="AQ290" s="7">
        <v>293500</v>
      </c>
      <c r="AR290" s="7">
        <v>12250</v>
      </c>
      <c r="AS290" s="7">
        <v>39600</v>
      </c>
      <c r="AT290" s="7">
        <v>72100</v>
      </c>
      <c r="AU290" s="8">
        <v>217500</v>
      </c>
      <c r="AV290" s="8">
        <v>40500</v>
      </c>
      <c r="AW290" s="8">
        <v>6840</v>
      </c>
      <c r="AX290" s="8">
        <v>160500</v>
      </c>
      <c r="AY290" s="8">
        <v>38800</v>
      </c>
    </row>
    <row r="291" spans="1:51" x14ac:dyDescent="0.4">
      <c r="A291" s="11">
        <v>41029</v>
      </c>
      <c r="B291" s="7">
        <v>83400</v>
      </c>
      <c r="C291" s="7">
        <v>28050</v>
      </c>
      <c r="D291" s="7">
        <v>71400</v>
      </c>
      <c r="E291" s="7">
        <v>216000</v>
      </c>
      <c r="F291" s="7">
        <v>76800</v>
      </c>
      <c r="G291" s="8">
        <v>44500</v>
      </c>
      <c r="H291" s="8">
        <v>57600</v>
      </c>
      <c r="I291" s="8">
        <v>121500</v>
      </c>
      <c r="J291" s="8">
        <v>98600</v>
      </c>
      <c r="K291" s="8">
        <v>268500</v>
      </c>
      <c r="L291" s="7">
        <v>375500</v>
      </c>
      <c r="M291" s="7">
        <v>1390000</v>
      </c>
      <c r="N291" s="7">
        <v>84300</v>
      </c>
      <c r="O291" s="7">
        <v>163000</v>
      </c>
      <c r="P291" s="7">
        <v>109500</v>
      </c>
      <c r="Q291" s="8">
        <v>283000</v>
      </c>
      <c r="R291" s="8">
        <v>214000</v>
      </c>
      <c r="S291" s="8">
        <v>366000</v>
      </c>
      <c r="T291" s="8">
        <v>41700</v>
      </c>
      <c r="U291" s="8">
        <v>97900</v>
      </c>
      <c r="V291" s="7">
        <v>272000</v>
      </c>
      <c r="W291" s="7">
        <v>28312</v>
      </c>
      <c r="X291" s="7">
        <v>307500</v>
      </c>
      <c r="Y291" s="7">
        <v>21700</v>
      </c>
      <c r="Z291" s="7">
        <v>50200</v>
      </c>
      <c r="AA291" s="8">
        <v>135000</v>
      </c>
      <c r="AB291" s="8">
        <v>351000</v>
      </c>
      <c r="AC291" s="8">
        <v>12500</v>
      </c>
      <c r="AD291" s="8">
        <v>215000</v>
      </c>
      <c r="AE291" s="8">
        <v>34700</v>
      </c>
      <c r="AF291" s="7">
        <v>29400</v>
      </c>
      <c r="AG291" s="7">
        <v>100000</v>
      </c>
      <c r="AH291" s="7">
        <v>77600</v>
      </c>
      <c r="AI291" s="7">
        <v>53300</v>
      </c>
      <c r="AJ291" s="7">
        <v>24900</v>
      </c>
      <c r="AK291" s="8">
        <v>24250</v>
      </c>
      <c r="AL291" s="8">
        <v>256000</v>
      </c>
      <c r="AM291" s="8">
        <v>293000</v>
      </c>
      <c r="AN291" s="8">
        <v>31700</v>
      </c>
      <c r="AO291" s="8">
        <v>9450</v>
      </c>
      <c r="AP291" s="7">
        <v>593000</v>
      </c>
      <c r="AQ291" s="7">
        <v>284500</v>
      </c>
      <c r="AR291" s="7">
        <v>11950</v>
      </c>
      <c r="AS291" s="7">
        <v>39500</v>
      </c>
      <c r="AT291" s="7">
        <v>70200</v>
      </c>
      <c r="AU291" s="8">
        <v>221500</v>
      </c>
      <c r="AV291" s="8">
        <v>38850</v>
      </c>
      <c r="AW291" s="8">
        <v>6830</v>
      </c>
      <c r="AX291" s="8">
        <v>158000</v>
      </c>
      <c r="AY291" s="8">
        <v>38500</v>
      </c>
    </row>
    <row r="292" spans="1:51" x14ac:dyDescent="0.4">
      <c r="A292" s="11">
        <v>41026</v>
      </c>
      <c r="B292" s="7">
        <v>80700</v>
      </c>
      <c r="C292" s="7">
        <v>28050</v>
      </c>
      <c r="D292" s="7">
        <v>71300</v>
      </c>
      <c r="E292" s="7">
        <v>215000</v>
      </c>
      <c r="F292" s="7">
        <v>76200</v>
      </c>
      <c r="G292" s="8">
        <v>44150</v>
      </c>
      <c r="H292" s="8">
        <v>59200</v>
      </c>
      <c r="I292" s="8">
        <v>127000</v>
      </c>
      <c r="J292" s="8">
        <v>99200</v>
      </c>
      <c r="K292" s="8">
        <v>260500</v>
      </c>
      <c r="L292" s="7">
        <v>378500</v>
      </c>
      <c r="M292" s="7">
        <v>1374000</v>
      </c>
      <c r="N292" s="7">
        <v>84900</v>
      </c>
      <c r="O292" s="7">
        <v>151000</v>
      </c>
      <c r="P292" s="7">
        <v>108000</v>
      </c>
      <c r="Q292" s="8">
        <v>289000</v>
      </c>
      <c r="R292" s="8">
        <v>211500</v>
      </c>
      <c r="S292" s="8">
        <v>364000</v>
      </c>
      <c r="T292" s="8">
        <v>39400</v>
      </c>
      <c r="U292" s="8">
        <v>99300</v>
      </c>
      <c r="V292" s="7">
        <v>267500</v>
      </c>
      <c r="W292" s="7">
        <v>27869</v>
      </c>
      <c r="X292" s="7">
        <v>300000</v>
      </c>
      <c r="Y292" s="7">
        <v>21450</v>
      </c>
      <c r="Z292" s="7">
        <v>50700</v>
      </c>
      <c r="AA292" s="8">
        <v>137000</v>
      </c>
      <c r="AB292" s="8">
        <v>359000</v>
      </c>
      <c r="AC292" s="8">
        <v>12600</v>
      </c>
      <c r="AD292" s="8">
        <v>216000</v>
      </c>
      <c r="AE292" s="8">
        <v>36450</v>
      </c>
      <c r="AF292" s="7">
        <v>30000</v>
      </c>
      <c r="AG292" s="7">
        <v>99700</v>
      </c>
      <c r="AH292" s="7">
        <v>78200</v>
      </c>
      <c r="AI292" s="7">
        <v>54600</v>
      </c>
      <c r="AJ292" s="7">
        <v>25900</v>
      </c>
      <c r="AK292" s="8">
        <v>24200</v>
      </c>
      <c r="AL292" s="8">
        <v>251500</v>
      </c>
      <c r="AM292" s="8">
        <v>293000</v>
      </c>
      <c r="AN292" s="8">
        <v>30300</v>
      </c>
      <c r="AO292" s="8">
        <v>9410</v>
      </c>
      <c r="AP292" s="7">
        <v>584000</v>
      </c>
      <c r="AQ292" s="7">
        <v>298000</v>
      </c>
      <c r="AR292" s="7">
        <v>12000</v>
      </c>
      <c r="AS292" s="7">
        <v>39900</v>
      </c>
      <c r="AT292" s="7">
        <v>72100</v>
      </c>
      <c r="AU292" s="8">
        <v>214000</v>
      </c>
      <c r="AV292" s="8">
        <v>40500</v>
      </c>
      <c r="AW292" s="8">
        <v>6760</v>
      </c>
      <c r="AX292" s="8">
        <v>163500</v>
      </c>
      <c r="AY292" s="8">
        <v>40000</v>
      </c>
    </row>
    <row r="293" spans="1:51" x14ac:dyDescent="0.4">
      <c r="A293" s="11">
        <v>41025</v>
      </c>
      <c r="B293" s="7">
        <v>79600</v>
      </c>
      <c r="C293" s="7">
        <v>27200</v>
      </c>
      <c r="D293" s="7">
        <v>70100</v>
      </c>
      <c r="E293" s="7">
        <v>216000</v>
      </c>
      <c r="F293" s="7">
        <v>73700</v>
      </c>
      <c r="G293" s="8">
        <v>43950</v>
      </c>
      <c r="H293" s="8">
        <v>58800</v>
      </c>
      <c r="I293" s="8">
        <v>127500</v>
      </c>
      <c r="J293" s="8">
        <v>97900</v>
      </c>
      <c r="K293" s="8">
        <v>262000</v>
      </c>
      <c r="L293" s="7">
        <v>382000</v>
      </c>
      <c r="M293" s="7">
        <v>1340000</v>
      </c>
      <c r="N293" s="7">
        <v>84900</v>
      </c>
      <c r="O293" s="7">
        <v>140500</v>
      </c>
      <c r="P293" s="7">
        <v>106500</v>
      </c>
      <c r="Q293" s="8">
        <v>290500</v>
      </c>
      <c r="R293" s="8">
        <v>213500</v>
      </c>
      <c r="S293" s="8">
        <v>353500</v>
      </c>
      <c r="T293" s="8">
        <v>38000</v>
      </c>
      <c r="U293" s="8">
        <v>99200</v>
      </c>
      <c r="V293" s="7">
        <v>278500</v>
      </c>
      <c r="W293" s="7">
        <v>28164</v>
      </c>
      <c r="X293" s="7">
        <v>295500</v>
      </c>
      <c r="Y293" s="7">
        <v>21750</v>
      </c>
      <c r="Z293" s="7">
        <v>49850</v>
      </c>
      <c r="AA293" s="8">
        <v>134500</v>
      </c>
      <c r="AB293" s="8">
        <v>359500</v>
      </c>
      <c r="AC293" s="8">
        <v>12550</v>
      </c>
      <c r="AD293" s="8">
        <v>209000</v>
      </c>
      <c r="AE293" s="8">
        <v>37150</v>
      </c>
      <c r="AF293" s="7">
        <v>29650</v>
      </c>
      <c r="AG293" s="7">
        <v>99100</v>
      </c>
      <c r="AH293" s="7">
        <v>80000</v>
      </c>
      <c r="AI293" s="7">
        <v>52900</v>
      </c>
      <c r="AJ293" s="7">
        <v>26050</v>
      </c>
      <c r="AK293" s="8">
        <v>24250</v>
      </c>
      <c r="AL293" s="8">
        <v>257500</v>
      </c>
      <c r="AM293" s="8">
        <v>280000</v>
      </c>
      <c r="AN293" s="8">
        <v>29600</v>
      </c>
      <c r="AO293" s="8">
        <v>9550</v>
      </c>
      <c r="AP293" s="7">
        <v>594000</v>
      </c>
      <c r="AQ293" s="7">
        <v>305500</v>
      </c>
      <c r="AR293" s="7">
        <v>12050</v>
      </c>
      <c r="AS293" s="7">
        <v>40150</v>
      </c>
      <c r="AT293" s="7">
        <v>72900</v>
      </c>
      <c r="AU293" s="8">
        <v>213000</v>
      </c>
      <c r="AV293" s="8">
        <v>41000</v>
      </c>
      <c r="AW293" s="8">
        <v>6870</v>
      </c>
      <c r="AX293" s="8">
        <v>162000</v>
      </c>
      <c r="AY293" s="8">
        <v>40100</v>
      </c>
    </row>
    <row r="294" spans="1:51" x14ac:dyDescent="0.4">
      <c r="A294" s="12">
        <v>41024</v>
      </c>
      <c r="B294" s="9">
        <v>79900</v>
      </c>
      <c r="C294" s="9">
        <v>27050</v>
      </c>
      <c r="D294" s="9">
        <v>70300</v>
      </c>
      <c r="E294" s="9">
        <v>214500</v>
      </c>
      <c r="F294" s="9">
        <v>73300</v>
      </c>
      <c r="G294" s="10">
        <v>44950</v>
      </c>
      <c r="H294" s="10">
        <v>59500</v>
      </c>
      <c r="I294" s="10">
        <v>130500</v>
      </c>
      <c r="J294" s="10">
        <v>98700</v>
      </c>
      <c r="K294" s="10">
        <v>257500</v>
      </c>
      <c r="L294" s="9">
        <v>384500</v>
      </c>
      <c r="M294" s="9">
        <v>1305000</v>
      </c>
      <c r="N294" s="9">
        <v>85700</v>
      </c>
      <c r="O294" s="9">
        <v>141500</v>
      </c>
      <c r="P294" s="9">
        <v>106000</v>
      </c>
      <c r="Q294" s="10">
        <v>301000</v>
      </c>
      <c r="R294" s="10">
        <v>217500</v>
      </c>
      <c r="S294" s="10">
        <v>373500</v>
      </c>
      <c r="T294" s="10">
        <v>38600</v>
      </c>
      <c r="U294" s="10">
        <v>100000</v>
      </c>
      <c r="V294" s="9">
        <v>280500</v>
      </c>
      <c r="W294" s="9">
        <v>28263</v>
      </c>
      <c r="X294" s="9">
        <v>293000</v>
      </c>
      <c r="Y294" s="9">
        <v>21850</v>
      </c>
      <c r="Z294" s="9">
        <v>50500</v>
      </c>
      <c r="AA294" s="10">
        <v>137500</v>
      </c>
      <c r="AB294" s="10">
        <v>353500</v>
      </c>
      <c r="AC294" s="10">
        <v>12750</v>
      </c>
      <c r="AD294" s="10">
        <v>209000</v>
      </c>
      <c r="AE294" s="10">
        <v>38200</v>
      </c>
      <c r="AF294" s="9">
        <v>29800</v>
      </c>
      <c r="AG294" s="9">
        <v>99700</v>
      </c>
      <c r="AH294" s="9">
        <v>79300</v>
      </c>
      <c r="AI294" s="9">
        <v>53600</v>
      </c>
      <c r="AJ294" s="9">
        <v>26850</v>
      </c>
      <c r="AK294" s="10">
        <v>24200</v>
      </c>
      <c r="AL294" s="10">
        <v>255500</v>
      </c>
      <c r="AM294" s="10">
        <v>284500</v>
      </c>
      <c r="AN294" s="10">
        <v>30300</v>
      </c>
      <c r="AO294" s="10">
        <v>9660</v>
      </c>
      <c r="AP294" s="9">
        <v>595000</v>
      </c>
      <c r="AQ294" s="9">
        <v>304000</v>
      </c>
      <c r="AR294" s="9">
        <v>12050</v>
      </c>
      <c r="AS294" s="9">
        <v>40650</v>
      </c>
      <c r="AT294" s="9">
        <v>77700</v>
      </c>
      <c r="AU294" s="10">
        <v>207500</v>
      </c>
      <c r="AV294" s="10">
        <v>40250</v>
      </c>
      <c r="AW294" s="10">
        <v>6880</v>
      </c>
      <c r="AX294" s="10">
        <v>161500</v>
      </c>
      <c r="AY294" s="10">
        <v>40500</v>
      </c>
    </row>
    <row r="295" spans="1:51" x14ac:dyDescent="0.4">
      <c r="A295" s="11">
        <v>41023</v>
      </c>
      <c r="B295" s="7">
        <v>79300</v>
      </c>
      <c r="C295" s="7">
        <v>27250</v>
      </c>
      <c r="D295" s="7">
        <v>72600</v>
      </c>
      <c r="E295" s="7">
        <v>213000</v>
      </c>
      <c r="F295" s="7">
        <v>74300</v>
      </c>
      <c r="G295" s="8">
        <v>45650</v>
      </c>
      <c r="H295" s="8">
        <v>58900</v>
      </c>
      <c r="I295" s="8">
        <v>134500</v>
      </c>
      <c r="J295" s="8">
        <v>100000</v>
      </c>
      <c r="K295" s="8">
        <v>257000</v>
      </c>
      <c r="L295" s="7">
        <v>383500</v>
      </c>
      <c r="M295" s="7">
        <v>1283000</v>
      </c>
      <c r="N295" s="7">
        <v>91500</v>
      </c>
      <c r="O295" s="7">
        <v>138500</v>
      </c>
      <c r="P295" s="7">
        <v>104500</v>
      </c>
      <c r="Q295" s="8">
        <v>304500</v>
      </c>
      <c r="R295" s="8">
        <v>220500</v>
      </c>
      <c r="S295" s="8">
        <v>372000</v>
      </c>
      <c r="T295" s="8">
        <v>38550</v>
      </c>
      <c r="U295" s="8">
        <v>101500</v>
      </c>
      <c r="V295" s="7">
        <v>284000</v>
      </c>
      <c r="W295" s="7">
        <v>27672</v>
      </c>
      <c r="X295" s="7">
        <v>290500</v>
      </c>
      <c r="Y295" s="7">
        <v>21900</v>
      </c>
      <c r="Z295" s="7">
        <v>52100</v>
      </c>
      <c r="AA295" s="8">
        <v>136500</v>
      </c>
      <c r="AB295" s="8">
        <v>356000</v>
      </c>
      <c r="AC295" s="8">
        <v>12750</v>
      </c>
      <c r="AD295" s="8">
        <v>222500</v>
      </c>
      <c r="AE295" s="8">
        <v>38850</v>
      </c>
      <c r="AF295" s="7">
        <v>29800</v>
      </c>
      <c r="AG295" s="7">
        <v>100500</v>
      </c>
      <c r="AH295" s="7">
        <v>79600</v>
      </c>
      <c r="AI295" s="7">
        <v>54900</v>
      </c>
      <c r="AJ295" s="7">
        <v>26350</v>
      </c>
      <c r="AK295" s="8">
        <v>23900</v>
      </c>
      <c r="AL295" s="8">
        <v>249500</v>
      </c>
      <c r="AM295" s="8">
        <v>295000</v>
      </c>
      <c r="AN295" s="8">
        <v>30200</v>
      </c>
      <c r="AO295" s="8">
        <v>9650</v>
      </c>
      <c r="AP295" s="7">
        <v>578000</v>
      </c>
      <c r="AQ295" s="7">
        <v>305000</v>
      </c>
      <c r="AR295" s="7">
        <v>12200</v>
      </c>
      <c r="AS295" s="7">
        <v>41000</v>
      </c>
      <c r="AT295" s="7">
        <v>78700</v>
      </c>
      <c r="AU295" s="8">
        <v>208500</v>
      </c>
      <c r="AV295" s="8">
        <v>40750</v>
      </c>
      <c r="AW295" s="8">
        <v>6850</v>
      </c>
      <c r="AX295" s="8">
        <v>163500</v>
      </c>
      <c r="AY295" s="8">
        <v>41000</v>
      </c>
    </row>
    <row r="296" spans="1:51" x14ac:dyDescent="0.4">
      <c r="A296" s="11">
        <v>41022</v>
      </c>
      <c r="B296" s="7">
        <v>78600</v>
      </c>
      <c r="C296" s="7">
        <v>27800</v>
      </c>
      <c r="D296" s="7">
        <v>72500</v>
      </c>
      <c r="E296" s="7">
        <v>210500</v>
      </c>
      <c r="F296" s="7">
        <v>74100</v>
      </c>
      <c r="G296" s="8">
        <v>46950</v>
      </c>
      <c r="H296" s="8">
        <v>58700</v>
      </c>
      <c r="I296" s="8">
        <v>136500</v>
      </c>
      <c r="J296" s="8">
        <v>102000</v>
      </c>
      <c r="K296" s="8">
        <v>250000</v>
      </c>
      <c r="L296" s="7">
        <v>384500</v>
      </c>
      <c r="M296" s="7">
        <v>1279000</v>
      </c>
      <c r="N296" s="7">
        <v>93000</v>
      </c>
      <c r="O296" s="7">
        <v>140500</v>
      </c>
      <c r="P296" s="7">
        <v>106000</v>
      </c>
      <c r="Q296" s="8">
        <v>311500</v>
      </c>
      <c r="R296" s="8">
        <v>220000</v>
      </c>
      <c r="S296" s="8">
        <v>395000</v>
      </c>
      <c r="T296" s="8">
        <v>39000</v>
      </c>
      <c r="U296" s="8">
        <v>103500</v>
      </c>
      <c r="V296" s="7">
        <v>297500</v>
      </c>
      <c r="W296" s="7">
        <v>28607</v>
      </c>
      <c r="X296" s="7">
        <v>279000</v>
      </c>
      <c r="Y296" s="7">
        <v>22100</v>
      </c>
      <c r="Z296" s="7">
        <v>53500</v>
      </c>
      <c r="AA296" s="8">
        <v>136000</v>
      </c>
      <c r="AB296" s="8">
        <v>362000</v>
      </c>
      <c r="AC296" s="8">
        <v>12900</v>
      </c>
      <c r="AD296" s="8">
        <v>222500</v>
      </c>
      <c r="AE296" s="8">
        <v>38850</v>
      </c>
      <c r="AF296" s="7">
        <v>29850</v>
      </c>
      <c r="AG296" s="7">
        <v>97500</v>
      </c>
      <c r="AH296" s="7">
        <v>79700</v>
      </c>
      <c r="AI296" s="7">
        <v>55600</v>
      </c>
      <c r="AJ296" s="7">
        <v>26600</v>
      </c>
      <c r="AK296" s="8">
        <v>24750</v>
      </c>
      <c r="AL296" s="8">
        <v>262000</v>
      </c>
      <c r="AM296" s="8">
        <v>302500</v>
      </c>
      <c r="AN296" s="8">
        <v>30250</v>
      </c>
      <c r="AO296" s="8">
        <v>9800</v>
      </c>
      <c r="AP296" s="7">
        <v>576000</v>
      </c>
      <c r="AQ296" s="7">
        <v>313000</v>
      </c>
      <c r="AR296" s="7">
        <v>12400</v>
      </c>
      <c r="AS296" s="7">
        <v>41400</v>
      </c>
      <c r="AT296" s="7">
        <v>75000</v>
      </c>
      <c r="AU296" s="8">
        <v>212000</v>
      </c>
      <c r="AV296" s="8">
        <v>40900</v>
      </c>
      <c r="AW296" s="8">
        <v>7070</v>
      </c>
      <c r="AX296" s="8">
        <v>166500</v>
      </c>
      <c r="AY296" s="8">
        <v>41500</v>
      </c>
    </row>
    <row r="297" spans="1:51" x14ac:dyDescent="0.4">
      <c r="A297" s="11">
        <v>41019</v>
      </c>
      <c r="B297" s="7">
        <v>79900</v>
      </c>
      <c r="C297" s="7">
        <v>27650</v>
      </c>
      <c r="D297" s="7">
        <v>74200</v>
      </c>
      <c r="E297" s="7">
        <v>209000</v>
      </c>
      <c r="F297" s="7">
        <v>76600</v>
      </c>
      <c r="G297" s="8">
        <v>46150</v>
      </c>
      <c r="H297" s="8">
        <v>58600</v>
      </c>
      <c r="I297" s="8">
        <v>136000</v>
      </c>
      <c r="J297" s="8">
        <v>100000</v>
      </c>
      <c r="K297" s="8">
        <v>254000</v>
      </c>
      <c r="L297" s="7">
        <v>378500</v>
      </c>
      <c r="M297" s="7">
        <v>1282000</v>
      </c>
      <c r="N297" s="7">
        <v>94000</v>
      </c>
      <c r="O297" s="7">
        <v>141500</v>
      </c>
      <c r="P297" s="7">
        <v>106000</v>
      </c>
      <c r="Q297" s="8">
        <v>312000</v>
      </c>
      <c r="R297" s="8">
        <v>216500</v>
      </c>
      <c r="S297" s="8">
        <v>399500</v>
      </c>
      <c r="T297" s="8">
        <v>40000</v>
      </c>
      <c r="U297" s="8">
        <v>103500</v>
      </c>
      <c r="V297" s="7">
        <v>294500</v>
      </c>
      <c r="W297" s="7">
        <v>28657</v>
      </c>
      <c r="X297" s="7">
        <v>277500</v>
      </c>
      <c r="Y297" s="7">
        <v>22100</v>
      </c>
      <c r="Z297" s="7">
        <v>53500</v>
      </c>
      <c r="AA297" s="8">
        <v>135000</v>
      </c>
      <c r="AB297" s="8">
        <v>362500</v>
      </c>
      <c r="AC297" s="8">
        <v>12850</v>
      </c>
      <c r="AD297" s="8">
        <v>225000</v>
      </c>
      <c r="AE297" s="8">
        <v>37900</v>
      </c>
      <c r="AF297" s="7">
        <v>29800</v>
      </c>
      <c r="AG297" s="7">
        <v>97000</v>
      </c>
      <c r="AH297" s="7">
        <v>79400</v>
      </c>
      <c r="AI297" s="7">
        <v>55200</v>
      </c>
      <c r="AJ297" s="7">
        <v>25850</v>
      </c>
      <c r="AK297" s="8">
        <v>24750</v>
      </c>
      <c r="AL297" s="8">
        <v>267000</v>
      </c>
      <c r="AM297" s="8">
        <v>306000</v>
      </c>
      <c r="AN297" s="8">
        <v>31200</v>
      </c>
      <c r="AO297" s="8">
        <v>10250</v>
      </c>
      <c r="AP297" s="7">
        <v>574000</v>
      </c>
      <c r="AQ297" s="7">
        <v>315500</v>
      </c>
      <c r="AR297" s="7">
        <v>12000</v>
      </c>
      <c r="AS297" s="7">
        <v>41250</v>
      </c>
      <c r="AT297" s="7">
        <v>74400</v>
      </c>
      <c r="AU297" s="8">
        <v>210000</v>
      </c>
      <c r="AV297" s="8">
        <v>40250</v>
      </c>
      <c r="AW297" s="8">
        <v>7050</v>
      </c>
      <c r="AX297" s="8">
        <v>166000</v>
      </c>
      <c r="AY297" s="8">
        <v>40900</v>
      </c>
    </row>
    <row r="298" spans="1:51" x14ac:dyDescent="0.4">
      <c r="A298" s="11">
        <v>41018</v>
      </c>
      <c r="B298" s="7">
        <v>80000</v>
      </c>
      <c r="C298" s="7">
        <v>28800</v>
      </c>
      <c r="D298" s="7">
        <v>75900</v>
      </c>
      <c r="E298" s="7">
        <v>211500</v>
      </c>
      <c r="F298" s="7">
        <v>78600</v>
      </c>
      <c r="G298" s="8">
        <v>47200</v>
      </c>
      <c r="H298" s="8">
        <v>60800</v>
      </c>
      <c r="I298" s="8">
        <v>138000</v>
      </c>
      <c r="J298" s="8">
        <v>103000</v>
      </c>
      <c r="K298" s="8">
        <v>259500</v>
      </c>
      <c r="L298" s="7">
        <v>380000</v>
      </c>
      <c r="M298" s="7">
        <v>1307000</v>
      </c>
      <c r="N298" s="7">
        <v>94300</v>
      </c>
      <c r="O298" s="7">
        <v>137500</v>
      </c>
      <c r="P298" s="7">
        <v>104000</v>
      </c>
      <c r="Q298" s="8">
        <v>314500</v>
      </c>
      <c r="R298" s="8">
        <v>219500</v>
      </c>
      <c r="S298" s="8">
        <v>398000</v>
      </c>
      <c r="T298" s="8">
        <v>40900</v>
      </c>
      <c r="U298" s="8">
        <v>103500</v>
      </c>
      <c r="V298" s="7">
        <v>321000</v>
      </c>
      <c r="W298" s="7">
        <v>28755</v>
      </c>
      <c r="X298" s="7">
        <v>283500</v>
      </c>
      <c r="Y298" s="7">
        <v>22300</v>
      </c>
      <c r="Z298" s="7">
        <v>54300</v>
      </c>
      <c r="AA298" s="8">
        <v>136000</v>
      </c>
      <c r="AB298" s="8">
        <v>364500</v>
      </c>
      <c r="AC298" s="8">
        <v>13000</v>
      </c>
      <c r="AD298" s="8">
        <v>228000</v>
      </c>
      <c r="AE298" s="8">
        <v>37350</v>
      </c>
      <c r="AF298" s="7">
        <v>29800</v>
      </c>
      <c r="AG298" s="7">
        <v>94500</v>
      </c>
      <c r="AH298" s="7">
        <v>79500</v>
      </c>
      <c r="AI298" s="7">
        <v>57000</v>
      </c>
      <c r="AJ298" s="7">
        <v>26300</v>
      </c>
      <c r="AK298" s="8">
        <v>24250</v>
      </c>
      <c r="AL298" s="8">
        <v>269000</v>
      </c>
      <c r="AM298" s="8">
        <v>310000</v>
      </c>
      <c r="AN298" s="8">
        <v>31450</v>
      </c>
      <c r="AO298" s="8">
        <v>10000</v>
      </c>
      <c r="AP298" s="7">
        <v>566000</v>
      </c>
      <c r="AQ298" s="7">
        <v>347500</v>
      </c>
      <c r="AR298" s="7">
        <v>12400</v>
      </c>
      <c r="AS298" s="7">
        <v>41500</v>
      </c>
      <c r="AT298" s="7">
        <v>75500</v>
      </c>
      <c r="AU298" s="8">
        <v>209500</v>
      </c>
      <c r="AV298" s="8">
        <v>40650</v>
      </c>
      <c r="AW298" s="8">
        <v>6920</v>
      </c>
      <c r="AX298" s="8">
        <v>167000</v>
      </c>
      <c r="AY298" s="8">
        <v>41800</v>
      </c>
    </row>
    <row r="299" spans="1:51" x14ac:dyDescent="0.4">
      <c r="A299" s="12">
        <v>41017</v>
      </c>
      <c r="B299" s="9">
        <v>80500</v>
      </c>
      <c r="C299" s="9">
        <v>28050</v>
      </c>
      <c r="D299" s="9">
        <v>77700</v>
      </c>
      <c r="E299" s="9">
        <v>210500</v>
      </c>
      <c r="F299" s="9">
        <v>78300</v>
      </c>
      <c r="G299" s="10">
        <v>47050</v>
      </c>
      <c r="H299" s="10">
        <v>61900</v>
      </c>
      <c r="I299" s="10">
        <v>142500</v>
      </c>
      <c r="J299" s="10">
        <v>104000</v>
      </c>
      <c r="K299" s="10">
        <v>263500</v>
      </c>
      <c r="L299" s="9">
        <v>380500</v>
      </c>
      <c r="M299" s="9">
        <v>1293000</v>
      </c>
      <c r="N299" s="9">
        <v>94600</v>
      </c>
      <c r="O299" s="9">
        <v>136500</v>
      </c>
      <c r="P299" s="9">
        <v>101500</v>
      </c>
      <c r="Q299" s="10">
        <v>315500</v>
      </c>
      <c r="R299" s="10">
        <v>225000</v>
      </c>
      <c r="S299" s="10">
        <v>390500</v>
      </c>
      <c r="T299" s="10">
        <v>40600</v>
      </c>
      <c r="U299" s="10">
        <v>108000</v>
      </c>
      <c r="V299" s="9">
        <v>318000</v>
      </c>
      <c r="W299" s="9">
        <v>28903</v>
      </c>
      <c r="X299" s="9">
        <v>284000</v>
      </c>
      <c r="Y299" s="9">
        <v>22450</v>
      </c>
      <c r="Z299" s="9">
        <v>54800</v>
      </c>
      <c r="AA299" s="10">
        <v>137000</v>
      </c>
      <c r="AB299" s="10">
        <v>368000</v>
      </c>
      <c r="AC299" s="10">
        <v>13050</v>
      </c>
      <c r="AD299" s="10">
        <v>235000</v>
      </c>
      <c r="AE299" s="10">
        <v>37750</v>
      </c>
      <c r="AF299" s="9">
        <v>30300</v>
      </c>
      <c r="AG299" s="9">
        <v>92600</v>
      </c>
      <c r="AH299" s="9">
        <v>77900</v>
      </c>
      <c r="AI299" s="9">
        <v>58300</v>
      </c>
      <c r="AJ299" s="9">
        <v>27000</v>
      </c>
      <c r="AK299" s="10">
        <v>24250</v>
      </c>
      <c r="AL299" s="10">
        <v>263500</v>
      </c>
      <c r="AM299" s="10">
        <v>309000</v>
      </c>
      <c r="AN299" s="10">
        <v>31800</v>
      </c>
      <c r="AO299" s="10">
        <v>10050</v>
      </c>
      <c r="AP299" s="9">
        <v>566000</v>
      </c>
      <c r="AQ299" s="9">
        <v>347000</v>
      </c>
      <c r="AR299" s="9">
        <v>12550</v>
      </c>
      <c r="AS299" s="9">
        <v>42350</v>
      </c>
      <c r="AT299" s="9">
        <v>77400</v>
      </c>
      <c r="AU299" s="10">
        <v>209000</v>
      </c>
      <c r="AV299" s="10">
        <v>41550</v>
      </c>
      <c r="AW299" s="10">
        <v>7040</v>
      </c>
      <c r="AX299" s="10">
        <v>173500</v>
      </c>
      <c r="AY299" s="10">
        <v>42350</v>
      </c>
    </row>
    <row r="300" spans="1:51" x14ac:dyDescent="0.4">
      <c r="A300" s="11">
        <v>41016</v>
      </c>
      <c r="B300" s="7">
        <v>78600</v>
      </c>
      <c r="C300" s="7">
        <v>28300</v>
      </c>
      <c r="D300" s="7">
        <v>76500</v>
      </c>
      <c r="E300" s="7">
        <v>212500</v>
      </c>
      <c r="F300" s="7">
        <v>77400</v>
      </c>
      <c r="G300" s="8">
        <v>47400</v>
      </c>
      <c r="H300" s="8">
        <v>61900</v>
      </c>
      <c r="I300" s="8">
        <v>142000</v>
      </c>
      <c r="J300" s="8">
        <v>105000</v>
      </c>
      <c r="K300" s="8">
        <v>259000</v>
      </c>
      <c r="L300" s="7">
        <v>381000</v>
      </c>
      <c r="M300" s="7">
        <v>1249000</v>
      </c>
      <c r="N300" s="7">
        <v>91500</v>
      </c>
      <c r="O300" s="7">
        <v>136000</v>
      </c>
      <c r="P300" s="7">
        <v>99900</v>
      </c>
      <c r="Q300" s="8">
        <v>310000</v>
      </c>
      <c r="R300" s="8">
        <v>215000</v>
      </c>
      <c r="S300" s="8">
        <v>396000</v>
      </c>
      <c r="T300" s="8">
        <v>38400</v>
      </c>
      <c r="U300" s="8">
        <v>107000</v>
      </c>
      <c r="V300" s="7">
        <v>322500</v>
      </c>
      <c r="W300" s="7">
        <v>29395</v>
      </c>
      <c r="X300" s="7">
        <v>285000</v>
      </c>
      <c r="Y300" s="7">
        <v>22400</v>
      </c>
      <c r="Z300" s="7">
        <v>53600</v>
      </c>
      <c r="AA300" s="8">
        <v>137000</v>
      </c>
      <c r="AB300" s="8">
        <v>373500</v>
      </c>
      <c r="AC300" s="8">
        <v>13050</v>
      </c>
      <c r="AD300" s="8">
        <v>226500</v>
      </c>
      <c r="AE300" s="8">
        <v>37750</v>
      </c>
      <c r="AF300" s="7">
        <v>30350</v>
      </c>
      <c r="AG300" s="7">
        <v>93000</v>
      </c>
      <c r="AH300" s="7">
        <v>78900</v>
      </c>
      <c r="AI300" s="7">
        <v>58000</v>
      </c>
      <c r="AJ300" s="7">
        <v>27050</v>
      </c>
      <c r="AK300" s="8">
        <v>23800</v>
      </c>
      <c r="AL300" s="8">
        <v>262500</v>
      </c>
      <c r="AM300" s="8">
        <v>312000</v>
      </c>
      <c r="AN300" s="8">
        <v>30000</v>
      </c>
      <c r="AO300" s="8">
        <v>9810</v>
      </c>
      <c r="AP300" s="7">
        <v>570000</v>
      </c>
      <c r="AQ300" s="7">
        <v>356000</v>
      </c>
      <c r="AR300" s="7">
        <v>12500</v>
      </c>
      <c r="AS300" s="7">
        <v>42400</v>
      </c>
      <c r="AT300" s="7">
        <v>76700</v>
      </c>
      <c r="AU300" s="8">
        <v>199000</v>
      </c>
      <c r="AV300" s="8">
        <v>42600</v>
      </c>
      <c r="AW300" s="8">
        <v>6980</v>
      </c>
      <c r="AX300" s="8">
        <v>172000</v>
      </c>
      <c r="AY300" s="8">
        <v>42500</v>
      </c>
    </row>
    <row r="301" spans="1:51" x14ac:dyDescent="0.4">
      <c r="A301" s="11">
        <v>41015</v>
      </c>
      <c r="B301" s="7">
        <v>79100</v>
      </c>
      <c r="C301" s="7">
        <v>29250</v>
      </c>
      <c r="D301" s="7">
        <v>76500</v>
      </c>
      <c r="E301" s="7">
        <v>211000</v>
      </c>
      <c r="F301" s="7">
        <v>77500</v>
      </c>
      <c r="G301" s="8">
        <v>48100</v>
      </c>
      <c r="H301" s="8">
        <v>61600</v>
      </c>
      <c r="I301" s="8">
        <v>144000</v>
      </c>
      <c r="J301" s="8">
        <v>107000</v>
      </c>
      <c r="K301" s="8">
        <v>263000</v>
      </c>
      <c r="L301" s="7">
        <v>381000</v>
      </c>
      <c r="M301" s="7">
        <v>1259000</v>
      </c>
      <c r="N301" s="7">
        <v>92000</v>
      </c>
      <c r="O301" s="7">
        <v>134500</v>
      </c>
      <c r="P301" s="7">
        <v>100000</v>
      </c>
      <c r="Q301" s="8">
        <v>307500</v>
      </c>
      <c r="R301" s="8">
        <v>217000</v>
      </c>
      <c r="S301" s="8">
        <v>395000</v>
      </c>
      <c r="T301" s="8">
        <v>38850</v>
      </c>
      <c r="U301" s="8">
        <v>110000</v>
      </c>
      <c r="V301" s="7">
        <v>327500</v>
      </c>
      <c r="W301" s="7">
        <v>29641</v>
      </c>
      <c r="X301" s="7">
        <v>290000</v>
      </c>
      <c r="Y301" s="7">
        <v>22250</v>
      </c>
      <c r="Z301" s="7">
        <v>54100</v>
      </c>
      <c r="AA301" s="8">
        <v>139000</v>
      </c>
      <c r="AB301" s="8">
        <v>368000</v>
      </c>
      <c r="AC301" s="8">
        <v>13000</v>
      </c>
      <c r="AD301" s="8">
        <v>227500</v>
      </c>
      <c r="AE301" s="8">
        <v>37800</v>
      </c>
      <c r="AF301" s="7">
        <v>30600</v>
      </c>
      <c r="AG301" s="7">
        <v>93500</v>
      </c>
      <c r="AH301" s="7">
        <v>77700</v>
      </c>
      <c r="AI301" s="7">
        <v>57700</v>
      </c>
      <c r="AJ301" s="7">
        <v>27850</v>
      </c>
      <c r="AK301" s="8">
        <v>23700</v>
      </c>
      <c r="AL301" s="8">
        <v>259000</v>
      </c>
      <c r="AM301" s="8">
        <v>315000</v>
      </c>
      <c r="AN301" s="8">
        <v>30150</v>
      </c>
      <c r="AO301" s="8">
        <v>9790</v>
      </c>
      <c r="AP301" s="7">
        <v>561000</v>
      </c>
      <c r="AQ301" s="7">
        <v>362000</v>
      </c>
      <c r="AR301" s="7">
        <v>12400</v>
      </c>
      <c r="AS301" s="7">
        <v>42200</v>
      </c>
      <c r="AT301" s="7">
        <v>76000</v>
      </c>
      <c r="AU301" s="8">
        <v>201500</v>
      </c>
      <c r="AV301" s="8">
        <v>42600</v>
      </c>
      <c r="AW301" s="8">
        <v>6930</v>
      </c>
      <c r="AX301" s="8">
        <v>172000</v>
      </c>
      <c r="AY301" s="8">
        <v>42200</v>
      </c>
    </row>
    <row r="302" spans="1:51" x14ac:dyDescent="0.4">
      <c r="A302" s="11">
        <v>41012</v>
      </c>
      <c r="B302" s="7">
        <v>78600</v>
      </c>
      <c r="C302" s="7">
        <v>29000</v>
      </c>
      <c r="D302" s="7">
        <v>77800</v>
      </c>
      <c r="E302" s="7">
        <v>213500</v>
      </c>
      <c r="F302" s="7">
        <v>80100</v>
      </c>
      <c r="G302" s="8">
        <v>50500</v>
      </c>
      <c r="H302" s="8">
        <v>62600</v>
      </c>
      <c r="I302" s="8">
        <v>145000</v>
      </c>
      <c r="J302" s="8">
        <v>108500</v>
      </c>
      <c r="K302" s="8">
        <v>258000</v>
      </c>
      <c r="L302" s="7">
        <v>384500</v>
      </c>
      <c r="M302" s="7">
        <v>1268000</v>
      </c>
      <c r="N302" s="7">
        <v>95000</v>
      </c>
      <c r="O302" s="7">
        <v>134500</v>
      </c>
      <c r="P302" s="7">
        <v>100500</v>
      </c>
      <c r="Q302" s="8">
        <v>310000</v>
      </c>
      <c r="R302" s="8">
        <v>217000</v>
      </c>
      <c r="S302" s="8">
        <v>404500</v>
      </c>
      <c r="T302" s="8">
        <v>38550</v>
      </c>
      <c r="U302" s="8">
        <v>112000</v>
      </c>
      <c r="V302" s="7">
        <v>335000</v>
      </c>
      <c r="W302" s="7">
        <v>30232</v>
      </c>
      <c r="X302" s="7">
        <v>296000</v>
      </c>
      <c r="Y302" s="7">
        <v>22350</v>
      </c>
      <c r="Z302" s="7">
        <v>55000</v>
      </c>
      <c r="AA302" s="8">
        <v>140500</v>
      </c>
      <c r="AB302" s="8">
        <v>373500</v>
      </c>
      <c r="AC302" s="8">
        <v>13150</v>
      </c>
      <c r="AD302" s="8">
        <v>231000</v>
      </c>
      <c r="AE302" s="8">
        <v>37850</v>
      </c>
      <c r="AF302" s="7">
        <v>30850</v>
      </c>
      <c r="AG302" s="7">
        <v>94500</v>
      </c>
      <c r="AH302" s="7">
        <v>76900</v>
      </c>
      <c r="AI302" s="7">
        <v>58400</v>
      </c>
      <c r="AJ302" s="7">
        <v>27850</v>
      </c>
      <c r="AK302" s="8">
        <v>24450</v>
      </c>
      <c r="AL302" s="8">
        <v>262000</v>
      </c>
      <c r="AM302" s="8">
        <v>321500</v>
      </c>
      <c r="AN302" s="8">
        <v>30500</v>
      </c>
      <c r="AO302" s="8">
        <v>10000</v>
      </c>
      <c r="AP302" s="7">
        <v>563000</v>
      </c>
      <c r="AQ302" s="7">
        <v>369500</v>
      </c>
      <c r="AR302" s="7">
        <v>12650</v>
      </c>
      <c r="AS302" s="7">
        <v>42800</v>
      </c>
      <c r="AT302" s="7">
        <v>77700</v>
      </c>
      <c r="AU302" s="8">
        <v>201500</v>
      </c>
      <c r="AV302" s="8">
        <v>44500</v>
      </c>
      <c r="AW302" s="8">
        <v>7170</v>
      </c>
      <c r="AX302" s="8">
        <v>170500</v>
      </c>
      <c r="AY302" s="8">
        <v>43150</v>
      </c>
    </row>
    <row r="303" spans="1:51" x14ac:dyDescent="0.4">
      <c r="A303" s="11">
        <v>41011</v>
      </c>
      <c r="B303" s="7">
        <v>77500</v>
      </c>
      <c r="C303" s="7">
        <v>27200</v>
      </c>
      <c r="D303" s="7">
        <v>74900</v>
      </c>
      <c r="E303" s="7">
        <v>213500</v>
      </c>
      <c r="F303" s="7">
        <v>78800</v>
      </c>
      <c r="G303" s="8">
        <v>49300</v>
      </c>
      <c r="H303" s="8">
        <v>61600</v>
      </c>
      <c r="I303" s="8">
        <v>140500</v>
      </c>
      <c r="J303" s="8">
        <v>106000</v>
      </c>
      <c r="K303" s="8">
        <v>258500</v>
      </c>
      <c r="L303" s="7">
        <v>376500</v>
      </c>
      <c r="M303" s="7">
        <v>1273000</v>
      </c>
      <c r="N303" s="7">
        <v>91500</v>
      </c>
      <c r="O303" s="7">
        <v>130000</v>
      </c>
      <c r="P303" s="7">
        <v>98000</v>
      </c>
      <c r="Q303" s="8">
        <v>302500</v>
      </c>
      <c r="R303" s="8">
        <v>211000</v>
      </c>
      <c r="S303" s="8">
        <v>394000</v>
      </c>
      <c r="T303" s="8">
        <v>36800</v>
      </c>
      <c r="U303" s="8">
        <v>109500</v>
      </c>
      <c r="V303" s="7">
        <v>335500</v>
      </c>
      <c r="W303" s="7">
        <v>29641</v>
      </c>
      <c r="X303" s="7">
        <v>294000</v>
      </c>
      <c r="Y303" s="7">
        <v>22400</v>
      </c>
      <c r="Z303" s="7">
        <v>53700</v>
      </c>
      <c r="AA303" s="8">
        <v>140000</v>
      </c>
      <c r="AB303" s="8">
        <v>379000</v>
      </c>
      <c r="AC303" s="8">
        <v>13000</v>
      </c>
      <c r="AD303" s="8">
        <v>219000</v>
      </c>
      <c r="AE303" s="8">
        <v>36750</v>
      </c>
      <c r="AF303" s="7">
        <v>30900</v>
      </c>
      <c r="AG303" s="7">
        <v>94000</v>
      </c>
      <c r="AH303" s="7">
        <v>79800</v>
      </c>
      <c r="AI303" s="7">
        <v>57700</v>
      </c>
      <c r="AJ303" s="7">
        <v>26700</v>
      </c>
      <c r="AK303" s="8">
        <v>24100</v>
      </c>
      <c r="AL303" s="8">
        <v>264500</v>
      </c>
      <c r="AM303" s="8">
        <v>322000</v>
      </c>
      <c r="AN303" s="8">
        <v>28800</v>
      </c>
      <c r="AO303" s="8">
        <v>9780</v>
      </c>
      <c r="AP303" s="7">
        <v>570000</v>
      </c>
      <c r="AQ303" s="7">
        <v>368500</v>
      </c>
      <c r="AR303" s="7">
        <v>12600</v>
      </c>
      <c r="AS303" s="7">
        <v>42450</v>
      </c>
      <c r="AT303" s="7">
        <v>76000</v>
      </c>
      <c r="AU303" s="8">
        <v>195500</v>
      </c>
      <c r="AV303" s="8">
        <v>44000</v>
      </c>
      <c r="AW303" s="8">
        <v>6990</v>
      </c>
      <c r="AX303" s="8">
        <v>166000</v>
      </c>
      <c r="AY303" s="8">
        <v>42150</v>
      </c>
    </row>
    <row r="304" spans="1:51" x14ac:dyDescent="0.4">
      <c r="A304" s="12">
        <v>41009</v>
      </c>
      <c r="B304" s="9">
        <v>77800</v>
      </c>
      <c r="C304" s="9">
        <v>27750</v>
      </c>
      <c r="D304" s="9">
        <v>75800</v>
      </c>
      <c r="E304" s="9">
        <v>217500</v>
      </c>
      <c r="F304" s="9">
        <v>78200</v>
      </c>
      <c r="G304" s="10">
        <v>49700</v>
      </c>
      <c r="H304" s="10">
        <v>61800</v>
      </c>
      <c r="I304" s="10">
        <v>138500</v>
      </c>
      <c r="J304" s="10">
        <v>103500</v>
      </c>
      <c r="K304" s="10">
        <v>261000</v>
      </c>
      <c r="L304" s="9">
        <v>371500</v>
      </c>
      <c r="M304" s="9">
        <v>1311000</v>
      </c>
      <c r="N304" s="9">
        <v>90900</v>
      </c>
      <c r="O304" s="9">
        <v>131000</v>
      </c>
      <c r="P304" s="9">
        <v>98000</v>
      </c>
      <c r="Q304" s="10">
        <v>303000</v>
      </c>
      <c r="R304" s="10">
        <v>210000</v>
      </c>
      <c r="S304" s="10">
        <v>389500</v>
      </c>
      <c r="T304" s="10">
        <v>37300</v>
      </c>
      <c r="U304" s="10">
        <v>108000</v>
      </c>
      <c r="V304" s="9">
        <v>327500</v>
      </c>
      <c r="W304" s="9">
        <v>29937</v>
      </c>
      <c r="X304" s="9">
        <v>301500</v>
      </c>
      <c r="Y304" s="9">
        <v>22600</v>
      </c>
      <c r="Z304" s="9">
        <v>53500</v>
      </c>
      <c r="AA304" s="10">
        <v>140000</v>
      </c>
      <c r="AB304" s="10">
        <v>385000</v>
      </c>
      <c r="AC304" s="10">
        <v>12850</v>
      </c>
      <c r="AD304" s="10">
        <v>223500</v>
      </c>
      <c r="AE304" s="10">
        <v>36900</v>
      </c>
      <c r="AF304" s="9">
        <v>30950</v>
      </c>
      <c r="AG304" s="9">
        <v>93800</v>
      </c>
      <c r="AH304" s="9">
        <v>80000</v>
      </c>
      <c r="AI304" s="9">
        <v>57200</v>
      </c>
      <c r="AJ304" s="9">
        <v>26500</v>
      </c>
      <c r="AK304" s="10">
        <v>24350</v>
      </c>
      <c r="AL304" s="10">
        <v>265000</v>
      </c>
      <c r="AM304" s="10">
        <v>317000</v>
      </c>
      <c r="AN304" s="10">
        <v>28050</v>
      </c>
      <c r="AO304" s="10">
        <v>9830</v>
      </c>
      <c r="AP304" s="9">
        <v>590000</v>
      </c>
      <c r="AQ304" s="9">
        <v>356000</v>
      </c>
      <c r="AR304" s="9">
        <v>12450</v>
      </c>
      <c r="AS304" s="9">
        <v>42250</v>
      </c>
      <c r="AT304" s="9">
        <v>78300</v>
      </c>
      <c r="AU304" s="10">
        <v>198500</v>
      </c>
      <c r="AV304" s="10">
        <v>44000</v>
      </c>
      <c r="AW304" s="10">
        <v>7100</v>
      </c>
      <c r="AX304" s="10">
        <v>162000</v>
      </c>
      <c r="AY304" s="10">
        <v>41500</v>
      </c>
    </row>
    <row r="305" spans="1:51" x14ac:dyDescent="0.4">
      <c r="A305" s="11">
        <v>41008</v>
      </c>
      <c r="B305" s="7">
        <v>79800</v>
      </c>
      <c r="C305" s="7">
        <v>28050</v>
      </c>
      <c r="D305" s="7">
        <v>76600</v>
      </c>
      <c r="E305" s="7">
        <v>215000</v>
      </c>
      <c r="F305" s="7">
        <v>78800</v>
      </c>
      <c r="G305" s="8">
        <v>49050</v>
      </c>
      <c r="H305" s="8">
        <v>62000</v>
      </c>
      <c r="I305" s="8">
        <v>138000</v>
      </c>
      <c r="J305" s="8">
        <v>102000</v>
      </c>
      <c r="K305" s="8">
        <v>268500</v>
      </c>
      <c r="L305" s="7">
        <v>366500</v>
      </c>
      <c r="M305" s="7">
        <v>1317000</v>
      </c>
      <c r="N305" s="7">
        <v>90100</v>
      </c>
      <c r="O305" s="7">
        <v>134500</v>
      </c>
      <c r="P305" s="7">
        <v>101000</v>
      </c>
      <c r="Q305" s="8">
        <v>303000</v>
      </c>
      <c r="R305" s="8">
        <v>211000</v>
      </c>
      <c r="S305" s="8">
        <v>381500</v>
      </c>
      <c r="T305" s="8">
        <v>37150</v>
      </c>
      <c r="U305" s="8">
        <v>107000</v>
      </c>
      <c r="V305" s="7">
        <v>318500</v>
      </c>
      <c r="W305" s="7">
        <v>29789</v>
      </c>
      <c r="X305" s="7">
        <v>303000</v>
      </c>
      <c r="Y305" s="7">
        <v>22600</v>
      </c>
      <c r="Z305" s="7">
        <v>53700</v>
      </c>
      <c r="AA305" s="8">
        <v>140000</v>
      </c>
      <c r="AB305" s="8">
        <v>387000</v>
      </c>
      <c r="AC305" s="8">
        <v>12900</v>
      </c>
      <c r="AD305" s="8">
        <v>221000</v>
      </c>
      <c r="AE305" s="8">
        <v>37000</v>
      </c>
      <c r="AF305" s="7">
        <v>30550</v>
      </c>
      <c r="AG305" s="7">
        <v>92500</v>
      </c>
      <c r="AH305" s="7">
        <v>79300</v>
      </c>
      <c r="AI305" s="7">
        <v>57800</v>
      </c>
      <c r="AJ305" s="7">
        <v>26450</v>
      </c>
      <c r="AK305" s="8">
        <v>24100</v>
      </c>
      <c r="AL305" s="8">
        <v>268500</v>
      </c>
      <c r="AM305" s="8">
        <v>315000</v>
      </c>
      <c r="AN305" s="8">
        <v>28900</v>
      </c>
      <c r="AO305" s="8">
        <v>9730</v>
      </c>
      <c r="AP305" s="7">
        <v>578000</v>
      </c>
      <c r="AQ305" s="7">
        <v>351500</v>
      </c>
      <c r="AR305" s="7">
        <v>12200</v>
      </c>
      <c r="AS305" s="7">
        <v>42550</v>
      </c>
      <c r="AT305" s="7">
        <v>78700</v>
      </c>
      <c r="AU305" s="8">
        <v>198000</v>
      </c>
      <c r="AV305" s="8">
        <v>42800</v>
      </c>
      <c r="AW305" s="8">
        <v>6900</v>
      </c>
      <c r="AX305" s="8">
        <v>160000</v>
      </c>
      <c r="AY305" s="8">
        <v>41600</v>
      </c>
    </row>
    <row r="306" spans="1:51" x14ac:dyDescent="0.4">
      <c r="A306" s="11">
        <v>41005</v>
      </c>
      <c r="B306" s="7">
        <v>79900</v>
      </c>
      <c r="C306" s="7">
        <v>29250</v>
      </c>
      <c r="D306" s="7">
        <v>80200</v>
      </c>
      <c r="E306" s="7">
        <v>215500</v>
      </c>
      <c r="F306" s="7">
        <v>80900</v>
      </c>
      <c r="G306" s="8">
        <v>50000</v>
      </c>
      <c r="H306" s="8">
        <v>62700</v>
      </c>
      <c r="I306" s="8">
        <v>139500</v>
      </c>
      <c r="J306" s="8">
        <v>104000</v>
      </c>
      <c r="K306" s="8">
        <v>264500</v>
      </c>
      <c r="L306" s="7">
        <v>372500</v>
      </c>
      <c r="M306" s="7">
        <v>1332000</v>
      </c>
      <c r="N306" s="7">
        <v>93900</v>
      </c>
      <c r="O306" s="7">
        <v>139000</v>
      </c>
      <c r="P306" s="7">
        <v>103000</v>
      </c>
      <c r="Q306" s="8">
        <v>313000</v>
      </c>
      <c r="R306" s="8">
        <v>216500</v>
      </c>
      <c r="S306" s="8">
        <v>376000</v>
      </c>
      <c r="T306" s="8">
        <v>37600</v>
      </c>
      <c r="U306" s="8">
        <v>108000</v>
      </c>
      <c r="V306" s="7">
        <v>326500</v>
      </c>
      <c r="W306" s="7">
        <v>30478</v>
      </c>
      <c r="X306" s="7">
        <v>312000</v>
      </c>
      <c r="Y306" s="7">
        <v>22650</v>
      </c>
      <c r="Z306" s="7">
        <v>55700</v>
      </c>
      <c r="AA306" s="8">
        <v>139500</v>
      </c>
      <c r="AB306" s="8">
        <v>388000</v>
      </c>
      <c r="AC306" s="8">
        <v>13250</v>
      </c>
      <c r="AD306" s="8">
        <v>232000</v>
      </c>
      <c r="AE306" s="8">
        <v>39000</v>
      </c>
      <c r="AF306" s="7">
        <v>30600</v>
      </c>
      <c r="AG306" s="7">
        <v>94800</v>
      </c>
      <c r="AH306" s="7">
        <v>78000</v>
      </c>
      <c r="AI306" s="7">
        <v>60200</v>
      </c>
      <c r="AJ306" s="7">
        <v>27150</v>
      </c>
      <c r="AK306" s="8">
        <v>24550</v>
      </c>
      <c r="AL306" s="8">
        <v>272000</v>
      </c>
      <c r="AM306" s="8">
        <v>322500</v>
      </c>
      <c r="AN306" s="8">
        <v>29900</v>
      </c>
      <c r="AO306" s="8">
        <v>10050</v>
      </c>
      <c r="AP306" s="7">
        <v>570000</v>
      </c>
      <c r="AQ306" s="7">
        <v>359500</v>
      </c>
      <c r="AR306" s="7">
        <v>12850</v>
      </c>
      <c r="AS306" s="7">
        <v>43300</v>
      </c>
      <c r="AT306" s="7">
        <v>81900</v>
      </c>
      <c r="AU306" s="8">
        <v>204500</v>
      </c>
      <c r="AV306" s="8">
        <v>43350</v>
      </c>
      <c r="AW306" s="8">
        <v>7180</v>
      </c>
      <c r="AX306" s="8">
        <v>160000</v>
      </c>
      <c r="AY306" s="8">
        <v>42700</v>
      </c>
    </row>
    <row r="307" spans="1:51" x14ac:dyDescent="0.4">
      <c r="A307" s="11">
        <v>41004</v>
      </c>
      <c r="B307" s="7">
        <v>80900</v>
      </c>
      <c r="C307" s="7">
        <v>29850</v>
      </c>
      <c r="D307" s="7">
        <v>78700</v>
      </c>
      <c r="E307" s="7">
        <v>211500</v>
      </c>
      <c r="F307" s="7">
        <v>78300</v>
      </c>
      <c r="G307" s="8">
        <v>50000</v>
      </c>
      <c r="H307" s="8">
        <v>62000</v>
      </c>
      <c r="I307" s="8">
        <v>139000</v>
      </c>
      <c r="J307" s="8">
        <v>105000</v>
      </c>
      <c r="K307" s="8">
        <v>264000</v>
      </c>
      <c r="L307" s="7">
        <v>372000</v>
      </c>
      <c r="M307" s="7">
        <v>1330000</v>
      </c>
      <c r="N307" s="7">
        <v>92900</v>
      </c>
      <c r="O307" s="7">
        <v>138500</v>
      </c>
      <c r="P307" s="7">
        <v>99900</v>
      </c>
      <c r="Q307" s="8">
        <v>316500</v>
      </c>
      <c r="R307" s="8">
        <v>218000</v>
      </c>
      <c r="S307" s="8">
        <v>376000</v>
      </c>
      <c r="T307" s="8">
        <v>37700</v>
      </c>
      <c r="U307" s="8">
        <v>107000</v>
      </c>
      <c r="V307" s="7">
        <v>318500</v>
      </c>
      <c r="W307" s="7">
        <v>30478</v>
      </c>
      <c r="X307" s="7">
        <v>308500</v>
      </c>
      <c r="Y307" s="7">
        <v>22150</v>
      </c>
      <c r="Z307" s="7">
        <v>56300</v>
      </c>
      <c r="AA307" s="8">
        <v>138500</v>
      </c>
      <c r="AB307" s="8">
        <v>376000</v>
      </c>
      <c r="AC307" s="8">
        <v>13400</v>
      </c>
      <c r="AD307" s="8">
        <v>233000</v>
      </c>
      <c r="AE307" s="8">
        <v>39300</v>
      </c>
      <c r="AF307" s="7">
        <v>30650</v>
      </c>
      <c r="AG307" s="7">
        <v>95700</v>
      </c>
      <c r="AH307" s="7">
        <v>80000</v>
      </c>
      <c r="AI307" s="7">
        <v>60800</v>
      </c>
      <c r="AJ307" s="7">
        <v>26950</v>
      </c>
      <c r="AK307" s="8">
        <v>24650</v>
      </c>
      <c r="AL307" s="8">
        <v>274000</v>
      </c>
      <c r="AM307" s="8">
        <v>321000</v>
      </c>
      <c r="AN307" s="8">
        <v>29600</v>
      </c>
      <c r="AO307" s="8">
        <v>10000</v>
      </c>
      <c r="AP307" s="7">
        <v>582000</v>
      </c>
      <c r="AQ307" s="7">
        <v>350500</v>
      </c>
      <c r="AR307" s="7">
        <v>13300</v>
      </c>
      <c r="AS307" s="7">
        <v>44100</v>
      </c>
      <c r="AT307" s="7">
        <v>80800</v>
      </c>
      <c r="AU307" s="8">
        <v>211000</v>
      </c>
      <c r="AV307" s="8">
        <v>44450</v>
      </c>
      <c r="AW307" s="8">
        <v>7380</v>
      </c>
      <c r="AX307" s="8">
        <v>158500</v>
      </c>
      <c r="AY307" s="8">
        <v>43500</v>
      </c>
    </row>
    <row r="308" spans="1:51" x14ac:dyDescent="0.4">
      <c r="A308" s="11">
        <v>41003</v>
      </c>
      <c r="B308" s="7">
        <v>78300</v>
      </c>
      <c r="C308" s="7">
        <v>29400</v>
      </c>
      <c r="D308" s="7">
        <v>79600</v>
      </c>
      <c r="E308" s="7">
        <v>215500</v>
      </c>
      <c r="F308" s="7">
        <v>77700</v>
      </c>
      <c r="G308" s="8">
        <v>50500</v>
      </c>
      <c r="H308" s="8">
        <v>63200</v>
      </c>
      <c r="I308" s="8">
        <v>141000</v>
      </c>
      <c r="J308" s="8">
        <v>102500</v>
      </c>
      <c r="K308" s="8">
        <v>253500</v>
      </c>
      <c r="L308" s="7">
        <v>375000</v>
      </c>
      <c r="M308" s="7">
        <v>1320000</v>
      </c>
      <c r="N308" s="7">
        <v>95100</v>
      </c>
      <c r="O308" s="7">
        <v>141000</v>
      </c>
      <c r="P308" s="7">
        <v>100000</v>
      </c>
      <c r="Q308" s="8">
        <v>320500</v>
      </c>
      <c r="R308" s="8">
        <v>219500</v>
      </c>
      <c r="S308" s="8">
        <v>375000</v>
      </c>
      <c r="T308" s="8">
        <v>37450</v>
      </c>
      <c r="U308" s="8">
        <v>107000</v>
      </c>
      <c r="V308" s="7">
        <v>318500</v>
      </c>
      <c r="W308" s="7">
        <v>31020</v>
      </c>
      <c r="X308" s="7">
        <v>290000</v>
      </c>
      <c r="Y308" s="7">
        <v>22250</v>
      </c>
      <c r="Z308" s="7">
        <v>57000</v>
      </c>
      <c r="AA308" s="8">
        <v>138000</v>
      </c>
      <c r="AB308" s="8">
        <v>369000</v>
      </c>
      <c r="AC308" s="8">
        <v>13700</v>
      </c>
      <c r="AD308" s="8">
        <v>233000</v>
      </c>
      <c r="AE308" s="8">
        <v>39600</v>
      </c>
      <c r="AF308" s="7">
        <v>30700</v>
      </c>
      <c r="AG308" s="7">
        <v>97000</v>
      </c>
      <c r="AH308" s="7">
        <v>77800</v>
      </c>
      <c r="AI308" s="7">
        <v>60400</v>
      </c>
      <c r="AJ308" s="7">
        <v>27350</v>
      </c>
      <c r="AK308" s="8">
        <v>24650</v>
      </c>
      <c r="AL308" s="8">
        <v>253500</v>
      </c>
      <c r="AM308" s="8">
        <v>306500</v>
      </c>
      <c r="AN308" s="8">
        <v>29950</v>
      </c>
      <c r="AO308" s="8">
        <v>10100</v>
      </c>
      <c r="AP308" s="7">
        <v>568000</v>
      </c>
      <c r="AQ308" s="7">
        <v>359500</v>
      </c>
      <c r="AR308" s="7">
        <v>13500</v>
      </c>
      <c r="AS308" s="7">
        <v>44450</v>
      </c>
      <c r="AT308" s="7">
        <v>80900</v>
      </c>
      <c r="AU308" s="8">
        <v>202500</v>
      </c>
      <c r="AV308" s="8">
        <v>44200</v>
      </c>
      <c r="AW308" s="8">
        <v>7650</v>
      </c>
      <c r="AX308" s="8">
        <v>160500</v>
      </c>
      <c r="AY308" s="8">
        <v>43000</v>
      </c>
    </row>
    <row r="309" spans="1:51" x14ac:dyDescent="0.4">
      <c r="A309" s="12">
        <v>41002</v>
      </c>
      <c r="B309" s="9">
        <v>78300</v>
      </c>
      <c r="C309" s="9">
        <v>30300</v>
      </c>
      <c r="D309" s="9">
        <v>81900</v>
      </c>
      <c r="E309" s="9">
        <v>221500</v>
      </c>
      <c r="F309" s="9">
        <v>79800</v>
      </c>
      <c r="G309" s="10">
        <v>51300</v>
      </c>
      <c r="H309" s="10">
        <v>65000</v>
      </c>
      <c r="I309" s="10">
        <v>148000</v>
      </c>
      <c r="J309" s="10">
        <v>105500</v>
      </c>
      <c r="K309" s="10">
        <v>255000</v>
      </c>
      <c r="L309" s="9">
        <v>380500</v>
      </c>
      <c r="M309" s="9">
        <v>1335000</v>
      </c>
      <c r="N309" s="9">
        <v>99900</v>
      </c>
      <c r="O309" s="9">
        <v>142000</v>
      </c>
      <c r="P309" s="9">
        <v>101000</v>
      </c>
      <c r="Q309" s="10">
        <v>328000</v>
      </c>
      <c r="R309" s="10">
        <v>227000</v>
      </c>
      <c r="S309" s="10">
        <v>389000</v>
      </c>
      <c r="T309" s="10">
        <v>39150</v>
      </c>
      <c r="U309" s="10">
        <v>111500</v>
      </c>
      <c r="V309" s="9">
        <v>335500</v>
      </c>
      <c r="W309" s="9">
        <v>30872</v>
      </c>
      <c r="X309" s="9">
        <v>296500</v>
      </c>
      <c r="Y309" s="9">
        <v>22200</v>
      </c>
      <c r="Z309" s="9">
        <v>58700</v>
      </c>
      <c r="AA309" s="10">
        <v>142500</v>
      </c>
      <c r="AB309" s="10">
        <v>365000</v>
      </c>
      <c r="AC309" s="10">
        <v>14200</v>
      </c>
      <c r="AD309" s="10">
        <v>246000</v>
      </c>
      <c r="AE309" s="10">
        <v>41000</v>
      </c>
      <c r="AF309" s="9">
        <v>31250</v>
      </c>
      <c r="AG309" s="9">
        <v>96300</v>
      </c>
      <c r="AH309" s="9">
        <v>76100</v>
      </c>
      <c r="AI309" s="9">
        <v>61700</v>
      </c>
      <c r="AJ309" s="9">
        <v>27500</v>
      </c>
      <c r="AK309" s="10">
        <v>24400</v>
      </c>
      <c r="AL309" s="10">
        <v>261000</v>
      </c>
      <c r="AM309" s="10">
        <v>311500</v>
      </c>
      <c r="AN309" s="10">
        <v>31500</v>
      </c>
      <c r="AO309" s="10">
        <v>10300</v>
      </c>
      <c r="AP309" s="9">
        <v>561000</v>
      </c>
      <c r="AQ309" s="9">
        <v>369000</v>
      </c>
      <c r="AR309" s="9">
        <v>13600</v>
      </c>
      <c r="AS309" s="9">
        <v>44650</v>
      </c>
      <c r="AT309" s="9">
        <v>82600</v>
      </c>
      <c r="AU309" s="10">
        <v>202500</v>
      </c>
      <c r="AV309" s="10">
        <v>44900</v>
      </c>
      <c r="AW309" s="10">
        <v>7650</v>
      </c>
      <c r="AX309" s="10">
        <v>165500</v>
      </c>
      <c r="AY309" s="10">
        <v>42300</v>
      </c>
    </row>
    <row r="310" spans="1:51" x14ac:dyDescent="0.4">
      <c r="A310" s="11">
        <v>41001</v>
      </c>
      <c r="B310" s="7">
        <v>75700</v>
      </c>
      <c r="C310" s="7">
        <v>29350</v>
      </c>
      <c r="D310" s="7">
        <v>81200</v>
      </c>
      <c r="E310" s="7">
        <v>220000</v>
      </c>
      <c r="F310" s="7">
        <v>78500</v>
      </c>
      <c r="G310" s="8">
        <v>51600</v>
      </c>
      <c r="H310" s="8">
        <v>65300</v>
      </c>
      <c r="I310" s="8">
        <v>145500</v>
      </c>
      <c r="J310" s="8">
        <v>104500</v>
      </c>
      <c r="K310" s="8">
        <v>240000</v>
      </c>
      <c r="L310" s="7">
        <v>382500</v>
      </c>
      <c r="M310" s="7">
        <v>1299000</v>
      </c>
      <c r="N310" s="7">
        <v>98800</v>
      </c>
      <c r="O310" s="7">
        <v>139000</v>
      </c>
      <c r="P310" s="7">
        <v>100000</v>
      </c>
      <c r="Q310" s="8">
        <v>321000</v>
      </c>
      <c r="R310" s="8">
        <v>230000</v>
      </c>
      <c r="S310" s="8">
        <v>394500</v>
      </c>
      <c r="T310" s="8">
        <v>38250</v>
      </c>
      <c r="U310" s="8">
        <v>111000</v>
      </c>
      <c r="V310" s="7">
        <v>338000</v>
      </c>
      <c r="W310" s="7">
        <v>30774</v>
      </c>
      <c r="X310" s="7">
        <v>292500</v>
      </c>
      <c r="Y310" s="7">
        <v>22450</v>
      </c>
      <c r="Z310" s="7">
        <v>57200</v>
      </c>
      <c r="AA310" s="8">
        <v>140500</v>
      </c>
      <c r="AB310" s="8">
        <v>365000</v>
      </c>
      <c r="AC310" s="8">
        <v>14150</v>
      </c>
      <c r="AD310" s="8">
        <v>239000</v>
      </c>
      <c r="AE310" s="8">
        <v>39500</v>
      </c>
      <c r="AF310" s="7">
        <v>31600</v>
      </c>
      <c r="AG310" s="7">
        <v>98200</v>
      </c>
      <c r="AH310" s="7">
        <v>77900</v>
      </c>
      <c r="AI310" s="7">
        <v>63500</v>
      </c>
      <c r="AJ310" s="7">
        <v>26800</v>
      </c>
      <c r="AK310" s="8">
        <v>24900</v>
      </c>
      <c r="AL310" s="8">
        <v>259000</v>
      </c>
      <c r="AM310" s="8">
        <v>313500</v>
      </c>
      <c r="AN310" s="8">
        <v>30600</v>
      </c>
      <c r="AO310" s="8">
        <v>10300</v>
      </c>
      <c r="AP310" s="7">
        <v>562000</v>
      </c>
      <c r="AQ310" s="7">
        <v>366500</v>
      </c>
      <c r="AR310" s="7">
        <v>13500</v>
      </c>
      <c r="AS310" s="7">
        <v>44650</v>
      </c>
      <c r="AT310" s="7">
        <v>84200</v>
      </c>
      <c r="AU310" s="8">
        <v>202000</v>
      </c>
      <c r="AV310" s="8">
        <v>44900</v>
      </c>
      <c r="AW310" s="8">
        <v>7430</v>
      </c>
      <c r="AX310" s="8">
        <v>164500</v>
      </c>
      <c r="AY310" s="8">
        <v>42500</v>
      </c>
    </row>
    <row r="311" spans="1:51" x14ac:dyDescent="0.4">
      <c r="A311" s="11">
        <v>40998</v>
      </c>
      <c r="B311" s="7">
        <v>74100</v>
      </c>
      <c r="C311" s="7">
        <v>29250</v>
      </c>
      <c r="D311" s="7">
        <v>80800</v>
      </c>
      <c r="E311" s="7">
        <v>214000</v>
      </c>
      <c r="F311" s="7">
        <v>79400</v>
      </c>
      <c r="G311" s="8">
        <v>50000</v>
      </c>
      <c r="H311" s="8">
        <v>65000</v>
      </c>
      <c r="I311" s="8">
        <v>147500</v>
      </c>
      <c r="J311" s="8">
        <v>102000</v>
      </c>
      <c r="K311" s="8">
        <v>233000</v>
      </c>
      <c r="L311" s="7">
        <v>380000</v>
      </c>
      <c r="M311" s="7">
        <v>1275000</v>
      </c>
      <c r="N311" s="7">
        <v>99900</v>
      </c>
      <c r="O311" s="7">
        <v>137000</v>
      </c>
      <c r="P311" s="7">
        <v>99900</v>
      </c>
      <c r="Q311" s="8">
        <v>321500</v>
      </c>
      <c r="R311" s="8">
        <v>230500</v>
      </c>
      <c r="S311" s="8">
        <v>391500</v>
      </c>
      <c r="T311" s="8">
        <v>37750</v>
      </c>
      <c r="U311" s="8">
        <v>112000</v>
      </c>
      <c r="V311" s="7">
        <v>336500</v>
      </c>
      <c r="W311" s="7">
        <v>30232</v>
      </c>
      <c r="X311" s="7">
        <v>286500</v>
      </c>
      <c r="Y311" s="7">
        <v>22400</v>
      </c>
      <c r="Z311" s="7">
        <v>56800</v>
      </c>
      <c r="AA311" s="8">
        <v>139500</v>
      </c>
      <c r="AB311" s="8">
        <v>355000</v>
      </c>
      <c r="AC311" s="8">
        <v>13750</v>
      </c>
      <c r="AD311" s="8">
        <v>242000</v>
      </c>
      <c r="AE311" s="8">
        <v>39450</v>
      </c>
      <c r="AF311" s="7">
        <v>31450</v>
      </c>
      <c r="AG311" s="7">
        <v>99000</v>
      </c>
      <c r="AH311" s="7">
        <v>80400</v>
      </c>
      <c r="AI311" s="7">
        <v>63800</v>
      </c>
      <c r="AJ311" s="7">
        <v>26500</v>
      </c>
      <c r="AK311" s="8">
        <v>25150</v>
      </c>
      <c r="AL311" s="8">
        <v>260000</v>
      </c>
      <c r="AM311" s="8">
        <v>299500</v>
      </c>
      <c r="AN311" s="8">
        <v>30300</v>
      </c>
      <c r="AO311" s="8">
        <v>10200</v>
      </c>
      <c r="AP311" s="7">
        <v>595000</v>
      </c>
      <c r="AQ311" s="7">
        <v>370000</v>
      </c>
      <c r="AR311" s="7">
        <v>13000</v>
      </c>
      <c r="AS311" s="7">
        <v>43750</v>
      </c>
      <c r="AT311" s="7">
        <v>82800</v>
      </c>
      <c r="AU311" s="8">
        <v>204000</v>
      </c>
      <c r="AV311" s="8">
        <v>42700</v>
      </c>
      <c r="AW311" s="8">
        <v>7490</v>
      </c>
      <c r="AX311" s="8">
        <v>165500</v>
      </c>
      <c r="AY311" s="8">
        <v>41350</v>
      </c>
    </row>
    <row r="312" spans="1:51" x14ac:dyDescent="0.4">
      <c r="A312" s="11">
        <v>40997</v>
      </c>
      <c r="B312" s="7">
        <v>75000</v>
      </c>
      <c r="C312" s="7">
        <v>30500</v>
      </c>
      <c r="D312" s="7">
        <v>80000</v>
      </c>
      <c r="E312" s="7">
        <v>213000</v>
      </c>
      <c r="F312" s="7">
        <v>79100</v>
      </c>
      <c r="G312" s="8">
        <v>50500</v>
      </c>
      <c r="H312" s="8">
        <v>64400</v>
      </c>
      <c r="I312" s="8">
        <v>146500</v>
      </c>
      <c r="J312" s="8">
        <v>99600</v>
      </c>
      <c r="K312" s="8">
        <v>236500</v>
      </c>
      <c r="L312" s="7">
        <v>377500</v>
      </c>
      <c r="M312" s="7">
        <v>1280000</v>
      </c>
      <c r="N312" s="7">
        <v>99600</v>
      </c>
      <c r="O312" s="7">
        <v>137500</v>
      </c>
      <c r="P312" s="7">
        <v>101500</v>
      </c>
      <c r="Q312" s="8">
        <v>323000</v>
      </c>
      <c r="R312" s="8">
        <v>230500</v>
      </c>
      <c r="S312" s="8">
        <v>391500</v>
      </c>
      <c r="T312" s="8">
        <v>39150</v>
      </c>
      <c r="U312" s="8">
        <v>111500</v>
      </c>
      <c r="V312" s="7">
        <v>323000</v>
      </c>
      <c r="W312" s="7">
        <v>30380</v>
      </c>
      <c r="X312" s="7">
        <v>290000</v>
      </c>
      <c r="Y312" s="7">
        <v>22250</v>
      </c>
      <c r="Z312" s="7">
        <v>57400</v>
      </c>
      <c r="AA312" s="8">
        <v>142500</v>
      </c>
      <c r="AB312" s="8">
        <v>352000</v>
      </c>
      <c r="AC312" s="8">
        <v>13800</v>
      </c>
      <c r="AD312" s="8">
        <v>248000</v>
      </c>
      <c r="AE312" s="8">
        <v>39450</v>
      </c>
      <c r="AF312" s="7">
        <v>31700</v>
      </c>
      <c r="AG312" s="7">
        <v>99000</v>
      </c>
      <c r="AH312" s="7">
        <v>78400</v>
      </c>
      <c r="AI312" s="7">
        <v>63100</v>
      </c>
      <c r="AJ312" s="7">
        <v>26350</v>
      </c>
      <c r="AK312" s="8">
        <v>24800</v>
      </c>
      <c r="AL312" s="8">
        <v>253500</v>
      </c>
      <c r="AM312" s="8">
        <v>305000</v>
      </c>
      <c r="AN312" s="8">
        <v>31250</v>
      </c>
      <c r="AO312" s="8">
        <v>10100</v>
      </c>
      <c r="AP312" s="7">
        <v>578000</v>
      </c>
      <c r="AQ312" s="7">
        <v>362000</v>
      </c>
      <c r="AR312" s="7">
        <v>13100</v>
      </c>
      <c r="AS312" s="7">
        <v>44450</v>
      </c>
      <c r="AT312" s="7">
        <v>82100</v>
      </c>
      <c r="AU312" s="8">
        <v>201500</v>
      </c>
      <c r="AV312" s="8">
        <v>43500</v>
      </c>
      <c r="AW312" s="8">
        <v>7300</v>
      </c>
      <c r="AX312" s="8">
        <v>162500</v>
      </c>
      <c r="AY312" s="8">
        <v>42250</v>
      </c>
    </row>
    <row r="313" spans="1:51" x14ac:dyDescent="0.4">
      <c r="A313" s="11">
        <v>40996</v>
      </c>
      <c r="B313" s="7">
        <v>74800</v>
      </c>
      <c r="C313" s="7">
        <v>30550</v>
      </c>
      <c r="D313" s="7">
        <v>81700</v>
      </c>
      <c r="E313" s="7">
        <v>217500</v>
      </c>
      <c r="F313" s="7">
        <v>80400</v>
      </c>
      <c r="G313" s="8">
        <v>49300</v>
      </c>
      <c r="H313" s="8">
        <v>65000</v>
      </c>
      <c r="I313" s="8">
        <v>151500</v>
      </c>
      <c r="J313" s="8">
        <v>99900</v>
      </c>
      <c r="K313" s="8">
        <v>232500</v>
      </c>
      <c r="L313" s="7">
        <v>382000</v>
      </c>
      <c r="M313" s="7">
        <v>1302000</v>
      </c>
      <c r="N313" s="7">
        <v>104000</v>
      </c>
      <c r="O313" s="7">
        <v>137000</v>
      </c>
      <c r="P313" s="7">
        <v>102000</v>
      </c>
      <c r="Q313" s="8">
        <v>333000</v>
      </c>
      <c r="R313" s="8">
        <v>229000</v>
      </c>
      <c r="S313" s="8">
        <v>386000</v>
      </c>
      <c r="T313" s="8">
        <v>41200</v>
      </c>
      <c r="U313" s="8">
        <v>112000</v>
      </c>
      <c r="V313" s="7">
        <v>318500</v>
      </c>
      <c r="W313" s="7">
        <v>30872</v>
      </c>
      <c r="X313" s="7">
        <v>289500</v>
      </c>
      <c r="Y313" s="7">
        <v>22550</v>
      </c>
      <c r="Z313" s="7">
        <v>59000</v>
      </c>
      <c r="AA313" s="8">
        <v>141500</v>
      </c>
      <c r="AB313" s="8">
        <v>344000</v>
      </c>
      <c r="AC313" s="8">
        <v>13800</v>
      </c>
      <c r="AD313" s="8">
        <v>254000</v>
      </c>
      <c r="AE313" s="8">
        <v>40000</v>
      </c>
      <c r="AF313" s="7">
        <v>32250</v>
      </c>
      <c r="AG313" s="7">
        <v>99100</v>
      </c>
      <c r="AH313" s="7">
        <v>77500</v>
      </c>
      <c r="AI313" s="7">
        <v>63800</v>
      </c>
      <c r="AJ313" s="7">
        <v>27150</v>
      </c>
      <c r="AK313" s="8">
        <v>25500</v>
      </c>
      <c r="AL313" s="8">
        <v>261500</v>
      </c>
      <c r="AM313" s="8">
        <v>311000</v>
      </c>
      <c r="AN313" s="8">
        <v>33000</v>
      </c>
      <c r="AO313" s="8">
        <v>10450</v>
      </c>
      <c r="AP313" s="7">
        <v>554000</v>
      </c>
      <c r="AQ313" s="7">
        <v>360000</v>
      </c>
      <c r="AR313" s="7">
        <v>13200</v>
      </c>
      <c r="AS313" s="7">
        <v>44500</v>
      </c>
      <c r="AT313" s="7">
        <v>82300</v>
      </c>
      <c r="AU313" s="8">
        <v>201000</v>
      </c>
      <c r="AV313" s="8">
        <v>43950</v>
      </c>
      <c r="AW313" s="8">
        <v>7660</v>
      </c>
      <c r="AX313" s="8">
        <v>161500</v>
      </c>
      <c r="AY313" s="8">
        <v>43000</v>
      </c>
    </row>
    <row r="314" spans="1:51" x14ac:dyDescent="0.4">
      <c r="A314" s="12">
        <v>40995</v>
      </c>
      <c r="B314" s="9">
        <v>72800</v>
      </c>
      <c r="C314" s="9">
        <v>30450</v>
      </c>
      <c r="D314" s="9">
        <v>82900</v>
      </c>
      <c r="E314" s="9">
        <v>220000</v>
      </c>
      <c r="F314" s="9">
        <v>82200</v>
      </c>
      <c r="G314" s="10">
        <v>51000</v>
      </c>
      <c r="H314" s="10">
        <v>67000</v>
      </c>
      <c r="I314" s="10">
        <v>151000</v>
      </c>
      <c r="J314" s="10">
        <v>100500</v>
      </c>
      <c r="K314" s="10">
        <v>226000</v>
      </c>
      <c r="L314" s="9">
        <v>385000</v>
      </c>
      <c r="M314" s="9">
        <v>1311000</v>
      </c>
      <c r="N314" s="9">
        <v>109000</v>
      </c>
      <c r="O314" s="9">
        <v>137000</v>
      </c>
      <c r="P314" s="9">
        <v>100500</v>
      </c>
      <c r="Q314" s="10">
        <v>330500</v>
      </c>
      <c r="R314" s="10">
        <v>239000</v>
      </c>
      <c r="S314" s="10">
        <v>392500</v>
      </c>
      <c r="T314" s="10">
        <v>41500</v>
      </c>
      <c r="U314" s="10">
        <v>113500</v>
      </c>
      <c r="V314" s="9">
        <v>318000</v>
      </c>
      <c r="W314" s="9">
        <v>30725</v>
      </c>
      <c r="X314" s="9">
        <v>289500</v>
      </c>
      <c r="Y314" s="9">
        <v>22900</v>
      </c>
      <c r="Z314" s="9">
        <v>59700</v>
      </c>
      <c r="AA314" s="10">
        <v>142500</v>
      </c>
      <c r="AB314" s="10">
        <v>351000</v>
      </c>
      <c r="AC314" s="10">
        <v>13700</v>
      </c>
      <c r="AD314" s="10">
        <v>255000</v>
      </c>
      <c r="AE314" s="10">
        <v>40850</v>
      </c>
      <c r="AF314" s="9">
        <v>32250</v>
      </c>
      <c r="AG314" s="9">
        <v>99400</v>
      </c>
      <c r="AH314" s="9">
        <v>76000</v>
      </c>
      <c r="AI314" s="9">
        <v>64100</v>
      </c>
      <c r="AJ314" s="9">
        <v>28550</v>
      </c>
      <c r="AK314" s="10">
        <v>25400</v>
      </c>
      <c r="AL314" s="10">
        <v>265500</v>
      </c>
      <c r="AM314" s="10">
        <v>305500</v>
      </c>
      <c r="AN314" s="10">
        <v>32700</v>
      </c>
      <c r="AO314" s="10">
        <v>10700</v>
      </c>
      <c r="AP314" s="9">
        <v>554000</v>
      </c>
      <c r="AQ314" s="9">
        <v>358000</v>
      </c>
      <c r="AR314" s="9">
        <v>13150</v>
      </c>
      <c r="AS314" s="9">
        <v>44550</v>
      </c>
      <c r="AT314" s="9">
        <v>86000</v>
      </c>
      <c r="AU314" s="10">
        <v>200000</v>
      </c>
      <c r="AV314" s="10">
        <v>44500</v>
      </c>
      <c r="AW314" s="10">
        <v>7800</v>
      </c>
      <c r="AX314" s="10">
        <v>163500</v>
      </c>
      <c r="AY314" s="10">
        <v>43500</v>
      </c>
    </row>
    <row r="315" spans="1:51" x14ac:dyDescent="0.4">
      <c r="A315" s="11">
        <v>40994</v>
      </c>
      <c r="B315" s="7">
        <v>72800</v>
      </c>
      <c r="C315" s="7">
        <v>30300</v>
      </c>
      <c r="D315" s="7">
        <v>83500</v>
      </c>
      <c r="E315" s="7">
        <v>220500</v>
      </c>
      <c r="F315" s="7">
        <v>80100</v>
      </c>
      <c r="G315" s="8">
        <v>50700</v>
      </c>
      <c r="H315" s="8">
        <v>64600</v>
      </c>
      <c r="I315" s="8">
        <v>146500</v>
      </c>
      <c r="J315" s="8">
        <v>99200</v>
      </c>
      <c r="K315" s="8">
        <v>224000</v>
      </c>
      <c r="L315" s="7">
        <v>381500</v>
      </c>
      <c r="M315" s="7">
        <v>1275000</v>
      </c>
      <c r="N315" s="7">
        <v>108500</v>
      </c>
      <c r="O315" s="7">
        <v>136000</v>
      </c>
      <c r="P315" s="7">
        <v>100000</v>
      </c>
      <c r="Q315" s="8">
        <v>320500</v>
      </c>
      <c r="R315" s="8">
        <v>238000</v>
      </c>
      <c r="S315" s="8">
        <v>372000</v>
      </c>
      <c r="T315" s="8">
        <v>41450</v>
      </c>
      <c r="U315" s="8">
        <v>114000</v>
      </c>
      <c r="V315" s="7">
        <v>316500</v>
      </c>
      <c r="W315" s="7">
        <v>31069</v>
      </c>
      <c r="X315" s="7">
        <v>279000</v>
      </c>
      <c r="Y315" s="7">
        <v>22850</v>
      </c>
      <c r="Z315" s="7">
        <v>58600</v>
      </c>
      <c r="AA315" s="8">
        <v>145500</v>
      </c>
      <c r="AB315" s="8">
        <v>350000</v>
      </c>
      <c r="AC315" s="8">
        <v>13750</v>
      </c>
      <c r="AD315" s="8">
        <v>252000</v>
      </c>
      <c r="AE315" s="8">
        <v>41250</v>
      </c>
      <c r="AF315" s="7">
        <v>32450</v>
      </c>
      <c r="AG315" s="7">
        <v>98600</v>
      </c>
      <c r="AH315" s="7">
        <v>73000</v>
      </c>
      <c r="AI315" s="7">
        <v>62900</v>
      </c>
      <c r="AJ315" s="7">
        <v>28050</v>
      </c>
      <c r="AK315" s="8">
        <v>24800</v>
      </c>
      <c r="AL315" s="8">
        <v>251000</v>
      </c>
      <c r="AM315" s="8">
        <v>308000</v>
      </c>
      <c r="AN315" s="8">
        <v>32550</v>
      </c>
      <c r="AO315" s="8">
        <v>10800</v>
      </c>
      <c r="AP315" s="7">
        <v>570000</v>
      </c>
      <c r="AQ315" s="7">
        <v>348500</v>
      </c>
      <c r="AR315" s="7">
        <v>13150</v>
      </c>
      <c r="AS315" s="7">
        <v>44500</v>
      </c>
      <c r="AT315" s="7">
        <v>85000</v>
      </c>
      <c r="AU315" s="8">
        <v>200000</v>
      </c>
      <c r="AV315" s="8">
        <v>44500</v>
      </c>
      <c r="AW315" s="8">
        <v>7850</v>
      </c>
      <c r="AX315" s="8">
        <v>165500</v>
      </c>
      <c r="AY315" s="8">
        <v>43650</v>
      </c>
    </row>
    <row r="316" spans="1:51" x14ac:dyDescent="0.4">
      <c r="A316" s="11">
        <v>40991</v>
      </c>
      <c r="B316" s="7">
        <v>72000</v>
      </c>
      <c r="C316" s="7">
        <v>30150</v>
      </c>
      <c r="D316" s="7">
        <v>82500</v>
      </c>
      <c r="E316" s="7">
        <v>217500</v>
      </c>
      <c r="F316" s="7">
        <v>79900</v>
      </c>
      <c r="G316" s="8">
        <v>51500</v>
      </c>
      <c r="H316" s="8">
        <v>66800</v>
      </c>
      <c r="I316" s="8">
        <v>153500</v>
      </c>
      <c r="J316" s="8">
        <v>101000</v>
      </c>
      <c r="K316" s="8">
        <v>225000</v>
      </c>
      <c r="L316" s="7">
        <v>383500</v>
      </c>
      <c r="M316" s="7">
        <v>1261000</v>
      </c>
      <c r="N316" s="7">
        <v>107000</v>
      </c>
      <c r="O316" s="7">
        <v>137500</v>
      </c>
      <c r="P316" s="7">
        <v>100000</v>
      </c>
      <c r="Q316" s="8">
        <v>318000</v>
      </c>
      <c r="R316" s="8">
        <v>236500</v>
      </c>
      <c r="S316" s="8">
        <v>380000</v>
      </c>
      <c r="T316" s="8">
        <v>41300</v>
      </c>
      <c r="U316" s="8">
        <v>118000</v>
      </c>
      <c r="V316" s="7">
        <v>320500</v>
      </c>
      <c r="W316" s="7">
        <v>31069</v>
      </c>
      <c r="X316" s="7">
        <v>280000</v>
      </c>
      <c r="Y316" s="7">
        <v>22950</v>
      </c>
      <c r="Z316" s="7">
        <v>59200</v>
      </c>
      <c r="AA316" s="8">
        <v>142000</v>
      </c>
      <c r="AB316" s="8">
        <v>348000</v>
      </c>
      <c r="AC316" s="8">
        <v>14100</v>
      </c>
      <c r="AD316" s="8">
        <v>247000</v>
      </c>
      <c r="AE316" s="8">
        <v>41250</v>
      </c>
      <c r="AF316" s="7">
        <v>32400</v>
      </c>
      <c r="AG316" s="7">
        <v>99000</v>
      </c>
      <c r="AH316" s="7">
        <v>73200</v>
      </c>
      <c r="AI316" s="7">
        <v>64300</v>
      </c>
      <c r="AJ316" s="7">
        <v>28750</v>
      </c>
      <c r="AK316" s="8">
        <v>24900</v>
      </c>
      <c r="AL316" s="8">
        <v>246500</v>
      </c>
      <c r="AM316" s="8">
        <v>310000</v>
      </c>
      <c r="AN316" s="8">
        <v>33100</v>
      </c>
      <c r="AO316" s="8">
        <v>10500</v>
      </c>
      <c r="AP316" s="7">
        <v>561000</v>
      </c>
      <c r="AQ316" s="7">
        <v>367500</v>
      </c>
      <c r="AR316" s="7">
        <v>13300</v>
      </c>
      <c r="AS316" s="7">
        <v>44600</v>
      </c>
      <c r="AT316" s="7">
        <v>88300</v>
      </c>
      <c r="AU316" s="8">
        <v>207000</v>
      </c>
      <c r="AV316" s="8">
        <v>44050</v>
      </c>
      <c r="AW316" s="8">
        <v>7720</v>
      </c>
      <c r="AX316" s="8">
        <v>170500</v>
      </c>
      <c r="AY316" s="8">
        <v>43500</v>
      </c>
    </row>
    <row r="317" spans="1:51" x14ac:dyDescent="0.4">
      <c r="A317" s="11">
        <v>40990</v>
      </c>
      <c r="B317" s="7">
        <v>73100</v>
      </c>
      <c r="C317" s="7">
        <v>29350</v>
      </c>
      <c r="D317" s="7">
        <v>82100</v>
      </c>
      <c r="E317" s="7">
        <v>217500</v>
      </c>
      <c r="F317" s="7">
        <v>80000</v>
      </c>
      <c r="G317" s="8">
        <v>51800</v>
      </c>
      <c r="H317" s="8">
        <v>66600</v>
      </c>
      <c r="I317" s="8">
        <v>150000</v>
      </c>
      <c r="J317" s="8">
        <v>99900</v>
      </c>
      <c r="K317" s="8">
        <v>227000</v>
      </c>
      <c r="L317" s="7">
        <v>385000</v>
      </c>
      <c r="M317" s="7">
        <v>1258000</v>
      </c>
      <c r="N317" s="7">
        <v>107500</v>
      </c>
      <c r="O317" s="7">
        <v>136000</v>
      </c>
      <c r="P317" s="7">
        <v>99900</v>
      </c>
      <c r="Q317" s="8">
        <v>312500</v>
      </c>
      <c r="R317" s="8">
        <v>237500</v>
      </c>
      <c r="S317" s="8">
        <v>368000</v>
      </c>
      <c r="T317" s="8">
        <v>40600</v>
      </c>
      <c r="U317" s="8">
        <v>117000</v>
      </c>
      <c r="V317" s="7">
        <v>306500</v>
      </c>
      <c r="W317" s="7">
        <v>31118</v>
      </c>
      <c r="X317" s="7">
        <v>281500</v>
      </c>
      <c r="Y317" s="7">
        <v>23100</v>
      </c>
      <c r="Z317" s="7">
        <v>58700</v>
      </c>
      <c r="AA317" s="8">
        <v>143000</v>
      </c>
      <c r="AB317" s="8">
        <v>358000</v>
      </c>
      <c r="AC317" s="8">
        <v>14300</v>
      </c>
      <c r="AD317" s="8">
        <v>248000</v>
      </c>
      <c r="AE317" s="8">
        <v>40850</v>
      </c>
      <c r="AF317" s="7">
        <v>32850</v>
      </c>
      <c r="AG317" s="7">
        <v>100500</v>
      </c>
      <c r="AH317" s="7">
        <v>73700</v>
      </c>
      <c r="AI317" s="7">
        <v>63200</v>
      </c>
      <c r="AJ317" s="7">
        <v>29200</v>
      </c>
      <c r="AK317" s="8">
        <v>24600</v>
      </c>
      <c r="AL317" s="8">
        <v>244500</v>
      </c>
      <c r="AM317" s="8">
        <v>320000</v>
      </c>
      <c r="AN317" s="8">
        <v>32800</v>
      </c>
      <c r="AO317" s="8">
        <v>10500</v>
      </c>
      <c r="AP317" s="7">
        <v>555000</v>
      </c>
      <c r="AQ317" s="7">
        <v>359000</v>
      </c>
      <c r="AR317" s="7">
        <v>13750</v>
      </c>
      <c r="AS317" s="7">
        <v>45450</v>
      </c>
      <c r="AT317" s="7">
        <v>90000</v>
      </c>
      <c r="AU317" s="8">
        <v>203500</v>
      </c>
      <c r="AV317" s="8">
        <v>44750</v>
      </c>
      <c r="AW317" s="8">
        <v>7890</v>
      </c>
      <c r="AX317" s="8">
        <v>169000</v>
      </c>
      <c r="AY317" s="8">
        <v>44100</v>
      </c>
    </row>
    <row r="318" spans="1:51" x14ac:dyDescent="0.4">
      <c r="A318" s="11">
        <v>40989</v>
      </c>
      <c r="B318" s="7">
        <v>71600</v>
      </c>
      <c r="C318" s="7">
        <v>28900</v>
      </c>
      <c r="D318" s="7">
        <v>83300</v>
      </c>
      <c r="E318" s="7">
        <v>213000</v>
      </c>
      <c r="F318" s="7">
        <v>79400</v>
      </c>
      <c r="G318" s="8">
        <v>53700</v>
      </c>
      <c r="H318" s="8">
        <v>67400</v>
      </c>
      <c r="I318" s="8">
        <v>152000</v>
      </c>
      <c r="J318" s="8">
        <v>100500</v>
      </c>
      <c r="K318" s="8">
        <v>225500</v>
      </c>
      <c r="L318" s="7">
        <v>390000</v>
      </c>
      <c r="M318" s="7">
        <v>1242000</v>
      </c>
      <c r="N318" s="7">
        <v>107000</v>
      </c>
      <c r="O318" s="7">
        <v>137000</v>
      </c>
      <c r="P318" s="7">
        <v>100500</v>
      </c>
      <c r="Q318" s="8">
        <v>318500</v>
      </c>
      <c r="R318" s="8">
        <v>245500</v>
      </c>
      <c r="S318" s="8">
        <v>380500</v>
      </c>
      <c r="T318" s="8">
        <v>41200</v>
      </c>
      <c r="U318" s="8">
        <v>118000</v>
      </c>
      <c r="V318" s="7">
        <v>313000</v>
      </c>
      <c r="W318" s="7">
        <v>31414</v>
      </c>
      <c r="X318" s="7">
        <v>281000</v>
      </c>
      <c r="Y318" s="7">
        <v>23300</v>
      </c>
      <c r="Z318" s="7">
        <v>59200</v>
      </c>
      <c r="AA318" s="8">
        <v>141000</v>
      </c>
      <c r="AB318" s="8">
        <v>357000</v>
      </c>
      <c r="AC318" s="8">
        <v>14050</v>
      </c>
      <c r="AD318" s="8">
        <v>247500</v>
      </c>
      <c r="AE318" s="8">
        <v>42150</v>
      </c>
      <c r="AF318" s="7">
        <v>33100</v>
      </c>
      <c r="AG318" s="7">
        <v>98200</v>
      </c>
      <c r="AH318" s="7">
        <v>73100</v>
      </c>
      <c r="AI318" s="7">
        <v>63900</v>
      </c>
      <c r="AJ318" s="7">
        <v>29650</v>
      </c>
      <c r="AK318" s="8">
        <v>24800</v>
      </c>
      <c r="AL318" s="8">
        <v>249500</v>
      </c>
      <c r="AM318" s="8">
        <v>317000</v>
      </c>
      <c r="AN318" s="8">
        <v>34200</v>
      </c>
      <c r="AO318" s="8">
        <v>10650</v>
      </c>
      <c r="AP318" s="7">
        <v>530000</v>
      </c>
      <c r="AQ318" s="7">
        <v>368000</v>
      </c>
      <c r="AR318" s="7">
        <v>13550</v>
      </c>
      <c r="AS318" s="7">
        <v>44900</v>
      </c>
      <c r="AT318" s="7">
        <v>90000</v>
      </c>
      <c r="AU318" s="8">
        <v>203000</v>
      </c>
      <c r="AV318" s="8">
        <v>44400</v>
      </c>
      <c r="AW318" s="8">
        <v>7700</v>
      </c>
      <c r="AX318" s="8">
        <v>171000</v>
      </c>
      <c r="AY318" s="8">
        <v>43650</v>
      </c>
    </row>
    <row r="319" spans="1:51" x14ac:dyDescent="0.4">
      <c r="A319" s="12">
        <v>40988</v>
      </c>
      <c r="B319" s="9">
        <v>70800</v>
      </c>
      <c r="C319" s="9">
        <v>29150</v>
      </c>
      <c r="D319" s="9">
        <v>84000</v>
      </c>
      <c r="E319" s="9">
        <v>211000</v>
      </c>
      <c r="F319" s="9">
        <v>79300</v>
      </c>
      <c r="G319" s="10">
        <v>54100</v>
      </c>
      <c r="H319" s="10">
        <v>67900</v>
      </c>
      <c r="I319" s="10">
        <v>156000</v>
      </c>
      <c r="J319" s="10">
        <v>104000</v>
      </c>
      <c r="K319" s="10">
        <v>224000</v>
      </c>
      <c r="L319" s="9">
        <v>399000</v>
      </c>
      <c r="M319" s="9">
        <v>1267000</v>
      </c>
      <c r="N319" s="9">
        <v>108000</v>
      </c>
      <c r="O319" s="9">
        <v>140000</v>
      </c>
      <c r="P319" s="9">
        <v>100500</v>
      </c>
      <c r="Q319" s="10">
        <v>325500</v>
      </c>
      <c r="R319" s="10">
        <v>248000</v>
      </c>
      <c r="S319" s="10">
        <v>391500</v>
      </c>
      <c r="T319" s="10">
        <v>40200</v>
      </c>
      <c r="U319" s="10">
        <v>122000</v>
      </c>
      <c r="V319" s="9">
        <v>322500</v>
      </c>
      <c r="W319" s="9">
        <v>31956</v>
      </c>
      <c r="X319" s="9">
        <v>283000</v>
      </c>
      <c r="Y319" s="9">
        <v>23150</v>
      </c>
      <c r="Z319" s="9">
        <v>60200</v>
      </c>
      <c r="AA319" s="10">
        <v>138500</v>
      </c>
      <c r="AB319" s="10">
        <v>359000</v>
      </c>
      <c r="AC319" s="10">
        <v>14200</v>
      </c>
      <c r="AD319" s="10">
        <v>251000</v>
      </c>
      <c r="AE319" s="10">
        <v>42050</v>
      </c>
      <c r="AF319" s="9">
        <v>32500</v>
      </c>
      <c r="AG319" s="9">
        <v>98500</v>
      </c>
      <c r="AH319" s="9">
        <v>74900</v>
      </c>
      <c r="AI319" s="9">
        <v>64300</v>
      </c>
      <c r="AJ319" s="9">
        <v>29350</v>
      </c>
      <c r="AK319" s="10">
        <v>25300</v>
      </c>
      <c r="AL319" s="10">
        <v>239000</v>
      </c>
      <c r="AM319" s="10">
        <v>304000</v>
      </c>
      <c r="AN319" s="10">
        <v>34050</v>
      </c>
      <c r="AO319" s="10">
        <v>10650</v>
      </c>
      <c r="AP319" s="9">
        <v>537000</v>
      </c>
      <c r="AQ319" s="9">
        <v>373500</v>
      </c>
      <c r="AR319" s="9">
        <v>13350</v>
      </c>
      <c r="AS319" s="9">
        <v>44600</v>
      </c>
      <c r="AT319" s="9">
        <v>90000</v>
      </c>
      <c r="AU319" s="10">
        <v>204500</v>
      </c>
      <c r="AV319" s="10">
        <v>43400</v>
      </c>
      <c r="AW319" s="10">
        <v>7740</v>
      </c>
      <c r="AX319" s="10">
        <v>175000</v>
      </c>
      <c r="AY319" s="10">
        <v>42750</v>
      </c>
    </row>
    <row r="320" spans="1:51" x14ac:dyDescent="0.4">
      <c r="A320" s="11">
        <v>40987</v>
      </c>
      <c r="B320" s="7">
        <v>71000</v>
      </c>
      <c r="C320" s="7">
        <v>29300</v>
      </c>
      <c r="D320" s="7">
        <v>85000</v>
      </c>
      <c r="E320" s="7">
        <v>213500</v>
      </c>
      <c r="F320" s="7">
        <v>77900</v>
      </c>
      <c r="G320" s="8">
        <v>54600</v>
      </c>
      <c r="H320" s="8">
        <v>68800</v>
      </c>
      <c r="I320" s="8">
        <v>155000</v>
      </c>
      <c r="J320" s="8">
        <v>104500</v>
      </c>
      <c r="K320" s="8">
        <v>224000</v>
      </c>
      <c r="L320" s="7">
        <v>397500</v>
      </c>
      <c r="M320" s="7">
        <v>1260000</v>
      </c>
      <c r="N320" s="7">
        <v>107000</v>
      </c>
      <c r="O320" s="7">
        <v>145500</v>
      </c>
      <c r="P320" s="7">
        <v>100000</v>
      </c>
      <c r="Q320" s="8">
        <v>328000</v>
      </c>
      <c r="R320" s="8">
        <v>250000</v>
      </c>
      <c r="S320" s="8">
        <v>399500</v>
      </c>
      <c r="T320" s="8">
        <v>40300</v>
      </c>
      <c r="U320" s="8">
        <v>118500</v>
      </c>
      <c r="V320" s="7">
        <v>322000</v>
      </c>
      <c r="W320" s="7">
        <v>31660</v>
      </c>
      <c r="X320" s="7">
        <v>285000</v>
      </c>
      <c r="Y320" s="7">
        <v>23450</v>
      </c>
      <c r="Z320" s="7">
        <v>60800</v>
      </c>
      <c r="AA320" s="8">
        <v>138500</v>
      </c>
      <c r="AB320" s="8">
        <v>361500</v>
      </c>
      <c r="AC320" s="8">
        <v>14500</v>
      </c>
      <c r="AD320" s="8">
        <v>251000</v>
      </c>
      <c r="AE320" s="8">
        <v>42000</v>
      </c>
      <c r="AF320" s="7">
        <v>32500</v>
      </c>
      <c r="AG320" s="7">
        <v>99400</v>
      </c>
      <c r="AH320" s="7">
        <v>74800</v>
      </c>
      <c r="AI320" s="7">
        <v>66400</v>
      </c>
      <c r="AJ320" s="7">
        <v>29150</v>
      </c>
      <c r="AK320" s="8">
        <v>25400</v>
      </c>
      <c r="AL320" s="8">
        <v>238500</v>
      </c>
      <c r="AM320" s="8">
        <v>301000</v>
      </c>
      <c r="AN320" s="8">
        <v>34400</v>
      </c>
      <c r="AO320" s="8">
        <v>10800</v>
      </c>
      <c r="AP320" s="7">
        <v>559000</v>
      </c>
      <c r="AQ320" s="7">
        <v>373000</v>
      </c>
      <c r="AR320" s="7">
        <v>13650</v>
      </c>
      <c r="AS320" s="7">
        <v>44900</v>
      </c>
      <c r="AT320" s="7">
        <v>90400</v>
      </c>
      <c r="AU320" s="8">
        <v>198500</v>
      </c>
      <c r="AV320" s="8">
        <v>43850</v>
      </c>
      <c r="AW320" s="8">
        <v>7740</v>
      </c>
      <c r="AX320" s="8">
        <v>169500</v>
      </c>
      <c r="AY320" s="8">
        <v>43300</v>
      </c>
    </row>
    <row r="321" spans="1:51" x14ac:dyDescent="0.4">
      <c r="A321" s="11">
        <v>40984</v>
      </c>
      <c r="B321" s="7">
        <v>72000</v>
      </c>
      <c r="C321" s="7">
        <v>28800</v>
      </c>
      <c r="D321" s="7">
        <v>83500</v>
      </c>
      <c r="E321" s="7">
        <v>209500</v>
      </c>
      <c r="F321" s="7">
        <v>76500</v>
      </c>
      <c r="G321" s="8">
        <v>55300</v>
      </c>
      <c r="H321" s="8">
        <v>69100</v>
      </c>
      <c r="I321" s="8">
        <v>154500</v>
      </c>
      <c r="J321" s="8">
        <v>102500</v>
      </c>
      <c r="K321" s="8">
        <v>223000</v>
      </c>
      <c r="L321" s="7">
        <v>395000</v>
      </c>
      <c r="M321" s="7">
        <v>1238000</v>
      </c>
      <c r="N321" s="7">
        <v>102500</v>
      </c>
      <c r="O321" s="7">
        <v>146000</v>
      </c>
      <c r="P321" s="7">
        <v>98500</v>
      </c>
      <c r="Q321" s="8">
        <v>328000</v>
      </c>
      <c r="R321" s="8">
        <v>254000</v>
      </c>
      <c r="S321" s="8">
        <v>398500</v>
      </c>
      <c r="T321" s="8">
        <v>40100</v>
      </c>
      <c r="U321" s="8">
        <v>119500</v>
      </c>
      <c r="V321" s="7">
        <v>321500</v>
      </c>
      <c r="W321" s="7">
        <v>31315</v>
      </c>
      <c r="X321" s="7">
        <v>289000</v>
      </c>
      <c r="Y321" s="7">
        <v>23500</v>
      </c>
      <c r="Z321" s="7">
        <v>59500</v>
      </c>
      <c r="AA321" s="8">
        <v>136500</v>
      </c>
      <c r="AB321" s="8">
        <v>366000</v>
      </c>
      <c r="AC321" s="8">
        <v>14450</v>
      </c>
      <c r="AD321" s="8">
        <v>244000</v>
      </c>
      <c r="AE321" s="8">
        <v>42150</v>
      </c>
      <c r="AF321" s="7">
        <v>32250</v>
      </c>
      <c r="AG321" s="7">
        <v>96000</v>
      </c>
      <c r="AH321" s="7">
        <v>74600</v>
      </c>
      <c r="AI321" s="7">
        <v>66700</v>
      </c>
      <c r="AJ321" s="7">
        <v>29150</v>
      </c>
      <c r="AK321" s="8">
        <v>24750</v>
      </c>
      <c r="AL321" s="8">
        <v>235000</v>
      </c>
      <c r="AM321" s="8">
        <v>304000</v>
      </c>
      <c r="AN321" s="8">
        <v>34300</v>
      </c>
      <c r="AO321" s="8">
        <v>10450</v>
      </c>
      <c r="AP321" s="7">
        <v>554000</v>
      </c>
      <c r="AQ321" s="7">
        <v>373000</v>
      </c>
      <c r="AR321" s="7">
        <v>13400</v>
      </c>
      <c r="AS321" s="7">
        <v>44900</v>
      </c>
      <c r="AT321" s="7">
        <v>91700</v>
      </c>
      <c r="AU321" s="8">
        <v>193000</v>
      </c>
      <c r="AV321" s="8">
        <v>43150</v>
      </c>
      <c r="AW321" s="8">
        <v>7700</v>
      </c>
      <c r="AX321" s="8">
        <v>168000</v>
      </c>
      <c r="AY321" s="8">
        <v>43400</v>
      </c>
    </row>
    <row r="322" spans="1:51" x14ac:dyDescent="0.4">
      <c r="A322" s="11">
        <v>40983</v>
      </c>
      <c r="B322" s="7">
        <v>72800</v>
      </c>
      <c r="C322" s="7">
        <v>29250</v>
      </c>
      <c r="D322" s="7">
        <v>85100</v>
      </c>
      <c r="E322" s="7">
        <v>213500</v>
      </c>
      <c r="F322" s="7">
        <v>77700</v>
      </c>
      <c r="G322" s="8">
        <v>55400</v>
      </c>
      <c r="H322" s="8">
        <v>69900</v>
      </c>
      <c r="I322" s="8">
        <v>158000</v>
      </c>
      <c r="J322" s="8">
        <v>99900</v>
      </c>
      <c r="K322" s="8">
        <v>228000</v>
      </c>
      <c r="L322" s="7">
        <v>396500</v>
      </c>
      <c r="M322" s="7">
        <v>1250000</v>
      </c>
      <c r="N322" s="7">
        <v>102500</v>
      </c>
      <c r="O322" s="7">
        <v>142000</v>
      </c>
      <c r="P322" s="7">
        <v>97600</v>
      </c>
      <c r="Q322" s="8">
        <v>331500</v>
      </c>
      <c r="R322" s="8">
        <v>249000</v>
      </c>
      <c r="S322" s="8">
        <v>385500</v>
      </c>
      <c r="T322" s="8">
        <v>41750</v>
      </c>
      <c r="U322" s="8">
        <v>117000</v>
      </c>
      <c r="V322" s="7">
        <v>317500</v>
      </c>
      <c r="W322" s="7">
        <v>31315</v>
      </c>
      <c r="X322" s="7">
        <v>295500</v>
      </c>
      <c r="Y322" s="7">
        <v>23300</v>
      </c>
      <c r="Z322" s="7">
        <v>60200</v>
      </c>
      <c r="AA322" s="8">
        <v>139000</v>
      </c>
      <c r="AB322" s="8">
        <v>367500</v>
      </c>
      <c r="AC322" s="8">
        <v>14300</v>
      </c>
      <c r="AD322" s="8">
        <v>243500</v>
      </c>
      <c r="AE322" s="8">
        <v>42900</v>
      </c>
      <c r="AF322" s="7">
        <v>31950</v>
      </c>
      <c r="AG322" s="7">
        <v>93700</v>
      </c>
      <c r="AH322" s="7">
        <v>73300</v>
      </c>
      <c r="AI322" s="7">
        <v>66400</v>
      </c>
      <c r="AJ322" s="7">
        <v>29300</v>
      </c>
      <c r="AK322" s="8">
        <v>25050</v>
      </c>
      <c r="AL322" s="8">
        <v>237000</v>
      </c>
      <c r="AM322" s="8">
        <v>309000</v>
      </c>
      <c r="AN322" s="8">
        <v>35550</v>
      </c>
      <c r="AO322" s="8">
        <v>10600</v>
      </c>
      <c r="AP322" s="7">
        <v>557000</v>
      </c>
      <c r="AQ322" s="7">
        <v>369000</v>
      </c>
      <c r="AR322" s="7">
        <v>13300</v>
      </c>
      <c r="AS322" s="7">
        <v>44950</v>
      </c>
      <c r="AT322" s="7">
        <v>93300</v>
      </c>
      <c r="AU322" s="8">
        <v>194500</v>
      </c>
      <c r="AV322" s="8">
        <v>43500</v>
      </c>
      <c r="AW322" s="8">
        <v>7580</v>
      </c>
      <c r="AX322" s="8">
        <v>169000</v>
      </c>
      <c r="AY322" s="8">
        <v>43650</v>
      </c>
    </row>
    <row r="323" spans="1:51" x14ac:dyDescent="0.4">
      <c r="A323" s="11">
        <v>40982</v>
      </c>
      <c r="B323" s="7">
        <v>72700</v>
      </c>
      <c r="C323" s="7">
        <v>29600</v>
      </c>
      <c r="D323" s="7">
        <v>85300</v>
      </c>
      <c r="E323" s="7">
        <v>212500</v>
      </c>
      <c r="F323" s="7">
        <v>76000</v>
      </c>
      <c r="G323" s="8">
        <v>56200</v>
      </c>
      <c r="H323" s="8">
        <v>70400</v>
      </c>
      <c r="I323" s="8">
        <v>160500</v>
      </c>
      <c r="J323" s="8">
        <v>103500</v>
      </c>
      <c r="K323" s="8">
        <v>225000</v>
      </c>
      <c r="L323" s="7">
        <v>398500</v>
      </c>
      <c r="M323" s="7">
        <v>1250000</v>
      </c>
      <c r="N323" s="7">
        <v>103000</v>
      </c>
      <c r="O323" s="7">
        <v>144000</v>
      </c>
      <c r="P323" s="7">
        <v>98400</v>
      </c>
      <c r="Q323" s="8">
        <v>333000</v>
      </c>
      <c r="R323" s="8">
        <v>262500</v>
      </c>
      <c r="S323" s="8">
        <v>404000</v>
      </c>
      <c r="T323" s="8">
        <v>41750</v>
      </c>
      <c r="U323" s="8">
        <v>121500</v>
      </c>
      <c r="V323" s="7">
        <v>325000</v>
      </c>
      <c r="W323" s="7">
        <v>31906</v>
      </c>
      <c r="X323" s="7">
        <v>292500</v>
      </c>
      <c r="Y323" s="7">
        <v>23550</v>
      </c>
      <c r="Z323" s="7">
        <v>59800</v>
      </c>
      <c r="AA323" s="8">
        <v>139000</v>
      </c>
      <c r="AB323" s="8">
        <v>368500</v>
      </c>
      <c r="AC323" s="8">
        <v>13950</v>
      </c>
      <c r="AD323" s="8">
        <v>239500</v>
      </c>
      <c r="AE323" s="8">
        <v>43250</v>
      </c>
      <c r="AF323" s="7">
        <v>32000</v>
      </c>
      <c r="AG323" s="7">
        <v>92100</v>
      </c>
      <c r="AH323" s="7">
        <v>72400</v>
      </c>
      <c r="AI323" s="7">
        <v>66300</v>
      </c>
      <c r="AJ323" s="7">
        <v>28300</v>
      </c>
      <c r="AK323" s="8">
        <v>25050</v>
      </c>
      <c r="AL323" s="8">
        <v>236000</v>
      </c>
      <c r="AM323" s="8">
        <v>301500</v>
      </c>
      <c r="AN323" s="8">
        <v>35700</v>
      </c>
      <c r="AO323" s="8">
        <v>10650</v>
      </c>
      <c r="AP323" s="7">
        <v>547000</v>
      </c>
      <c r="AQ323" s="7">
        <v>377500</v>
      </c>
      <c r="AR323" s="7">
        <v>13000</v>
      </c>
      <c r="AS323" s="7">
        <v>44850</v>
      </c>
      <c r="AT323" s="7">
        <v>92900</v>
      </c>
      <c r="AU323" s="8">
        <v>186500</v>
      </c>
      <c r="AV323" s="8">
        <v>43850</v>
      </c>
      <c r="AW323" s="8">
        <v>7570</v>
      </c>
      <c r="AX323" s="8">
        <v>174000</v>
      </c>
      <c r="AY323" s="8">
        <v>43150</v>
      </c>
    </row>
    <row r="324" spans="1:51" x14ac:dyDescent="0.4">
      <c r="A324" s="12">
        <v>40981</v>
      </c>
      <c r="B324" s="9">
        <v>73000</v>
      </c>
      <c r="C324" s="9">
        <v>29300</v>
      </c>
      <c r="D324" s="9">
        <v>84200</v>
      </c>
      <c r="E324" s="9">
        <v>209000</v>
      </c>
      <c r="F324" s="9">
        <v>75800</v>
      </c>
      <c r="G324" s="10">
        <v>54800</v>
      </c>
      <c r="H324" s="10">
        <v>69700</v>
      </c>
      <c r="I324" s="10">
        <v>161000</v>
      </c>
      <c r="J324" s="10">
        <v>102000</v>
      </c>
      <c r="K324" s="10">
        <v>223500</v>
      </c>
      <c r="L324" s="9">
        <v>397000</v>
      </c>
      <c r="M324" s="9">
        <v>1221000</v>
      </c>
      <c r="N324" s="9">
        <v>102000</v>
      </c>
      <c r="O324" s="9">
        <v>144000</v>
      </c>
      <c r="P324" s="9">
        <v>98400</v>
      </c>
      <c r="Q324" s="10">
        <v>326000</v>
      </c>
      <c r="R324" s="10">
        <v>261000</v>
      </c>
      <c r="S324" s="10">
        <v>405500</v>
      </c>
      <c r="T324" s="10">
        <v>39850</v>
      </c>
      <c r="U324" s="10">
        <v>123000</v>
      </c>
      <c r="V324" s="9">
        <v>322000</v>
      </c>
      <c r="W324" s="9">
        <v>31759</v>
      </c>
      <c r="X324" s="9">
        <v>292000</v>
      </c>
      <c r="Y324" s="9">
        <v>23550</v>
      </c>
      <c r="Z324" s="9">
        <v>59000</v>
      </c>
      <c r="AA324" s="10">
        <v>140000</v>
      </c>
      <c r="AB324" s="10">
        <v>361500</v>
      </c>
      <c r="AC324" s="10">
        <v>13800</v>
      </c>
      <c r="AD324" s="10">
        <v>240000</v>
      </c>
      <c r="AE324" s="10">
        <v>43100</v>
      </c>
      <c r="AF324" s="9">
        <v>32050</v>
      </c>
      <c r="AG324" s="9">
        <v>91600</v>
      </c>
      <c r="AH324" s="9">
        <v>72800</v>
      </c>
      <c r="AI324" s="9">
        <v>66800</v>
      </c>
      <c r="AJ324" s="9">
        <v>28200</v>
      </c>
      <c r="AK324" s="10">
        <v>25300</v>
      </c>
      <c r="AL324" s="10">
        <v>238500</v>
      </c>
      <c r="AM324" s="10">
        <v>287000</v>
      </c>
      <c r="AN324" s="10">
        <v>34150</v>
      </c>
      <c r="AO324" s="10">
        <v>10500</v>
      </c>
      <c r="AP324" s="9">
        <v>539000</v>
      </c>
      <c r="AQ324" s="9">
        <v>377500</v>
      </c>
      <c r="AR324" s="9">
        <v>12500</v>
      </c>
      <c r="AS324" s="9">
        <v>44850</v>
      </c>
      <c r="AT324" s="9">
        <v>91100</v>
      </c>
      <c r="AU324" s="10">
        <v>182000</v>
      </c>
      <c r="AV324" s="10">
        <v>42900</v>
      </c>
      <c r="AW324" s="10">
        <v>7290</v>
      </c>
      <c r="AX324" s="10">
        <v>174500</v>
      </c>
      <c r="AY324" s="10">
        <v>41550</v>
      </c>
    </row>
    <row r="325" spans="1:51" x14ac:dyDescent="0.4">
      <c r="A325" s="11">
        <v>40980</v>
      </c>
      <c r="B325" s="7">
        <v>72100</v>
      </c>
      <c r="C325" s="7">
        <v>29600</v>
      </c>
      <c r="D325" s="7">
        <v>85600</v>
      </c>
      <c r="E325" s="7">
        <v>207000</v>
      </c>
      <c r="F325" s="7">
        <v>76000</v>
      </c>
      <c r="G325" s="8">
        <v>54700</v>
      </c>
      <c r="H325" s="8">
        <v>69300</v>
      </c>
      <c r="I325" s="8">
        <v>161000</v>
      </c>
      <c r="J325" s="8">
        <v>102000</v>
      </c>
      <c r="K325" s="8">
        <v>215500</v>
      </c>
      <c r="L325" s="7">
        <v>395500</v>
      </c>
      <c r="M325" s="7">
        <v>1210000</v>
      </c>
      <c r="N325" s="7">
        <v>103000</v>
      </c>
      <c r="O325" s="7">
        <v>142000</v>
      </c>
      <c r="P325" s="7">
        <v>97300</v>
      </c>
      <c r="Q325" s="8">
        <v>326500</v>
      </c>
      <c r="R325" s="8">
        <v>258000</v>
      </c>
      <c r="S325" s="8">
        <v>414000</v>
      </c>
      <c r="T325" s="8">
        <v>40000</v>
      </c>
      <c r="U325" s="8">
        <v>119000</v>
      </c>
      <c r="V325" s="7">
        <v>319500</v>
      </c>
      <c r="W325" s="7">
        <v>31365</v>
      </c>
      <c r="X325" s="7">
        <v>276500</v>
      </c>
      <c r="Y325" s="7">
        <v>23550</v>
      </c>
      <c r="Z325" s="7">
        <v>57300</v>
      </c>
      <c r="AA325" s="8">
        <v>141000</v>
      </c>
      <c r="AB325" s="8">
        <v>359500</v>
      </c>
      <c r="AC325" s="8">
        <v>13500</v>
      </c>
      <c r="AD325" s="8">
        <v>241000</v>
      </c>
      <c r="AE325" s="8">
        <v>43000</v>
      </c>
      <c r="AF325" s="7">
        <v>32100</v>
      </c>
      <c r="AG325" s="7">
        <v>90500</v>
      </c>
      <c r="AH325" s="7">
        <v>72500</v>
      </c>
      <c r="AI325" s="7">
        <v>68200</v>
      </c>
      <c r="AJ325" s="7">
        <v>27400</v>
      </c>
      <c r="AK325" s="8">
        <v>25000</v>
      </c>
      <c r="AL325" s="8">
        <v>241500</v>
      </c>
      <c r="AM325" s="8">
        <v>282000</v>
      </c>
      <c r="AN325" s="8">
        <v>33900</v>
      </c>
      <c r="AO325" s="8">
        <v>10400</v>
      </c>
      <c r="AP325" s="7">
        <v>550000</v>
      </c>
      <c r="AQ325" s="7">
        <v>367000</v>
      </c>
      <c r="AR325" s="7">
        <v>11900</v>
      </c>
      <c r="AS325" s="7">
        <v>42950</v>
      </c>
      <c r="AT325" s="7">
        <v>91000</v>
      </c>
      <c r="AU325" s="8">
        <v>177500</v>
      </c>
      <c r="AV325" s="8">
        <v>41500</v>
      </c>
      <c r="AW325" s="8">
        <v>7120</v>
      </c>
      <c r="AX325" s="8">
        <v>170500</v>
      </c>
      <c r="AY325" s="8">
        <v>40350</v>
      </c>
    </row>
    <row r="326" spans="1:51" x14ac:dyDescent="0.4">
      <c r="A326" s="11">
        <v>40977</v>
      </c>
      <c r="B326" s="7">
        <v>72100</v>
      </c>
      <c r="C326" s="7">
        <v>29800</v>
      </c>
      <c r="D326" s="7">
        <v>84400</v>
      </c>
      <c r="E326" s="7">
        <v>206500</v>
      </c>
      <c r="F326" s="7">
        <v>75700</v>
      </c>
      <c r="G326" s="8">
        <v>55600</v>
      </c>
      <c r="H326" s="8">
        <v>69900</v>
      </c>
      <c r="I326" s="8">
        <v>165500</v>
      </c>
      <c r="J326" s="8">
        <v>106000</v>
      </c>
      <c r="K326" s="8">
        <v>212500</v>
      </c>
      <c r="L326" s="7">
        <v>399000</v>
      </c>
      <c r="M326" s="7">
        <v>1230000</v>
      </c>
      <c r="N326" s="7">
        <v>104000</v>
      </c>
      <c r="O326" s="7">
        <v>142500</v>
      </c>
      <c r="P326" s="7">
        <v>97600</v>
      </c>
      <c r="Q326" s="8">
        <v>335000</v>
      </c>
      <c r="R326" s="8">
        <v>261000</v>
      </c>
      <c r="S326" s="8">
        <v>426500</v>
      </c>
      <c r="T326" s="8">
        <v>41550</v>
      </c>
      <c r="U326" s="8">
        <v>122000</v>
      </c>
      <c r="V326" s="7">
        <v>339500</v>
      </c>
      <c r="W326" s="7">
        <v>31217</v>
      </c>
      <c r="X326" s="7">
        <v>279000</v>
      </c>
      <c r="Y326" s="7">
        <v>23850</v>
      </c>
      <c r="Z326" s="7">
        <v>58000</v>
      </c>
      <c r="AA326" s="8">
        <v>138000</v>
      </c>
      <c r="AB326" s="8">
        <v>361500</v>
      </c>
      <c r="AC326" s="8">
        <v>13700</v>
      </c>
      <c r="AD326" s="8">
        <v>238000</v>
      </c>
      <c r="AE326" s="8">
        <v>43050</v>
      </c>
      <c r="AF326" s="7">
        <v>32250</v>
      </c>
      <c r="AG326" s="7">
        <v>91400</v>
      </c>
      <c r="AH326" s="7">
        <v>71000</v>
      </c>
      <c r="AI326" s="7">
        <v>71700</v>
      </c>
      <c r="AJ326" s="7">
        <v>28200</v>
      </c>
      <c r="AK326" s="8">
        <v>24400</v>
      </c>
      <c r="AL326" s="8">
        <v>233000</v>
      </c>
      <c r="AM326" s="8">
        <v>286500</v>
      </c>
      <c r="AN326" s="8">
        <v>34750</v>
      </c>
      <c r="AO326" s="8">
        <v>10600</v>
      </c>
      <c r="AP326" s="7">
        <v>525000</v>
      </c>
      <c r="AQ326" s="7">
        <v>380500</v>
      </c>
      <c r="AR326" s="7">
        <v>11950</v>
      </c>
      <c r="AS326" s="7">
        <v>42450</v>
      </c>
      <c r="AT326" s="7">
        <v>90600</v>
      </c>
      <c r="AU326" s="8">
        <v>180000</v>
      </c>
      <c r="AV326" s="8">
        <v>41450</v>
      </c>
      <c r="AW326" s="8">
        <v>7100</v>
      </c>
      <c r="AX326" s="8">
        <v>173500</v>
      </c>
      <c r="AY326" s="8">
        <v>40800</v>
      </c>
    </row>
    <row r="327" spans="1:51" x14ac:dyDescent="0.4">
      <c r="A327" s="11">
        <v>40976</v>
      </c>
      <c r="B327" s="7">
        <v>72500</v>
      </c>
      <c r="C327" s="7">
        <v>29750</v>
      </c>
      <c r="D327" s="7">
        <v>84500</v>
      </c>
      <c r="E327" s="7">
        <v>207000</v>
      </c>
      <c r="F327" s="7">
        <v>74300</v>
      </c>
      <c r="G327" s="8">
        <v>54900</v>
      </c>
      <c r="H327" s="8">
        <v>70000</v>
      </c>
      <c r="I327" s="8">
        <v>165000</v>
      </c>
      <c r="J327" s="8">
        <v>106500</v>
      </c>
      <c r="K327" s="8">
        <v>212000</v>
      </c>
      <c r="L327" s="7">
        <v>401500</v>
      </c>
      <c r="M327" s="7">
        <v>1180000</v>
      </c>
      <c r="N327" s="7">
        <v>102000</v>
      </c>
      <c r="O327" s="7">
        <v>141000</v>
      </c>
      <c r="P327" s="7">
        <v>95700</v>
      </c>
      <c r="Q327" s="8">
        <v>331500</v>
      </c>
      <c r="R327" s="8">
        <v>260000</v>
      </c>
      <c r="S327" s="8">
        <v>422500</v>
      </c>
      <c r="T327" s="8">
        <v>40650</v>
      </c>
      <c r="U327" s="8">
        <v>124000</v>
      </c>
      <c r="V327" s="7">
        <v>342500</v>
      </c>
      <c r="W327" s="7">
        <v>30429</v>
      </c>
      <c r="X327" s="7">
        <v>277000</v>
      </c>
      <c r="Y327" s="7">
        <v>23650</v>
      </c>
      <c r="Z327" s="7">
        <v>58400</v>
      </c>
      <c r="AA327" s="8">
        <v>139000</v>
      </c>
      <c r="AB327" s="8">
        <v>361000</v>
      </c>
      <c r="AC327" s="8">
        <v>13750</v>
      </c>
      <c r="AD327" s="8">
        <v>235000</v>
      </c>
      <c r="AE327" s="8">
        <v>42900</v>
      </c>
      <c r="AF327" s="7">
        <v>32400</v>
      </c>
      <c r="AG327" s="7">
        <v>90800</v>
      </c>
      <c r="AH327" s="7">
        <v>72200</v>
      </c>
      <c r="AI327" s="7">
        <v>71300</v>
      </c>
      <c r="AJ327" s="7">
        <v>28200</v>
      </c>
      <c r="AK327" s="8">
        <v>24650</v>
      </c>
      <c r="AL327" s="8">
        <v>227000</v>
      </c>
      <c r="AM327" s="8">
        <v>286500</v>
      </c>
      <c r="AN327" s="8">
        <v>34950</v>
      </c>
      <c r="AO327" s="8">
        <v>10600</v>
      </c>
      <c r="AP327" s="7">
        <v>501000</v>
      </c>
      <c r="AQ327" s="7">
        <v>380500</v>
      </c>
      <c r="AR327" s="7">
        <v>11900</v>
      </c>
      <c r="AS327" s="7">
        <v>42900</v>
      </c>
      <c r="AT327" s="7">
        <v>90700</v>
      </c>
      <c r="AU327" s="8">
        <v>182000</v>
      </c>
      <c r="AV327" s="8">
        <v>40650</v>
      </c>
      <c r="AW327" s="8">
        <v>7120</v>
      </c>
      <c r="AX327" s="8">
        <v>176000</v>
      </c>
      <c r="AY327" s="8">
        <v>41200</v>
      </c>
    </row>
    <row r="328" spans="1:51" x14ac:dyDescent="0.4">
      <c r="A328" s="11">
        <v>40975</v>
      </c>
      <c r="B328" s="7">
        <v>71000</v>
      </c>
      <c r="C328" s="7">
        <v>29100</v>
      </c>
      <c r="D328" s="7">
        <v>82300</v>
      </c>
      <c r="E328" s="7">
        <v>206500</v>
      </c>
      <c r="F328" s="7">
        <v>73300</v>
      </c>
      <c r="G328" s="8">
        <v>51600</v>
      </c>
      <c r="H328" s="8">
        <v>67000</v>
      </c>
      <c r="I328" s="8">
        <v>163000</v>
      </c>
      <c r="J328" s="8">
        <v>106000</v>
      </c>
      <c r="K328" s="8">
        <v>213000</v>
      </c>
      <c r="L328" s="7">
        <v>403500</v>
      </c>
      <c r="M328" s="7">
        <v>1172000</v>
      </c>
      <c r="N328" s="7">
        <v>100000</v>
      </c>
      <c r="O328" s="7">
        <v>136000</v>
      </c>
      <c r="P328" s="7">
        <v>91400</v>
      </c>
      <c r="Q328" s="8">
        <v>328000</v>
      </c>
      <c r="R328" s="8">
        <v>258000</v>
      </c>
      <c r="S328" s="8">
        <v>406500</v>
      </c>
      <c r="T328" s="8">
        <v>39600</v>
      </c>
      <c r="U328" s="8">
        <v>122000</v>
      </c>
      <c r="V328" s="7">
        <v>339000</v>
      </c>
      <c r="W328" s="7">
        <v>30774</v>
      </c>
      <c r="X328" s="7">
        <v>276500</v>
      </c>
      <c r="Y328" s="7">
        <v>24050</v>
      </c>
      <c r="Z328" s="7">
        <v>57300</v>
      </c>
      <c r="AA328" s="8">
        <v>142000</v>
      </c>
      <c r="AB328" s="8">
        <v>361000</v>
      </c>
      <c r="AC328" s="8">
        <v>13100</v>
      </c>
      <c r="AD328" s="8">
        <v>233500</v>
      </c>
      <c r="AE328" s="8">
        <v>42900</v>
      </c>
      <c r="AF328" s="7">
        <v>32300</v>
      </c>
      <c r="AG328" s="7">
        <v>90100</v>
      </c>
      <c r="AH328" s="7">
        <v>73800</v>
      </c>
      <c r="AI328" s="7">
        <v>69900</v>
      </c>
      <c r="AJ328" s="7">
        <v>27600</v>
      </c>
      <c r="AK328" s="8">
        <v>25100</v>
      </c>
      <c r="AL328" s="8">
        <v>235500</v>
      </c>
      <c r="AM328" s="8">
        <v>290500</v>
      </c>
      <c r="AN328" s="8">
        <v>34300</v>
      </c>
      <c r="AO328" s="8">
        <v>10350</v>
      </c>
      <c r="AP328" s="7">
        <v>503000</v>
      </c>
      <c r="AQ328" s="7">
        <v>370500</v>
      </c>
      <c r="AR328" s="7">
        <v>11500</v>
      </c>
      <c r="AS328" s="7">
        <v>41850</v>
      </c>
      <c r="AT328" s="7">
        <v>87300</v>
      </c>
      <c r="AU328" s="8">
        <v>181500</v>
      </c>
      <c r="AV328" s="8">
        <v>39150</v>
      </c>
      <c r="AW328" s="8">
        <v>7230</v>
      </c>
      <c r="AX328" s="8">
        <v>173500</v>
      </c>
      <c r="AY328" s="8">
        <v>40350</v>
      </c>
    </row>
    <row r="329" spans="1:51" x14ac:dyDescent="0.4">
      <c r="A329" s="12">
        <v>40974</v>
      </c>
      <c r="B329" s="9">
        <v>72000</v>
      </c>
      <c r="C329" s="9">
        <v>29400</v>
      </c>
      <c r="D329" s="9">
        <v>84000</v>
      </c>
      <c r="E329" s="9">
        <v>208000</v>
      </c>
      <c r="F329" s="9">
        <v>74600</v>
      </c>
      <c r="G329" s="10">
        <v>51600</v>
      </c>
      <c r="H329" s="10">
        <v>67400</v>
      </c>
      <c r="I329" s="10">
        <v>169000</v>
      </c>
      <c r="J329" s="10">
        <v>110000</v>
      </c>
      <c r="K329" s="10">
        <v>216500</v>
      </c>
      <c r="L329" s="9">
        <v>409000</v>
      </c>
      <c r="M329" s="9">
        <v>1180000</v>
      </c>
      <c r="N329" s="9">
        <v>96500</v>
      </c>
      <c r="O329" s="9">
        <v>138500</v>
      </c>
      <c r="P329" s="9">
        <v>92000</v>
      </c>
      <c r="Q329" s="10">
        <v>328500</v>
      </c>
      <c r="R329" s="10">
        <v>265500</v>
      </c>
      <c r="S329" s="10">
        <v>409500</v>
      </c>
      <c r="T329" s="10">
        <v>39300</v>
      </c>
      <c r="U329" s="10">
        <v>126000</v>
      </c>
      <c r="V329" s="9">
        <v>346000</v>
      </c>
      <c r="W329" s="9">
        <v>31512</v>
      </c>
      <c r="X329" s="9">
        <v>286000</v>
      </c>
      <c r="Y329" s="9">
        <v>24450</v>
      </c>
      <c r="Z329" s="9">
        <v>57500</v>
      </c>
      <c r="AA329" s="10">
        <v>141500</v>
      </c>
      <c r="AB329" s="10">
        <v>372000</v>
      </c>
      <c r="AC329" s="10">
        <v>13300</v>
      </c>
      <c r="AD329" s="10">
        <v>234000</v>
      </c>
      <c r="AE329" s="10">
        <v>42950</v>
      </c>
      <c r="AF329" s="9">
        <v>32650</v>
      </c>
      <c r="AG329" s="9">
        <v>88900</v>
      </c>
      <c r="AH329" s="9">
        <v>71400</v>
      </c>
      <c r="AI329" s="9">
        <v>70900</v>
      </c>
      <c r="AJ329" s="9">
        <v>27750</v>
      </c>
      <c r="AK329" s="10">
        <v>24450</v>
      </c>
      <c r="AL329" s="10">
        <v>233000</v>
      </c>
      <c r="AM329" s="10">
        <v>280500</v>
      </c>
      <c r="AN329" s="10">
        <v>34100</v>
      </c>
      <c r="AO329" s="10">
        <v>10500</v>
      </c>
      <c r="AP329" s="9">
        <v>499000</v>
      </c>
      <c r="AQ329" s="9">
        <v>382000</v>
      </c>
      <c r="AR329" s="9">
        <v>11750</v>
      </c>
      <c r="AS329" s="9">
        <v>42500</v>
      </c>
      <c r="AT329" s="9">
        <v>85000</v>
      </c>
      <c r="AU329" s="10">
        <v>183500</v>
      </c>
      <c r="AV329" s="10">
        <v>39800</v>
      </c>
      <c r="AW329" s="10">
        <v>7310</v>
      </c>
      <c r="AX329" s="10">
        <v>177500</v>
      </c>
      <c r="AY329" s="10">
        <v>40450</v>
      </c>
    </row>
    <row r="330" spans="1:51" x14ac:dyDescent="0.4">
      <c r="A330" s="11">
        <v>40973</v>
      </c>
      <c r="B330" s="7">
        <v>71600</v>
      </c>
      <c r="C330" s="7">
        <v>30050</v>
      </c>
      <c r="D330" s="7">
        <v>84200</v>
      </c>
      <c r="E330" s="7">
        <v>211000</v>
      </c>
      <c r="F330" s="7">
        <v>75000</v>
      </c>
      <c r="G330" s="8">
        <v>53000</v>
      </c>
      <c r="H330" s="8">
        <v>68400</v>
      </c>
      <c r="I330" s="8">
        <v>171000</v>
      </c>
      <c r="J330" s="8">
        <v>112000</v>
      </c>
      <c r="K330" s="8">
        <v>220000</v>
      </c>
      <c r="L330" s="7">
        <v>422000</v>
      </c>
      <c r="M330" s="7">
        <v>1174000</v>
      </c>
      <c r="N330" s="7">
        <v>97000</v>
      </c>
      <c r="O330" s="7">
        <v>138500</v>
      </c>
      <c r="P330" s="7">
        <v>93300</v>
      </c>
      <c r="Q330" s="8">
        <v>339000</v>
      </c>
      <c r="R330" s="8">
        <v>259500</v>
      </c>
      <c r="S330" s="8">
        <v>418000</v>
      </c>
      <c r="T330" s="8">
        <v>39850</v>
      </c>
      <c r="U330" s="8">
        <v>125000</v>
      </c>
      <c r="V330" s="7">
        <v>342000</v>
      </c>
      <c r="W330" s="7">
        <v>31414</v>
      </c>
      <c r="X330" s="7">
        <v>289500</v>
      </c>
      <c r="Y330" s="7">
        <v>24850</v>
      </c>
      <c r="Z330" s="7">
        <v>58500</v>
      </c>
      <c r="AA330" s="8">
        <v>143000</v>
      </c>
      <c r="AB330" s="8">
        <v>380500</v>
      </c>
      <c r="AC330" s="8">
        <v>13100</v>
      </c>
      <c r="AD330" s="8">
        <v>238000</v>
      </c>
      <c r="AE330" s="8">
        <v>42900</v>
      </c>
      <c r="AF330" s="7">
        <v>32650</v>
      </c>
      <c r="AG330" s="7">
        <v>90100</v>
      </c>
      <c r="AH330" s="7">
        <v>71000</v>
      </c>
      <c r="AI330" s="7">
        <v>70200</v>
      </c>
      <c r="AJ330" s="7">
        <v>28550</v>
      </c>
      <c r="AK330" s="8">
        <v>25350</v>
      </c>
      <c r="AL330" s="8">
        <v>232500</v>
      </c>
      <c r="AM330" s="8">
        <v>281000</v>
      </c>
      <c r="AN330" s="8">
        <v>34700</v>
      </c>
      <c r="AO330" s="8">
        <v>10400</v>
      </c>
      <c r="AP330" s="7">
        <v>507000</v>
      </c>
      <c r="AQ330" s="7">
        <v>384500</v>
      </c>
      <c r="AR330" s="7">
        <v>11800</v>
      </c>
      <c r="AS330" s="7">
        <v>42800</v>
      </c>
      <c r="AT330" s="7">
        <v>84600</v>
      </c>
      <c r="AU330" s="8">
        <v>184500</v>
      </c>
      <c r="AV330" s="8">
        <v>39100</v>
      </c>
      <c r="AW330" s="8">
        <v>7400</v>
      </c>
      <c r="AX330" s="8">
        <v>180500</v>
      </c>
      <c r="AY330" s="8">
        <v>40950</v>
      </c>
    </row>
    <row r="331" spans="1:51" x14ac:dyDescent="0.4">
      <c r="A331" s="11">
        <v>40970</v>
      </c>
      <c r="B331" s="7">
        <v>71700</v>
      </c>
      <c r="C331" s="7">
        <v>30450</v>
      </c>
      <c r="D331" s="7">
        <v>85100</v>
      </c>
      <c r="E331" s="7">
        <v>215000</v>
      </c>
      <c r="F331" s="7">
        <v>76400</v>
      </c>
      <c r="G331" s="8">
        <v>52500</v>
      </c>
      <c r="H331" s="8">
        <v>69300</v>
      </c>
      <c r="I331" s="8">
        <v>173000</v>
      </c>
      <c r="J331" s="8">
        <v>114500</v>
      </c>
      <c r="K331" s="8">
        <v>220000</v>
      </c>
      <c r="L331" s="7">
        <v>424000</v>
      </c>
      <c r="M331" s="7">
        <v>1182000</v>
      </c>
      <c r="N331" s="7">
        <v>97900</v>
      </c>
      <c r="O331" s="7">
        <v>141000</v>
      </c>
      <c r="P331" s="7">
        <v>93800</v>
      </c>
      <c r="Q331" s="8">
        <v>345000</v>
      </c>
      <c r="R331" s="8">
        <v>268000</v>
      </c>
      <c r="S331" s="8">
        <v>428000</v>
      </c>
      <c r="T331" s="8">
        <v>40700</v>
      </c>
      <c r="U331" s="8">
        <v>125500</v>
      </c>
      <c r="V331" s="7">
        <v>359000</v>
      </c>
      <c r="W331" s="7">
        <v>31808</v>
      </c>
      <c r="X331" s="7">
        <v>284000</v>
      </c>
      <c r="Y331" s="7">
        <v>25050</v>
      </c>
      <c r="Z331" s="7">
        <v>60500</v>
      </c>
      <c r="AA331" s="8">
        <v>146000</v>
      </c>
      <c r="AB331" s="8">
        <v>371000</v>
      </c>
      <c r="AC331" s="8">
        <v>13250</v>
      </c>
      <c r="AD331" s="8">
        <v>236500</v>
      </c>
      <c r="AE331" s="8">
        <v>42900</v>
      </c>
      <c r="AF331" s="7">
        <v>32800</v>
      </c>
      <c r="AG331" s="7">
        <v>90600</v>
      </c>
      <c r="AH331" s="7">
        <v>72600</v>
      </c>
      <c r="AI331" s="7">
        <v>71800</v>
      </c>
      <c r="AJ331" s="7">
        <v>29550</v>
      </c>
      <c r="AK331" s="8">
        <v>25500</v>
      </c>
      <c r="AL331" s="8">
        <v>237500</v>
      </c>
      <c r="AM331" s="8">
        <v>279000</v>
      </c>
      <c r="AN331" s="8">
        <v>36050</v>
      </c>
      <c r="AO331" s="8">
        <v>10650</v>
      </c>
      <c r="AP331" s="7">
        <v>505000</v>
      </c>
      <c r="AQ331" s="7">
        <v>404000</v>
      </c>
      <c r="AR331" s="7">
        <v>12000</v>
      </c>
      <c r="AS331" s="7">
        <v>43300</v>
      </c>
      <c r="AT331" s="7">
        <v>85200</v>
      </c>
      <c r="AU331" s="8">
        <v>182500</v>
      </c>
      <c r="AV331" s="8">
        <v>39000</v>
      </c>
      <c r="AW331" s="8">
        <v>7430</v>
      </c>
      <c r="AX331" s="8">
        <v>186000</v>
      </c>
      <c r="AY331" s="8">
        <v>41450</v>
      </c>
    </row>
    <row r="332" spans="1:51" x14ac:dyDescent="0.4">
      <c r="A332" s="11">
        <v>40968</v>
      </c>
      <c r="B332" s="7">
        <v>70700</v>
      </c>
      <c r="C332" s="7">
        <v>30200</v>
      </c>
      <c r="D332" s="7">
        <v>84700</v>
      </c>
      <c r="E332" s="7">
        <v>211000</v>
      </c>
      <c r="F332" s="7">
        <v>77000</v>
      </c>
      <c r="G332" s="8">
        <v>52800</v>
      </c>
      <c r="H332" s="8">
        <v>69900</v>
      </c>
      <c r="I332" s="8">
        <v>169500</v>
      </c>
      <c r="J332" s="8">
        <v>114500</v>
      </c>
      <c r="K332" s="8">
        <v>216000</v>
      </c>
      <c r="L332" s="7">
        <v>416000</v>
      </c>
      <c r="M332" s="7">
        <v>1206000</v>
      </c>
      <c r="N332" s="7">
        <v>96800</v>
      </c>
      <c r="O332" s="7">
        <v>138000</v>
      </c>
      <c r="P332" s="7">
        <v>93800</v>
      </c>
      <c r="Q332" s="8">
        <v>339500</v>
      </c>
      <c r="R332" s="8">
        <v>268500</v>
      </c>
      <c r="S332" s="8">
        <v>438500</v>
      </c>
      <c r="T332" s="8">
        <v>40750</v>
      </c>
      <c r="U332" s="8">
        <v>125500</v>
      </c>
      <c r="V332" s="7">
        <v>354000</v>
      </c>
      <c r="W332" s="7">
        <v>30823</v>
      </c>
      <c r="X332" s="7">
        <v>285000</v>
      </c>
      <c r="Y332" s="7">
        <v>25100</v>
      </c>
      <c r="Z332" s="7">
        <v>60900</v>
      </c>
      <c r="AA332" s="8">
        <v>145500</v>
      </c>
      <c r="AB332" s="8">
        <v>377000</v>
      </c>
      <c r="AC332" s="8">
        <v>13000</v>
      </c>
      <c r="AD332" s="8">
        <v>236500</v>
      </c>
      <c r="AE332" s="8">
        <v>42350</v>
      </c>
      <c r="AF332" s="7">
        <v>32600</v>
      </c>
      <c r="AG332" s="7">
        <v>91300</v>
      </c>
      <c r="AH332" s="7">
        <v>73200</v>
      </c>
      <c r="AI332" s="7">
        <v>70600</v>
      </c>
      <c r="AJ332" s="7">
        <v>29600</v>
      </c>
      <c r="AK332" s="8">
        <v>25800</v>
      </c>
      <c r="AL332" s="8">
        <v>233500</v>
      </c>
      <c r="AM332" s="8">
        <v>277000</v>
      </c>
      <c r="AN332" s="8">
        <v>35950</v>
      </c>
      <c r="AO332" s="8">
        <v>10600</v>
      </c>
      <c r="AP332" s="7">
        <v>514000</v>
      </c>
      <c r="AQ332" s="7">
        <v>398500</v>
      </c>
      <c r="AR332" s="7">
        <v>12250</v>
      </c>
      <c r="AS332" s="7">
        <v>43300</v>
      </c>
      <c r="AT332" s="7">
        <v>85400</v>
      </c>
      <c r="AU332" s="8">
        <v>185500</v>
      </c>
      <c r="AV332" s="8">
        <v>39450</v>
      </c>
      <c r="AW332" s="8">
        <v>7300</v>
      </c>
      <c r="AX332" s="8">
        <v>185500</v>
      </c>
      <c r="AY332" s="8">
        <v>41200</v>
      </c>
    </row>
    <row r="333" spans="1:51" x14ac:dyDescent="0.4">
      <c r="A333" s="11">
        <v>40967</v>
      </c>
      <c r="B333" s="7">
        <v>68500</v>
      </c>
      <c r="C333" s="7">
        <v>29850</v>
      </c>
      <c r="D333" s="7">
        <v>81900</v>
      </c>
      <c r="E333" s="7">
        <v>209000</v>
      </c>
      <c r="F333" s="7">
        <v>75900</v>
      </c>
      <c r="G333" s="8">
        <v>51600</v>
      </c>
      <c r="H333" s="8">
        <v>68700</v>
      </c>
      <c r="I333" s="8">
        <v>165000</v>
      </c>
      <c r="J333" s="8">
        <v>112000</v>
      </c>
      <c r="K333" s="8">
        <v>208500</v>
      </c>
      <c r="L333" s="7">
        <v>414000</v>
      </c>
      <c r="M333" s="7">
        <v>1185000</v>
      </c>
      <c r="N333" s="7">
        <v>95800</v>
      </c>
      <c r="O333" s="7">
        <v>139000</v>
      </c>
      <c r="P333" s="7">
        <v>90000</v>
      </c>
      <c r="Q333" s="8">
        <v>333000</v>
      </c>
      <c r="R333" s="8">
        <v>269000</v>
      </c>
      <c r="S333" s="8">
        <v>441500</v>
      </c>
      <c r="T333" s="8">
        <v>39850</v>
      </c>
      <c r="U333" s="8">
        <v>127500</v>
      </c>
      <c r="V333" s="7">
        <v>355000</v>
      </c>
      <c r="W333" s="7">
        <v>30774</v>
      </c>
      <c r="X333" s="7">
        <v>267500</v>
      </c>
      <c r="Y333" s="7">
        <v>25000</v>
      </c>
      <c r="Z333" s="7">
        <v>60000</v>
      </c>
      <c r="AA333" s="8">
        <v>143000</v>
      </c>
      <c r="AB333" s="8">
        <v>375500</v>
      </c>
      <c r="AC333" s="8">
        <v>12650</v>
      </c>
      <c r="AD333" s="8">
        <v>224000</v>
      </c>
      <c r="AE333" s="8">
        <v>42000</v>
      </c>
      <c r="AF333" s="7">
        <v>32300</v>
      </c>
      <c r="AG333" s="7">
        <v>89400</v>
      </c>
      <c r="AH333" s="7">
        <v>73100</v>
      </c>
      <c r="AI333" s="7">
        <v>71500</v>
      </c>
      <c r="AJ333" s="7">
        <v>29000</v>
      </c>
      <c r="AK333" s="8">
        <v>26100</v>
      </c>
      <c r="AL333" s="8">
        <v>232500</v>
      </c>
      <c r="AM333" s="8">
        <v>272500</v>
      </c>
      <c r="AN333" s="8">
        <v>34200</v>
      </c>
      <c r="AO333" s="8">
        <v>10800</v>
      </c>
      <c r="AP333" s="7">
        <v>508000</v>
      </c>
      <c r="AQ333" s="7">
        <v>395000</v>
      </c>
      <c r="AR333" s="7">
        <v>12000</v>
      </c>
      <c r="AS333" s="7">
        <v>43650</v>
      </c>
      <c r="AT333" s="7">
        <v>82500</v>
      </c>
      <c r="AU333" s="8">
        <v>184000</v>
      </c>
      <c r="AV333" s="8">
        <v>40200</v>
      </c>
      <c r="AW333" s="8">
        <v>7340</v>
      </c>
      <c r="AX333" s="8">
        <v>184000</v>
      </c>
      <c r="AY333" s="8">
        <v>41350</v>
      </c>
    </row>
    <row r="334" spans="1:51" x14ac:dyDescent="0.4">
      <c r="A334" s="12">
        <v>40966</v>
      </c>
      <c r="B334" s="9">
        <v>67900</v>
      </c>
      <c r="C334" s="9">
        <v>27950</v>
      </c>
      <c r="D334" s="9">
        <v>81300</v>
      </c>
      <c r="E334" s="9">
        <v>212000</v>
      </c>
      <c r="F334" s="9">
        <v>74500</v>
      </c>
      <c r="G334" s="10">
        <v>50000</v>
      </c>
      <c r="H334" s="10">
        <v>68100</v>
      </c>
      <c r="I334" s="10">
        <v>157500</v>
      </c>
      <c r="J334" s="10">
        <v>110000</v>
      </c>
      <c r="K334" s="10">
        <v>210000</v>
      </c>
      <c r="L334" s="9">
        <v>415500</v>
      </c>
      <c r="M334" s="9">
        <v>1171000</v>
      </c>
      <c r="N334" s="9">
        <v>95700</v>
      </c>
      <c r="O334" s="9">
        <v>138000</v>
      </c>
      <c r="P334" s="9">
        <v>89500</v>
      </c>
      <c r="Q334" s="10">
        <v>316000</v>
      </c>
      <c r="R334" s="10">
        <v>263000</v>
      </c>
      <c r="S334" s="10">
        <v>431500</v>
      </c>
      <c r="T334" s="10">
        <v>37350</v>
      </c>
      <c r="U334" s="10">
        <v>125500</v>
      </c>
      <c r="V334" s="9">
        <v>345000</v>
      </c>
      <c r="W334" s="9">
        <v>31365</v>
      </c>
      <c r="X334" s="9">
        <v>268000</v>
      </c>
      <c r="Y334" s="9">
        <v>25350</v>
      </c>
      <c r="Z334" s="9">
        <v>59900</v>
      </c>
      <c r="AA334" s="10">
        <v>139500</v>
      </c>
      <c r="AB334" s="10">
        <v>375000</v>
      </c>
      <c r="AC334" s="10">
        <v>12650</v>
      </c>
      <c r="AD334" s="10">
        <v>216500</v>
      </c>
      <c r="AE334" s="10">
        <v>42000</v>
      </c>
      <c r="AF334" s="9">
        <v>32500</v>
      </c>
      <c r="AG334" s="9">
        <v>88600</v>
      </c>
      <c r="AH334" s="9">
        <v>74100</v>
      </c>
      <c r="AI334" s="9">
        <v>70100</v>
      </c>
      <c r="AJ334" s="9">
        <v>28600</v>
      </c>
      <c r="AK334" s="10">
        <v>26200</v>
      </c>
      <c r="AL334" s="10">
        <v>238000</v>
      </c>
      <c r="AM334" s="10">
        <v>265000</v>
      </c>
      <c r="AN334" s="10">
        <v>32050</v>
      </c>
      <c r="AO334" s="10">
        <v>10700</v>
      </c>
      <c r="AP334" s="9">
        <v>503000</v>
      </c>
      <c r="AQ334" s="9">
        <v>389000</v>
      </c>
      <c r="AR334" s="9">
        <v>11950</v>
      </c>
      <c r="AS334" s="9">
        <v>43600</v>
      </c>
      <c r="AT334" s="9">
        <v>82700</v>
      </c>
      <c r="AU334" s="10">
        <v>184000</v>
      </c>
      <c r="AV334" s="10">
        <v>40500</v>
      </c>
      <c r="AW334" s="10">
        <v>7460</v>
      </c>
      <c r="AX334" s="10">
        <v>184500</v>
      </c>
      <c r="AY334" s="10">
        <v>40900</v>
      </c>
    </row>
    <row r="335" spans="1:51" x14ac:dyDescent="0.4">
      <c r="A335" s="11">
        <v>40963</v>
      </c>
      <c r="B335" s="7">
        <v>70100</v>
      </c>
      <c r="C335" s="7">
        <v>28850</v>
      </c>
      <c r="D335" s="7">
        <v>82900</v>
      </c>
      <c r="E335" s="7">
        <v>214000</v>
      </c>
      <c r="F335" s="7">
        <v>77100</v>
      </c>
      <c r="G335" s="8">
        <v>52800</v>
      </c>
      <c r="H335" s="8">
        <v>69900</v>
      </c>
      <c r="I335" s="8">
        <v>161000</v>
      </c>
      <c r="J335" s="8">
        <v>110000</v>
      </c>
      <c r="K335" s="8">
        <v>216500</v>
      </c>
      <c r="L335" s="7">
        <v>418500</v>
      </c>
      <c r="M335" s="7">
        <v>1180000</v>
      </c>
      <c r="N335" s="7">
        <v>98800</v>
      </c>
      <c r="O335" s="7">
        <v>141000</v>
      </c>
      <c r="P335" s="7">
        <v>92900</v>
      </c>
      <c r="Q335" s="8">
        <v>318000</v>
      </c>
      <c r="R335" s="8">
        <v>271000</v>
      </c>
      <c r="S335" s="8">
        <v>438000</v>
      </c>
      <c r="T335" s="8">
        <v>36950</v>
      </c>
      <c r="U335" s="8">
        <v>132000</v>
      </c>
      <c r="V335" s="7">
        <v>359000</v>
      </c>
      <c r="W335" s="7">
        <v>31414</v>
      </c>
      <c r="X335" s="7">
        <v>276000</v>
      </c>
      <c r="Y335" s="7">
        <v>25500</v>
      </c>
      <c r="Z335" s="7">
        <v>61000</v>
      </c>
      <c r="AA335" s="8">
        <v>140500</v>
      </c>
      <c r="AB335" s="8">
        <v>371000</v>
      </c>
      <c r="AC335" s="8">
        <v>12950</v>
      </c>
      <c r="AD335" s="8">
        <v>219000</v>
      </c>
      <c r="AE335" s="8">
        <v>42000</v>
      </c>
      <c r="AF335" s="7">
        <v>32800</v>
      </c>
      <c r="AG335" s="7">
        <v>88700</v>
      </c>
      <c r="AH335" s="7">
        <v>76000</v>
      </c>
      <c r="AI335" s="7">
        <v>71300</v>
      </c>
      <c r="AJ335" s="7">
        <v>28650</v>
      </c>
      <c r="AK335" s="8">
        <v>26600</v>
      </c>
      <c r="AL335" s="8">
        <v>237500</v>
      </c>
      <c r="AM335" s="8">
        <v>271000</v>
      </c>
      <c r="AN335" s="8">
        <v>31150</v>
      </c>
      <c r="AO335" s="8">
        <v>10900</v>
      </c>
      <c r="AP335" s="7">
        <v>491000</v>
      </c>
      <c r="AQ335" s="7">
        <v>405500</v>
      </c>
      <c r="AR335" s="7">
        <v>11950</v>
      </c>
      <c r="AS335" s="7">
        <v>43900</v>
      </c>
      <c r="AT335" s="7">
        <v>84500</v>
      </c>
      <c r="AU335" s="8">
        <v>186000</v>
      </c>
      <c r="AV335" s="8">
        <v>40800</v>
      </c>
      <c r="AW335" s="8">
        <v>7400</v>
      </c>
      <c r="AX335" s="8">
        <v>190500</v>
      </c>
      <c r="AY335" s="8">
        <v>41300</v>
      </c>
    </row>
    <row r="336" spans="1:51" x14ac:dyDescent="0.4">
      <c r="A336" s="11">
        <v>40962</v>
      </c>
      <c r="B336" s="7">
        <v>70300</v>
      </c>
      <c r="C336" s="7">
        <v>28850</v>
      </c>
      <c r="D336" s="7">
        <v>80300</v>
      </c>
      <c r="E336" s="7">
        <v>214000</v>
      </c>
      <c r="F336" s="7">
        <v>77400</v>
      </c>
      <c r="G336" s="8">
        <v>52400</v>
      </c>
      <c r="H336" s="8">
        <v>69800</v>
      </c>
      <c r="I336" s="8">
        <v>163500</v>
      </c>
      <c r="J336" s="8">
        <v>107500</v>
      </c>
      <c r="K336" s="8">
        <v>219000</v>
      </c>
      <c r="L336" s="7">
        <v>413000</v>
      </c>
      <c r="M336" s="7">
        <v>1160000</v>
      </c>
      <c r="N336" s="7">
        <v>99900</v>
      </c>
      <c r="O336" s="7">
        <v>136500</v>
      </c>
      <c r="P336" s="7">
        <v>91500</v>
      </c>
      <c r="Q336" s="8">
        <v>320000</v>
      </c>
      <c r="R336" s="8">
        <v>271000</v>
      </c>
      <c r="S336" s="8">
        <v>435000</v>
      </c>
      <c r="T336" s="8">
        <v>36050</v>
      </c>
      <c r="U336" s="8">
        <v>136500</v>
      </c>
      <c r="V336" s="7">
        <v>358000</v>
      </c>
      <c r="W336" s="7">
        <v>30774</v>
      </c>
      <c r="X336" s="7">
        <v>279000</v>
      </c>
      <c r="Y336" s="7">
        <v>25350</v>
      </c>
      <c r="Z336" s="7">
        <v>60000</v>
      </c>
      <c r="AA336" s="8">
        <v>140000</v>
      </c>
      <c r="AB336" s="8">
        <v>372000</v>
      </c>
      <c r="AC336" s="8">
        <v>12600</v>
      </c>
      <c r="AD336" s="8">
        <v>219000</v>
      </c>
      <c r="AE336" s="8">
        <v>42000</v>
      </c>
      <c r="AF336" s="7">
        <v>32750</v>
      </c>
      <c r="AG336" s="7">
        <v>88500</v>
      </c>
      <c r="AH336" s="7">
        <v>76800</v>
      </c>
      <c r="AI336" s="7">
        <v>69000</v>
      </c>
      <c r="AJ336" s="7">
        <v>28600</v>
      </c>
      <c r="AK336" s="8">
        <v>27100</v>
      </c>
      <c r="AL336" s="8">
        <v>240000</v>
      </c>
      <c r="AM336" s="8">
        <v>274000</v>
      </c>
      <c r="AN336" s="8">
        <v>30900</v>
      </c>
      <c r="AO336" s="8">
        <v>10700</v>
      </c>
      <c r="AP336" s="7">
        <v>487500</v>
      </c>
      <c r="AQ336" s="7">
        <v>406000</v>
      </c>
      <c r="AR336" s="7">
        <v>11950</v>
      </c>
      <c r="AS336" s="7">
        <v>43550</v>
      </c>
      <c r="AT336" s="7">
        <v>84100</v>
      </c>
      <c r="AU336" s="8">
        <v>180500</v>
      </c>
      <c r="AV336" s="8">
        <v>39750</v>
      </c>
      <c r="AW336" s="8">
        <v>7200</v>
      </c>
      <c r="AX336" s="8">
        <v>193000</v>
      </c>
      <c r="AY336" s="8">
        <v>40650</v>
      </c>
    </row>
    <row r="337" spans="1:51" x14ac:dyDescent="0.4">
      <c r="A337" s="11">
        <v>40961</v>
      </c>
      <c r="B337" s="7">
        <v>71600</v>
      </c>
      <c r="C337" s="7">
        <v>29000</v>
      </c>
      <c r="D337" s="7">
        <v>80400</v>
      </c>
      <c r="E337" s="7">
        <v>212500</v>
      </c>
      <c r="F337" s="7">
        <v>77500</v>
      </c>
      <c r="G337" s="8">
        <v>52800</v>
      </c>
      <c r="H337" s="8">
        <v>71700</v>
      </c>
      <c r="I337" s="8">
        <v>163000</v>
      </c>
      <c r="J337" s="8">
        <v>109500</v>
      </c>
      <c r="K337" s="8">
        <v>224000</v>
      </c>
      <c r="L337" s="7">
        <v>414000</v>
      </c>
      <c r="M337" s="7">
        <v>1197000</v>
      </c>
      <c r="N337" s="7">
        <v>99300</v>
      </c>
      <c r="O337" s="7">
        <v>138000</v>
      </c>
      <c r="P337" s="7">
        <v>95600</v>
      </c>
      <c r="Q337" s="8">
        <v>317500</v>
      </c>
      <c r="R337" s="8">
        <v>290000</v>
      </c>
      <c r="S337" s="8">
        <v>427500</v>
      </c>
      <c r="T337" s="8">
        <v>36400</v>
      </c>
      <c r="U337" s="8">
        <v>136500</v>
      </c>
      <c r="V337" s="7">
        <v>373500</v>
      </c>
      <c r="W337" s="7">
        <v>30823</v>
      </c>
      <c r="X337" s="7">
        <v>281500</v>
      </c>
      <c r="Y337" s="7">
        <v>25100</v>
      </c>
      <c r="Z337" s="7">
        <v>61200</v>
      </c>
      <c r="AA337" s="8">
        <v>141000</v>
      </c>
      <c r="AB337" s="8">
        <v>377000</v>
      </c>
      <c r="AC337" s="8">
        <v>12700</v>
      </c>
      <c r="AD337" s="8">
        <v>222000</v>
      </c>
      <c r="AE337" s="8">
        <v>41950</v>
      </c>
      <c r="AF337" s="7">
        <v>32550</v>
      </c>
      <c r="AG337" s="7">
        <v>87500</v>
      </c>
      <c r="AH337" s="7">
        <v>77900</v>
      </c>
      <c r="AI337" s="7">
        <v>69000</v>
      </c>
      <c r="AJ337" s="7">
        <v>29000</v>
      </c>
      <c r="AK337" s="8">
        <v>27000</v>
      </c>
      <c r="AL337" s="8">
        <v>231000</v>
      </c>
      <c r="AM337" s="8">
        <v>279000</v>
      </c>
      <c r="AN337" s="8">
        <v>30950</v>
      </c>
      <c r="AO337" s="8">
        <v>10750</v>
      </c>
      <c r="AP337" s="7">
        <v>473000</v>
      </c>
      <c r="AQ337" s="7">
        <v>409500</v>
      </c>
      <c r="AR337" s="7">
        <v>11950</v>
      </c>
      <c r="AS337" s="7">
        <v>44250</v>
      </c>
      <c r="AT337" s="7">
        <v>88000</v>
      </c>
      <c r="AU337" s="8">
        <v>183500</v>
      </c>
      <c r="AV337" s="8">
        <v>40000</v>
      </c>
      <c r="AW337" s="8">
        <v>7260</v>
      </c>
      <c r="AX337" s="8">
        <v>193500</v>
      </c>
      <c r="AY337" s="8">
        <v>40700</v>
      </c>
    </row>
    <row r="338" spans="1:51" x14ac:dyDescent="0.4">
      <c r="A338" s="11">
        <v>40960</v>
      </c>
      <c r="B338" s="7">
        <v>72500</v>
      </c>
      <c r="C338" s="7">
        <v>28300</v>
      </c>
      <c r="D338" s="7">
        <v>81200</v>
      </c>
      <c r="E338" s="7">
        <v>209500</v>
      </c>
      <c r="F338" s="7">
        <v>76700</v>
      </c>
      <c r="G338" s="8">
        <v>53000</v>
      </c>
      <c r="H338" s="8">
        <v>73500</v>
      </c>
      <c r="I338" s="8">
        <v>160000</v>
      </c>
      <c r="J338" s="8">
        <v>112000</v>
      </c>
      <c r="K338" s="8">
        <v>226500</v>
      </c>
      <c r="L338" s="7">
        <v>413000</v>
      </c>
      <c r="M338" s="7">
        <v>1180000</v>
      </c>
      <c r="N338" s="7">
        <v>100000</v>
      </c>
      <c r="O338" s="7">
        <v>141500</v>
      </c>
      <c r="P338" s="7">
        <v>95800</v>
      </c>
      <c r="Q338" s="8">
        <v>323000</v>
      </c>
      <c r="R338" s="8">
        <v>286500</v>
      </c>
      <c r="S338" s="8">
        <v>412500</v>
      </c>
      <c r="T338" s="8">
        <v>36550</v>
      </c>
      <c r="U338" s="8">
        <v>130500</v>
      </c>
      <c r="V338" s="7">
        <v>374000</v>
      </c>
      <c r="W338" s="7">
        <v>31118</v>
      </c>
      <c r="X338" s="7">
        <v>277000</v>
      </c>
      <c r="Y338" s="7">
        <v>25250</v>
      </c>
      <c r="Z338" s="7">
        <v>62000</v>
      </c>
      <c r="AA338" s="8">
        <v>138000</v>
      </c>
      <c r="AB338" s="8">
        <v>370000</v>
      </c>
      <c r="AC338" s="8">
        <v>12750</v>
      </c>
      <c r="AD338" s="8">
        <v>222000</v>
      </c>
      <c r="AE338" s="8">
        <v>42150</v>
      </c>
      <c r="AF338" s="7">
        <v>32100</v>
      </c>
      <c r="AG338" s="7">
        <v>87200</v>
      </c>
      <c r="AH338" s="7">
        <v>76900</v>
      </c>
      <c r="AI338" s="7">
        <v>69900</v>
      </c>
      <c r="AJ338" s="7">
        <v>28950</v>
      </c>
      <c r="AK338" s="8">
        <v>27150</v>
      </c>
      <c r="AL338" s="8">
        <v>223000</v>
      </c>
      <c r="AM338" s="8">
        <v>278000</v>
      </c>
      <c r="AN338" s="8">
        <v>31000</v>
      </c>
      <c r="AO338" s="8">
        <v>10700</v>
      </c>
      <c r="AP338" s="7">
        <v>469500</v>
      </c>
      <c r="AQ338" s="7">
        <v>421000</v>
      </c>
      <c r="AR338" s="7">
        <v>12200</v>
      </c>
      <c r="AS338" s="7">
        <v>44050</v>
      </c>
      <c r="AT338" s="7">
        <v>88700</v>
      </c>
      <c r="AU338" s="8">
        <v>187500</v>
      </c>
      <c r="AV338" s="8">
        <v>41000</v>
      </c>
      <c r="AW338" s="8">
        <v>7340</v>
      </c>
      <c r="AX338" s="8">
        <v>189000</v>
      </c>
      <c r="AY338" s="8">
        <v>41350</v>
      </c>
    </row>
    <row r="339" spans="1:51" x14ac:dyDescent="0.4">
      <c r="A339" s="12">
        <v>40959</v>
      </c>
      <c r="B339" s="9">
        <v>71600</v>
      </c>
      <c r="C339" s="9">
        <v>28300</v>
      </c>
      <c r="D339" s="9">
        <v>81900</v>
      </c>
      <c r="E339" s="9">
        <v>209500</v>
      </c>
      <c r="F339" s="9">
        <v>76500</v>
      </c>
      <c r="G339" s="10">
        <v>56600</v>
      </c>
      <c r="H339" s="10">
        <v>74000</v>
      </c>
      <c r="I339" s="10">
        <v>157500</v>
      </c>
      <c r="J339" s="10">
        <v>112000</v>
      </c>
      <c r="K339" s="10">
        <v>224000</v>
      </c>
      <c r="L339" s="9">
        <v>413000</v>
      </c>
      <c r="M339" s="9">
        <v>1175000</v>
      </c>
      <c r="N339" s="9">
        <v>100000</v>
      </c>
      <c r="O339" s="9">
        <v>141500</v>
      </c>
      <c r="P339" s="9">
        <v>96800</v>
      </c>
      <c r="Q339" s="10">
        <v>325000</v>
      </c>
      <c r="R339" s="10">
        <v>286500</v>
      </c>
      <c r="S339" s="10">
        <v>419000</v>
      </c>
      <c r="T339" s="10">
        <v>37600</v>
      </c>
      <c r="U339" s="10">
        <v>131500</v>
      </c>
      <c r="V339" s="9">
        <v>380500</v>
      </c>
      <c r="W339" s="9">
        <v>30626</v>
      </c>
      <c r="X339" s="9">
        <v>280000</v>
      </c>
      <c r="Y339" s="9">
        <v>24950</v>
      </c>
      <c r="Z339" s="9">
        <v>63400</v>
      </c>
      <c r="AA339" s="10">
        <v>139000</v>
      </c>
      <c r="AB339" s="10">
        <v>364000</v>
      </c>
      <c r="AC339" s="10">
        <v>13050</v>
      </c>
      <c r="AD339" s="10">
        <v>218000</v>
      </c>
      <c r="AE339" s="10">
        <v>42050</v>
      </c>
      <c r="AF339" s="9">
        <v>32100</v>
      </c>
      <c r="AG339" s="9">
        <v>87000</v>
      </c>
      <c r="AH339" s="9">
        <v>76100</v>
      </c>
      <c r="AI339" s="9">
        <v>70600</v>
      </c>
      <c r="AJ339" s="9">
        <v>28850</v>
      </c>
      <c r="AK339" s="10">
        <v>27400</v>
      </c>
      <c r="AL339" s="10">
        <v>216500</v>
      </c>
      <c r="AM339" s="10">
        <v>273000</v>
      </c>
      <c r="AN339" s="10">
        <v>31850</v>
      </c>
      <c r="AO339" s="10">
        <v>10750</v>
      </c>
      <c r="AP339" s="9">
        <v>470000</v>
      </c>
      <c r="AQ339" s="9">
        <v>421000</v>
      </c>
      <c r="AR339" s="9">
        <v>12300</v>
      </c>
      <c r="AS339" s="9">
        <v>43800</v>
      </c>
      <c r="AT339" s="9">
        <v>90100</v>
      </c>
      <c r="AU339" s="10">
        <v>188000</v>
      </c>
      <c r="AV339" s="10">
        <v>41400</v>
      </c>
      <c r="AW339" s="10">
        <v>7380</v>
      </c>
      <c r="AX339" s="10">
        <v>188500</v>
      </c>
      <c r="AY339" s="10">
        <v>42150</v>
      </c>
    </row>
    <row r="340" spans="1:51" x14ac:dyDescent="0.4">
      <c r="A340" s="11">
        <v>40956</v>
      </c>
      <c r="B340" s="7">
        <v>72000</v>
      </c>
      <c r="C340" s="7">
        <v>28850</v>
      </c>
      <c r="D340" s="7">
        <v>82200</v>
      </c>
      <c r="E340" s="7">
        <v>211500</v>
      </c>
      <c r="F340" s="7">
        <v>75000</v>
      </c>
      <c r="G340" s="8">
        <v>58100</v>
      </c>
      <c r="H340" s="8">
        <v>73900</v>
      </c>
      <c r="I340" s="8">
        <v>156000</v>
      </c>
      <c r="J340" s="8">
        <v>109000</v>
      </c>
      <c r="K340" s="8">
        <v>223000</v>
      </c>
      <c r="L340" s="7">
        <v>410000</v>
      </c>
      <c r="M340" s="7">
        <v>1176000</v>
      </c>
      <c r="N340" s="7">
        <v>105500</v>
      </c>
      <c r="O340" s="7">
        <v>144000</v>
      </c>
      <c r="P340" s="7">
        <v>98000</v>
      </c>
      <c r="Q340" s="8">
        <v>321500</v>
      </c>
      <c r="R340" s="8">
        <v>288000</v>
      </c>
      <c r="S340" s="8">
        <v>403500</v>
      </c>
      <c r="T340" s="8">
        <v>37300</v>
      </c>
      <c r="U340" s="8">
        <v>130000</v>
      </c>
      <c r="V340" s="7">
        <v>366500</v>
      </c>
      <c r="W340" s="7">
        <v>30872</v>
      </c>
      <c r="X340" s="7">
        <v>280000</v>
      </c>
      <c r="Y340" s="7">
        <v>24900</v>
      </c>
      <c r="Z340" s="7">
        <v>63200</v>
      </c>
      <c r="AA340" s="8">
        <v>139000</v>
      </c>
      <c r="AB340" s="8">
        <v>360500</v>
      </c>
      <c r="AC340" s="8">
        <v>13500</v>
      </c>
      <c r="AD340" s="8">
        <v>223000</v>
      </c>
      <c r="AE340" s="8">
        <v>41550</v>
      </c>
      <c r="AF340" s="7">
        <v>32300</v>
      </c>
      <c r="AG340" s="7">
        <v>87400</v>
      </c>
      <c r="AH340" s="7">
        <v>75500</v>
      </c>
      <c r="AI340" s="7">
        <v>69400</v>
      </c>
      <c r="AJ340" s="7">
        <v>29200</v>
      </c>
      <c r="AK340" s="8">
        <v>27550</v>
      </c>
      <c r="AL340" s="8">
        <v>219500</v>
      </c>
      <c r="AM340" s="8">
        <v>273000</v>
      </c>
      <c r="AN340" s="8">
        <v>31400</v>
      </c>
      <c r="AO340" s="8">
        <v>11100</v>
      </c>
      <c r="AP340" s="7">
        <v>472500</v>
      </c>
      <c r="AQ340" s="7">
        <v>411500</v>
      </c>
      <c r="AR340" s="7">
        <v>12300</v>
      </c>
      <c r="AS340" s="7">
        <v>43800</v>
      </c>
      <c r="AT340" s="7">
        <v>91300</v>
      </c>
      <c r="AU340" s="8">
        <v>188500</v>
      </c>
      <c r="AV340" s="8">
        <v>41500</v>
      </c>
      <c r="AW340" s="8">
        <v>7340</v>
      </c>
      <c r="AX340" s="8">
        <v>186500</v>
      </c>
      <c r="AY340" s="8">
        <v>42700</v>
      </c>
    </row>
    <row r="341" spans="1:51" x14ac:dyDescent="0.4">
      <c r="A341" s="11">
        <v>40955</v>
      </c>
      <c r="B341" s="7">
        <v>69000</v>
      </c>
      <c r="C341" s="7">
        <v>28700</v>
      </c>
      <c r="D341" s="7">
        <v>80500</v>
      </c>
      <c r="E341" s="7">
        <v>214000</v>
      </c>
      <c r="F341" s="7">
        <v>74000</v>
      </c>
      <c r="G341" s="8">
        <v>56800</v>
      </c>
      <c r="H341" s="8">
        <v>73000</v>
      </c>
      <c r="I341" s="8">
        <v>153500</v>
      </c>
      <c r="J341" s="8">
        <v>108500</v>
      </c>
      <c r="K341" s="8">
        <v>219000</v>
      </c>
      <c r="L341" s="7">
        <v>406000</v>
      </c>
      <c r="M341" s="7">
        <v>1135000</v>
      </c>
      <c r="N341" s="7">
        <v>103000</v>
      </c>
      <c r="O341" s="7">
        <v>142000</v>
      </c>
      <c r="P341" s="7">
        <v>97400</v>
      </c>
      <c r="Q341" s="8">
        <v>318000</v>
      </c>
      <c r="R341" s="8">
        <v>279000</v>
      </c>
      <c r="S341" s="8">
        <v>390500</v>
      </c>
      <c r="T341" s="8">
        <v>37750</v>
      </c>
      <c r="U341" s="8">
        <v>131000</v>
      </c>
      <c r="V341" s="7">
        <v>369000</v>
      </c>
      <c r="W341" s="7">
        <v>31168</v>
      </c>
      <c r="X341" s="7">
        <v>275500</v>
      </c>
      <c r="Y341" s="7">
        <v>24900</v>
      </c>
      <c r="Z341" s="7">
        <v>62100</v>
      </c>
      <c r="AA341" s="8">
        <v>137500</v>
      </c>
      <c r="AB341" s="8">
        <v>364000</v>
      </c>
      <c r="AC341" s="8">
        <v>13400</v>
      </c>
      <c r="AD341" s="8">
        <v>219000</v>
      </c>
      <c r="AE341" s="8">
        <v>42000</v>
      </c>
      <c r="AF341" s="7">
        <v>32250</v>
      </c>
      <c r="AG341" s="7">
        <v>87600</v>
      </c>
      <c r="AH341" s="7">
        <v>73500</v>
      </c>
      <c r="AI341" s="7">
        <v>73900</v>
      </c>
      <c r="AJ341" s="7">
        <v>28150</v>
      </c>
      <c r="AK341" s="8">
        <v>27600</v>
      </c>
      <c r="AL341" s="8">
        <v>221000</v>
      </c>
      <c r="AM341" s="8">
        <v>293500</v>
      </c>
      <c r="AN341" s="8">
        <v>31750</v>
      </c>
      <c r="AO341" s="8">
        <v>11000</v>
      </c>
      <c r="AP341" s="7">
        <v>467000</v>
      </c>
      <c r="AQ341" s="7">
        <v>403500</v>
      </c>
      <c r="AR341" s="7">
        <v>11900</v>
      </c>
      <c r="AS341" s="7">
        <v>43400</v>
      </c>
      <c r="AT341" s="7">
        <v>89600</v>
      </c>
      <c r="AU341" s="8">
        <v>188000</v>
      </c>
      <c r="AV341" s="8">
        <v>41000</v>
      </c>
      <c r="AW341" s="8">
        <v>7350</v>
      </c>
      <c r="AX341" s="8">
        <v>186000</v>
      </c>
      <c r="AY341" s="8">
        <v>42300</v>
      </c>
    </row>
    <row r="342" spans="1:51" x14ac:dyDescent="0.4">
      <c r="A342" s="11">
        <v>40954</v>
      </c>
      <c r="B342" s="7">
        <v>69100</v>
      </c>
      <c r="C342" s="7">
        <v>29000</v>
      </c>
      <c r="D342" s="7">
        <v>81000</v>
      </c>
      <c r="E342" s="7">
        <v>214000</v>
      </c>
      <c r="F342" s="7">
        <v>76700</v>
      </c>
      <c r="G342" s="8">
        <v>57800</v>
      </c>
      <c r="H342" s="8">
        <v>73900</v>
      </c>
      <c r="I342" s="8">
        <v>160000</v>
      </c>
      <c r="J342" s="8">
        <v>112500</v>
      </c>
      <c r="K342" s="8">
        <v>218500</v>
      </c>
      <c r="L342" s="7">
        <v>416000</v>
      </c>
      <c r="M342" s="7">
        <v>1135000</v>
      </c>
      <c r="N342" s="7">
        <v>107000</v>
      </c>
      <c r="O342" s="7">
        <v>147500</v>
      </c>
      <c r="P342" s="7">
        <v>98600</v>
      </c>
      <c r="Q342" s="8">
        <v>333500</v>
      </c>
      <c r="R342" s="8">
        <v>283500</v>
      </c>
      <c r="S342" s="8">
        <v>406500</v>
      </c>
      <c r="T342" s="8">
        <v>38400</v>
      </c>
      <c r="U342" s="8">
        <v>135500</v>
      </c>
      <c r="V342" s="7">
        <v>383000</v>
      </c>
      <c r="W342" s="7">
        <v>31315</v>
      </c>
      <c r="X342" s="7">
        <v>283000</v>
      </c>
      <c r="Y342" s="7">
        <v>25200</v>
      </c>
      <c r="Z342" s="7">
        <v>64700</v>
      </c>
      <c r="AA342" s="8">
        <v>139000</v>
      </c>
      <c r="AB342" s="8">
        <v>362000</v>
      </c>
      <c r="AC342" s="8">
        <v>13800</v>
      </c>
      <c r="AD342" s="8">
        <v>223000</v>
      </c>
      <c r="AE342" s="8">
        <v>42000</v>
      </c>
      <c r="AF342" s="7">
        <v>32500</v>
      </c>
      <c r="AG342" s="7">
        <v>87900</v>
      </c>
      <c r="AH342" s="7">
        <v>72600</v>
      </c>
      <c r="AI342" s="7">
        <v>76500</v>
      </c>
      <c r="AJ342" s="7">
        <v>29300</v>
      </c>
      <c r="AK342" s="8">
        <v>27350</v>
      </c>
      <c r="AL342" s="8">
        <v>225000</v>
      </c>
      <c r="AM342" s="8">
        <v>305000</v>
      </c>
      <c r="AN342" s="8">
        <v>32900</v>
      </c>
      <c r="AO342" s="8">
        <v>11350</v>
      </c>
      <c r="AP342" s="7">
        <v>464000</v>
      </c>
      <c r="AQ342" s="7">
        <v>418000</v>
      </c>
      <c r="AR342" s="7">
        <v>12250</v>
      </c>
      <c r="AS342" s="7">
        <v>44850</v>
      </c>
      <c r="AT342" s="7">
        <v>90600</v>
      </c>
      <c r="AU342" s="8">
        <v>184500</v>
      </c>
      <c r="AV342" s="8">
        <v>41400</v>
      </c>
      <c r="AW342" s="8">
        <v>7400</v>
      </c>
      <c r="AX342" s="8">
        <v>189500</v>
      </c>
      <c r="AY342" s="8">
        <v>43900</v>
      </c>
    </row>
    <row r="343" spans="1:51" x14ac:dyDescent="0.4">
      <c r="A343" s="11">
        <v>40953</v>
      </c>
      <c r="B343" s="7">
        <v>68500</v>
      </c>
      <c r="C343" s="7">
        <v>27550</v>
      </c>
      <c r="D343" s="7">
        <v>80700</v>
      </c>
      <c r="E343" s="7">
        <v>209000</v>
      </c>
      <c r="F343" s="7">
        <v>76200</v>
      </c>
      <c r="G343" s="8">
        <v>56300</v>
      </c>
      <c r="H343" s="8">
        <v>74500</v>
      </c>
      <c r="I343" s="8">
        <v>154000</v>
      </c>
      <c r="J343" s="8">
        <v>113000</v>
      </c>
      <c r="K343" s="8">
        <v>219000</v>
      </c>
      <c r="L343" s="7">
        <v>415000</v>
      </c>
      <c r="M343" s="7">
        <v>1080000</v>
      </c>
      <c r="N343" s="7">
        <v>107000</v>
      </c>
      <c r="O343" s="7">
        <v>153000</v>
      </c>
      <c r="P343" s="7">
        <v>98500</v>
      </c>
      <c r="Q343" s="8">
        <v>329500</v>
      </c>
      <c r="R343" s="8">
        <v>301500</v>
      </c>
      <c r="S343" s="8">
        <v>401500</v>
      </c>
      <c r="T343" s="8">
        <v>38300</v>
      </c>
      <c r="U343" s="8">
        <v>134500</v>
      </c>
      <c r="V343" s="7">
        <v>376500</v>
      </c>
      <c r="W343" s="7">
        <v>30626</v>
      </c>
      <c r="X343" s="7">
        <v>287000</v>
      </c>
      <c r="Y343" s="7">
        <v>25600</v>
      </c>
      <c r="Z343" s="7">
        <v>63000</v>
      </c>
      <c r="AA343" s="8">
        <v>137500</v>
      </c>
      <c r="AB343" s="8">
        <v>357500</v>
      </c>
      <c r="AC343" s="8">
        <v>13850</v>
      </c>
      <c r="AD343" s="8">
        <v>225500</v>
      </c>
      <c r="AE343" s="8">
        <v>41850</v>
      </c>
      <c r="AF343" s="7">
        <v>32550</v>
      </c>
      <c r="AG343" s="7">
        <v>87000</v>
      </c>
      <c r="AH343" s="7">
        <v>72700</v>
      </c>
      <c r="AI343" s="7">
        <v>76300</v>
      </c>
      <c r="AJ343" s="7">
        <v>29750</v>
      </c>
      <c r="AK343" s="8">
        <v>27600</v>
      </c>
      <c r="AL343" s="8">
        <v>219000</v>
      </c>
      <c r="AM343" s="8">
        <v>290000</v>
      </c>
      <c r="AN343" s="8">
        <v>31950</v>
      </c>
      <c r="AO343" s="8">
        <v>11400</v>
      </c>
      <c r="AP343" s="7">
        <v>462000</v>
      </c>
      <c r="AQ343" s="7">
        <v>416500</v>
      </c>
      <c r="AR343" s="7">
        <v>12250</v>
      </c>
      <c r="AS343" s="7">
        <v>44550</v>
      </c>
      <c r="AT343" s="7">
        <v>91000</v>
      </c>
      <c r="AU343" s="8">
        <v>185500</v>
      </c>
      <c r="AV343" s="8">
        <v>40500</v>
      </c>
      <c r="AW343" s="8">
        <v>7430</v>
      </c>
      <c r="AX343" s="8">
        <v>187000</v>
      </c>
      <c r="AY343" s="8">
        <v>44000</v>
      </c>
    </row>
    <row r="344" spans="1:51" x14ac:dyDescent="0.4">
      <c r="A344" s="12">
        <v>40952</v>
      </c>
      <c r="B344" s="9">
        <v>68300</v>
      </c>
      <c r="C344" s="9">
        <v>26850</v>
      </c>
      <c r="D344" s="9">
        <v>81500</v>
      </c>
      <c r="E344" s="9">
        <v>209000</v>
      </c>
      <c r="F344" s="9">
        <v>74800</v>
      </c>
      <c r="G344" s="10">
        <v>56200</v>
      </c>
      <c r="H344" s="10">
        <v>74100</v>
      </c>
      <c r="I344" s="10">
        <v>160000</v>
      </c>
      <c r="J344" s="10">
        <v>117000</v>
      </c>
      <c r="K344" s="10">
        <v>221500</v>
      </c>
      <c r="L344" s="9">
        <v>416000</v>
      </c>
      <c r="M344" s="9">
        <v>1083000</v>
      </c>
      <c r="N344" s="9">
        <v>108000</v>
      </c>
      <c r="O344" s="9">
        <v>153000</v>
      </c>
      <c r="P344" s="9">
        <v>95300</v>
      </c>
      <c r="Q344" s="10">
        <v>328500</v>
      </c>
      <c r="R344" s="10">
        <v>299500</v>
      </c>
      <c r="S344" s="10">
        <v>417500</v>
      </c>
      <c r="T344" s="10">
        <v>38000</v>
      </c>
      <c r="U344" s="10">
        <v>137000</v>
      </c>
      <c r="V344" s="9">
        <v>382000</v>
      </c>
      <c r="W344" s="9">
        <v>30675</v>
      </c>
      <c r="X344" s="9">
        <v>291000</v>
      </c>
      <c r="Y344" s="9">
        <v>26000</v>
      </c>
      <c r="Z344" s="9">
        <v>62100</v>
      </c>
      <c r="AA344" s="10">
        <v>136500</v>
      </c>
      <c r="AB344" s="10">
        <v>363500</v>
      </c>
      <c r="AC344" s="10">
        <v>13950</v>
      </c>
      <c r="AD344" s="10">
        <v>221500</v>
      </c>
      <c r="AE344" s="10">
        <v>42000</v>
      </c>
      <c r="AF344" s="9">
        <v>32400</v>
      </c>
      <c r="AG344" s="9">
        <v>86300</v>
      </c>
      <c r="AH344" s="9">
        <v>72300</v>
      </c>
      <c r="AI344" s="9">
        <v>76500</v>
      </c>
      <c r="AJ344" s="9">
        <v>29750</v>
      </c>
      <c r="AK344" s="10">
        <v>27400</v>
      </c>
      <c r="AL344" s="10">
        <v>217500</v>
      </c>
      <c r="AM344" s="10">
        <v>278500</v>
      </c>
      <c r="AN344" s="10">
        <v>32400</v>
      </c>
      <c r="AO344" s="10">
        <v>11650</v>
      </c>
      <c r="AP344" s="9">
        <v>465500</v>
      </c>
      <c r="AQ344" s="9">
        <v>414000</v>
      </c>
      <c r="AR344" s="9">
        <v>12500</v>
      </c>
      <c r="AS344" s="9">
        <v>44700</v>
      </c>
      <c r="AT344" s="9">
        <v>88300</v>
      </c>
      <c r="AU344" s="10">
        <v>186000</v>
      </c>
      <c r="AV344" s="10">
        <v>40150</v>
      </c>
      <c r="AW344" s="10">
        <v>7520</v>
      </c>
      <c r="AX344" s="10">
        <v>191000</v>
      </c>
      <c r="AY344" s="10">
        <v>43650</v>
      </c>
    </row>
    <row r="345" spans="1:51" x14ac:dyDescent="0.4">
      <c r="A345" s="11">
        <v>40949</v>
      </c>
      <c r="B345" s="7">
        <v>65900</v>
      </c>
      <c r="C345" s="7">
        <v>27000</v>
      </c>
      <c r="D345" s="7">
        <v>81800</v>
      </c>
      <c r="E345" s="7">
        <v>209500</v>
      </c>
      <c r="F345" s="7">
        <v>73800</v>
      </c>
      <c r="G345" s="8">
        <v>56900</v>
      </c>
      <c r="H345" s="8">
        <v>74300</v>
      </c>
      <c r="I345" s="8">
        <v>159500</v>
      </c>
      <c r="J345" s="8">
        <v>116500</v>
      </c>
      <c r="K345" s="8">
        <v>217500</v>
      </c>
      <c r="L345" s="7">
        <v>416000</v>
      </c>
      <c r="M345" s="7">
        <v>1062000</v>
      </c>
      <c r="N345" s="7">
        <v>108500</v>
      </c>
      <c r="O345" s="7">
        <v>151500</v>
      </c>
      <c r="P345" s="7">
        <v>95300</v>
      </c>
      <c r="Q345" s="8">
        <v>328500</v>
      </c>
      <c r="R345" s="8">
        <v>304500</v>
      </c>
      <c r="S345" s="8">
        <v>418000</v>
      </c>
      <c r="T345" s="8">
        <v>38600</v>
      </c>
      <c r="U345" s="8">
        <v>138000</v>
      </c>
      <c r="V345" s="7">
        <v>384000</v>
      </c>
      <c r="W345" s="7">
        <v>31168</v>
      </c>
      <c r="X345" s="7">
        <v>285000</v>
      </c>
      <c r="Y345" s="7">
        <v>26000</v>
      </c>
      <c r="Z345" s="7">
        <v>61200</v>
      </c>
      <c r="AA345" s="8">
        <v>136000</v>
      </c>
      <c r="AB345" s="8">
        <v>361000</v>
      </c>
      <c r="AC345" s="8">
        <v>14200</v>
      </c>
      <c r="AD345" s="8">
        <v>216000</v>
      </c>
      <c r="AE345" s="8">
        <v>42000</v>
      </c>
      <c r="AF345" s="7">
        <v>32350</v>
      </c>
      <c r="AG345" s="7">
        <v>86600</v>
      </c>
      <c r="AH345" s="7">
        <v>72800</v>
      </c>
      <c r="AI345" s="7">
        <v>77100</v>
      </c>
      <c r="AJ345" s="7">
        <v>29000</v>
      </c>
      <c r="AK345" s="8">
        <v>26750</v>
      </c>
      <c r="AL345" s="8">
        <v>217500</v>
      </c>
      <c r="AM345" s="8">
        <v>279500</v>
      </c>
      <c r="AN345" s="8">
        <v>32800</v>
      </c>
      <c r="AO345" s="8">
        <v>11700</v>
      </c>
      <c r="AP345" s="7">
        <v>467000</v>
      </c>
      <c r="AQ345" s="7">
        <v>418500</v>
      </c>
      <c r="AR345" s="7">
        <v>12500</v>
      </c>
      <c r="AS345" s="7">
        <v>44950</v>
      </c>
      <c r="AT345" s="7">
        <v>86900</v>
      </c>
      <c r="AU345" s="8">
        <v>180000</v>
      </c>
      <c r="AV345" s="8">
        <v>40100</v>
      </c>
      <c r="AW345" s="8">
        <v>7520</v>
      </c>
      <c r="AX345" s="8">
        <v>189500</v>
      </c>
      <c r="AY345" s="8">
        <v>44000</v>
      </c>
    </row>
    <row r="346" spans="1:51" x14ac:dyDescent="0.4">
      <c r="A346" s="11">
        <v>40948</v>
      </c>
      <c r="B346" s="7">
        <v>66100</v>
      </c>
      <c r="C346" s="7">
        <v>27050</v>
      </c>
      <c r="D346" s="7">
        <v>82900</v>
      </c>
      <c r="E346" s="7">
        <v>208500</v>
      </c>
      <c r="F346" s="7">
        <v>77100</v>
      </c>
      <c r="G346" s="8">
        <v>57500</v>
      </c>
      <c r="H346" s="8">
        <v>76300</v>
      </c>
      <c r="I346" s="8">
        <v>161000</v>
      </c>
      <c r="J346" s="8">
        <v>117500</v>
      </c>
      <c r="K346" s="8">
        <v>220000</v>
      </c>
      <c r="L346" s="7">
        <v>409000</v>
      </c>
      <c r="M346" s="7">
        <v>1084000</v>
      </c>
      <c r="N346" s="7">
        <v>109500</v>
      </c>
      <c r="O346" s="7">
        <v>150500</v>
      </c>
      <c r="P346" s="7">
        <v>95300</v>
      </c>
      <c r="Q346" s="8">
        <v>326000</v>
      </c>
      <c r="R346" s="8">
        <v>302000</v>
      </c>
      <c r="S346" s="8">
        <v>410000</v>
      </c>
      <c r="T346" s="8">
        <v>39200</v>
      </c>
      <c r="U346" s="8">
        <v>144500</v>
      </c>
      <c r="V346" s="7">
        <v>395000</v>
      </c>
      <c r="W346" s="7">
        <v>31168</v>
      </c>
      <c r="X346" s="7">
        <v>287500</v>
      </c>
      <c r="Y346" s="7">
        <v>26150</v>
      </c>
      <c r="Z346" s="7">
        <v>63100</v>
      </c>
      <c r="AA346" s="8">
        <v>136500</v>
      </c>
      <c r="AB346" s="8">
        <v>368000</v>
      </c>
      <c r="AC346" s="8">
        <v>14450</v>
      </c>
      <c r="AD346" s="8">
        <v>220500</v>
      </c>
      <c r="AE346" s="8">
        <v>42400</v>
      </c>
      <c r="AF346" s="7">
        <v>32200</v>
      </c>
      <c r="AG346" s="7">
        <v>88000</v>
      </c>
      <c r="AH346" s="7">
        <v>74300</v>
      </c>
      <c r="AI346" s="7">
        <v>76700</v>
      </c>
      <c r="AJ346" s="7">
        <v>29400</v>
      </c>
      <c r="AK346" s="8">
        <v>27400</v>
      </c>
      <c r="AL346" s="8">
        <v>212500</v>
      </c>
      <c r="AM346" s="8">
        <v>277000</v>
      </c>
      <c r="AN346" s="8">
        <v>32750</v>
      </c>
      <c r="AO346" s="8">
        <v>11950</v>
      </c>
      <c r="AP346" s="7">
        <v>482500</v>
      </c>
      <c r="AQ346" s="7">
        <v>434000</v>
      </c>
      <c r="AR346" s="7">
        <v>12550</v>
      </c>
      <c r="AS346" s="7">
        <v>46550</v>
      </c>
      <c r="AT346" s="7">
        <v>90400</v>
      </c>
      <c r="AU346" s="8">
        <v>175000</v>
      </c>
      <c r="AV346" s="8">
        <v>41200</v>
      </c>
      <c r="AW346" s="8">
        <v>7630</v>
      </c>
      <c r="AX346" s="8">
        <v>194000</v>
      </c>
      <c r="AY346" s="8">
        <v>45000</v>
      </c>
    </row>
    <row r="347" spans="1:51" x14ac:dyDescent="0.4">
      <c r="A347" s="11">
        <v>40947</v>
      </c>
      <c r="B347" s="7">
        <v>66700</v>
      </c>
      <c r="C347" s="7">
        <v>26500</v>
      </c>
      <c r="D347" s="7">
        <v>80800</v>
      </c>
      <c r="E347" s="7">
        <v>215500</v>
      </c>
      <c r="F347" s="7">
        <v>76700</v>
      </c>
      <c r="G347" s="8">
        <v>57100</v>
      </c>
      <c r="H347" s="8">
        <v>74500</v>
      </c>
      <c r="I347" s="8">
        <v>158500</v>
      </c>
      <c r="J347" s="8">
        <v>115000</v>
      </c>
      <c r="K347" s="8">
        <v>221500</v>
      </c>
      <c r="L347" s="7">
        <v>407000</v>
      </c>
      <c r="M347" s="7">
        <v>1092000</v>
      </c>
      <c r="N347" s="7">
        <v>105000</v>
      </c>
      <c r="O347" s="7">
        <v>146000</v>
      </c>
      <c r="P347" s="7">
        <v>93700</v>
      </c>
      <c r="Q347" s="8">
        <v>313500</v>
      </c>
      <c r="R347" s="8">
        <v>278500</v>
      </c>
      <c r="S347" s="8">
        <v>402500</v>
      </c>
      <c r="T347" s="8">
        <v>38450</v>
      </c>
      <c r="U347" s="8">
        <v>138000</v>
      </c>
      <c r="V347" s="7">
        <v>381500</v>
      </c>
      <c r="W347" s="7">
        <v>30823</v>
      </c>
      <c r="X347" s="7">
        <v>287500</v>
      </c>
      <c r="Y347" s="7">
        <v>26800</v>
      </c>
      <c r="Z347" s="7">
        <v>63600</v>
      </c>
      <c r="AA347" s="8">
        <v>137000</v>
      </c>
      <c r="AB347" s="8">
        <v>378000</v>
      </c>
      <c r="AC347" s="8">
        <v>13800</v>
      </c>
      <c r="AD347" s="8">
        <v>220000</v>
      </c>
      <c r="AE347" s="8">
        <v>42600</v>
      </c>
      <c r="AF347" s="7">
        <v>32650</v>
      </c>
      <c r="AG347" s="7">
        <v>87900</v>
      </c>
      <c r="AH347" s="7">
        <v>76200</v>
      </c>
      <c r="AI347" s="7">
        <v>75500</v>
      </c>
      <c r="AJ347" s="7">
        <v>29300</v>
      </c>
      <c r="AK347" s="8">
        <v>27700</v>
      </c>
      <c r="AL347" s="8">
        <v>213000</v>
      </c>
      <c r="AM347" s="8">
        <v>271000</v>
      </c>
      <c r="AN347" s="8">
        <v>31750</v>
      </c>
      <c r="AO347" s="8">
        <v>11750</v>
      </c>
      <c r="AP347" s="7">
        <v>492500</v>
      </c>
      <c r="AQ347" s="7">
        <v>420000</v>
      </c>
      <c r="AR347" s="7">
        <v>12150</v>
      </c>
      <c r="AS347" s="7">
        <v>46650</v>
      </c>
      <c r="AT347" s="7">
        <v>89100</v>
      </c>
      <c r="AU347" s="8">
        <v>181000</v>
      </c>
      <c r="AV347" s="8">
        <v>40500</v>
      </c>
      <c r="AW347" s="8">
        <v>7670</v>
      </c>
      <c r="AX347" s="8">
        <v>189000</v>
      </c>
      <c r="AY347" s="8">
        <v>44300</v>
      </c>
    </row>
    <row r="348" spans="1:51" x14ac:dyDescent="0.4">
      <c r="A348" s="11">
        <v>40946</v>
      </c>
      <c r="B348" s="7">
        <v>67100</v>
      </c>
      <c r="C348" s="7">
        <v>25400</v>
      </c>
      <c r="D348" s="7">
        <v>78500</v>
      </c>
      <c r="E348" s="7">
        <v>219500</v>
      </c>
      <c r="F348" s="7">
        <v>75300</v>
      </c>
      <c r="G348" s="8">
        <v>54500</v>
      </c>
      <c r="H348" s="8">
        <v>72700</v>
      </c>
      <c r="I348" s="8">
        <v>151000</v>
      </c>
      <c r="J348" s="8">
        <v>113500</v>
      </c>
      <c r="K348" s="8">
        <v>219000</v>
      </c>
      <c r="L348" s="7">
        <v>408000</v>
      </c>
      <c r="M348" s="7">
        <v>1093000</v>
      </c>
      <c r="N348" s="7">
        <v>99400</v>
      </c>
      <c r="O348" s="7">
        <v>141500</v>
      </c>
      <c r="P348" s="7">
        <v>92500</v>
      </c>
      <c r="Q348" s="8">
        <v>296000</v>
      </c>
      <c r="R348" s="8">
        <v>271500</v>
      </c>
      <c r="S348" s="8">
        <v>389000</v>
      </c>
      <c r="T348" s="8">
        <v>36400</v>
      </c>
      <c r="U348" s="8">
        <v>130500</v>
      </c>
      <c r="V348" s="7">
        <v>369500</v>
      </c>
      <c r="W348" s="7">
        <v>30331</v>
      </c>
      <c r="X348" s="7">
        <v>285000</v>
      </c>
      <c r="Y348" s="7">
        <v>27500</v>
      </c>
      <c r="Z348" s="7">
        <v>62500</v>
      </c>
      <c r="AA348" s="8">
        <v>137500</v>
      </c>
      <c r="AB348" s="8">
        <v>376000</v>
      </c>
      <c r="AC348" s="8">
        <v>13650</v>
      </c>
      <c r="AD348" s="8">
        <v>214500</v>
      </c>
      <c r="AE348" s="8">
        <v>43750</v>
      </c>
      <c r="AF348" s="7">
        <v>32900</v>
      </c>
      <c r="AG348" s="7">
        <v>88000</v>
      </c>
      <c r="AH348" s="7">
        <v>77200</v>
      </c>
      <c r="AI348" s="7">
        <v>74200</v>
      </c>
      <c r="AJ348" s="7">
        <v>28850</v>
      </c>
      <c r="AK348" s="8">
        <v>28450</v>
      </c>
      <c r="AL348" s="8">
        <v>218500</v>
      </c>
      <c r="AM348" s="8">
        <v>264000</v>
      </c>
      <c r="AN348" s="8">
        <v>30300</v>
      </c>
      <c r="AO348" s="8">
        <v>11600</v>
      </c>
      <c r="AP348" s="7">
        <v>487000</v>
      </c>
      <c r="AQ348" s="7">
        <v>406500</v>
      </c>
      <c r="AR348" s="7">
        <v>12000</v>
      </c>
      <c r="AS348" s="7">
        <v>45800</v>
      </c>
      <c r="AT348" s="7">
        <v>87000</v>
      </c>
      <c r="AU348" s="8">
        <v>183500</v>
      </c>
      <c r="AV348" s="8">
        <v>40500</v>
      </c>
      <c r="AW348" s="8">
        <v>7740</v>
      </c>
      <c r="AX348" s="8">
        <v>183500</v>
      </c>
      <c r="AY348" s="8">
        <v>43450</v>
      </c>
    </row>
    <row r="349" spans="1:51" x14ac:dyDescent="0.4">
      <c r="A349" s="12">
        <v>40945</v>
      </c>
      <c r="B349" s="9">
        <v>65100</v>
      </c>
      <c r="C349" s="9">
        <v>26100</v>
      </c>
      <c r="D349" s="9">
        <v>78700</v>
      </c>
      <c r="E349" s="9">
        <v>216000</v>
      </c>
      <c r="F349" s="9">
        <v>75300</v>
      </c>
      <c r="G349" s="10">
        <v>55900</v>
      </c>
      <c r="H349" s="10">
        <v>76300</v>
      </c>
      <c r="I349" s="10">
        <v>148000</v>
      </c>
      <c r="J349" s="10">
        <v>112500</v>
      </c>
      <c r="K349" s="10">
        <v>212500</v>
      </c>
      <c r="L349" s="9">
        <v>412000</v>
      </c>
      <c r="M349" s="9">
        <v>1074000</v>
      </c>
      <c r="N349" s="9">
        <v>99900</v>
      </c>
      <c r="O349" s="9">
        <v>143000</v>
      </c>
      <c r="P349" s="9">
        <v>95900</v>
      </c>
      <c r="Q349" s="10">
        <v>294000</v>
      </c>
      <c r="R349" s="10">
        <v>274500</v>
      </c>
      <c r="S349" s="10">
        <v>393000</v>
      </c>
      <c r="T349" s="10">
        <v>36850</v>
      </c>
      <c r="U349" s="10">
        <v>127500</v>
      </c>
      <c r="V349" s="9">
        <v>372500</v>
      </c>
      <c r="W349" s="9">
        <v>30872</v>
      </c>
      <c r="X349" s="9">
        <v>271500</v>
      </c>
      <c r="Y349" s="9">
        <v>27550</v>
      </c>
      <c r="Z349" s="9">
        <v>64500</v>
      </c>
      <c r="AA349" s="10">
        <v>137000</v>
      </c>
      <c r="AB349" s="10">
        <v>367000</v>
      </c>
      <c r="AC349" s="10">
        <v>14000</v>
      </c>
      <c r="AD349" s="10">
        <v>217500</v>
      </c>
      <c r="AE349" s="10">
        <v>44100</v>
      </c>
      <c r="AF349" s="9">
        <v>33500</v>
      </c>
      <c r="AG349" s="9">
        <v>87000</v>
      </c>
      <c r="AH349" s="9">
        <v>77100</v>
      </c>
      <c r="AI349" s="9">
        <v>75000</v>
      </c>
      <c r="AJ349" s="9">
        <v>30300</v>
      </c>
      <c r="AK349" s="10">
        <v>27500</v>
      </c>
      <c r="AL349" s="10">
        <v>220500</v>
      </c>
      <c r="AM349" s="10">
        <v>256000</v>
      </c>
      <c r="AN349" s="10">
        <v>30050</v>
      </c>
      <c r="AO349" s="10">
        <v>11700</v>
      </c>
      <c r="AP349" s="9">
        <v>479000</v>
      </c>
      <c r="AQ349" s="9">
        <v>405000</v>
      </c>
      <c r="AR349" s="9">
        <v>12250</v>
      </c>
      <c r="AS349" s="9">
        <v>47000</v>
      </c>
      <c r="AT349" s="9">
        <v>89100</v>
      </c>
      <c r="AU349" s="10">
        <v>179000</v>
      </c>
      <c r="AV349" s="10">
        <v>41100</v>
      </c>
      <c r="AW349" s="10">
        <v>7790</v>
      </c>
      <c r="AX349" s="10">
        <v>182500</v>
      </c>
      <c r="AY349" s="10">
        <v>44100</v>
      </c>
    </row>
    <row r="350" spans="1:51" x14ac:dyDescent="0.4">
      <c r="A350" s="11">
        <v>40942</v>
      </c>
      <c r="B350" s="7">
        <v>66400</v>
      </c>
      <c r="C350" s="7">
        <v>26300</v>
      </c>
      <c r="D350" s="7">
        <v>78600</v>
      </c>
      <c r="E350" s="7">
        <v>214000</v>
      </c>
      <c r="F350" s="7">
        <v>73000</v>
      </c>
      <c r="G350" s="8">
        <v>55600</v>
      </c>
      <c r="H350" s="8">
        <v>75500</v>
      </c>
      <c r="I350" s="8">
        <v>152000</v>
      </c>
      <c r="J350" s="8">
        <v>112000</v>
      </c>
      <c r="K350" s="8">
        <v>216500</v>
      </c>
      <c r="L350" s="7">
        <v>417000</v>
      </c>
      <c r="M350" s="7">
        <v>1066000</v>
      </c>
      <c r="N350" s="7">
        <v>102000</v>
      </c>
      <c r="O350" s="7">
        <v>142500</v>
      </c>
      <c r="P350" s="7">
        <v>95500</v>
      </c>
      <c r="Q350" s="8">
        <v>293000</v>
      </c>
      <c r="R350" s="8">
        <v>278500</v>
      </c>
      <c r="S350" s="8">
        <v>407000</v>
      </c>
      <c r="T350" s="8">
        <v>35600</v>
      </c>
      <c r="U350" s="8">
        <v>129500</v>
      </c>
      <c r="V350" s="7">
        <v>387500</v>
      </c>
      <c r="W350" s="7">
        <v>29937</v>
      </c>
      <c r="X350" s="7">
        <v>270500</v>
      </c>
      <c r="Y350" s="7">
        <v>27400</v>
      </c>
      <c r="Z350" s="7">
        <v>63700</v>
      </c>
      <c r="AA350" s="8">
        <v>137500</v>
      </c>
      <c r="AB350" s="8">
        <v>358500</v>
      </c>
      <c r="AC350" s="8">
        <v>13900</v>
      </c>
      <c r="AD350" s="8">
        <v>222000</v>
      </c>
      <c r="AE350" s="8">
        <v>44000</v>
      </c>
      <c r="AF350" s="7">
        <v>33700</v>
      </c>
      <c r="AG350" s="7">
        <v>86100</v>
      </c>
      <c r="AH350" s="7">
        <v>75300</v>
      </c>
      <c r="AI350" s="7">
        <v>72400</v>
      </c>
      <c r="AJ350" s="7">
        <v>29150</v>
      </c>
      <c r="AK350" s="8">
        <v>26850</v>
      </c>
      <c r="AL350" s="8">
        <v>217500</v>
      </c>
      <c r="AM350" s="8">
        <v>266500</v>
      </c>
      <c r="AN350" s="8">
        <v>28850</v>
      </c>
      <c r="AO350" s="8">
        <v>11850</v>
      </c>
      <c r="AP350" s="7">
        <v>480000</v>
      </c>
      <c r="AQ350" s="7">
        <v>406500</v>
      </c>
      <c r="AR350" s="7">
        <v>11850</v>
      </c>
      <c r="AS350" s="7">
        <v>46150</v>
      </c>
      <c r="AT350" s="7">
        <v>90700</v>
      </c>
      <c r="AU350" s="8">
        <v>177000</v>
      </c>
      <c r="AV350" s="8">
        <v>39450</v>
      </c>
      <c r="AW350" s="8">
        <v>7800</v>
      </c>
      <c r="AX350" s="8">
        <v>181000</v>
      </c>
      <c r="AY350" s="8">
        <v>43900</v>
      </c>
    </row>
    <row r="351" spans="1:51" x14ac:dyDescent="0.4">
      <c r="A351" s="11">
        <v>40941</v>
      </c>
      <c r="B351" s="7">
        <v>66700</v>
      </c>
      <c r="C351" s="7">
        <v>27300</v>
      </c>
      <c r="D351" s="7">
        <v>79000</v>
      </c>
      <c r="E351" s="7">
        <v>215000</v>
      </c>
      <c r="F351" s="7">
        <v>72400</v>
      </c>
      <c r="G351" s="8">
        <v>56400</v>
      </c>
      <c r="H351" s="8">
        <v>75500</v>
      </c>
      <c r="I351" s="8">
        <v>151500</v>
      </c>
      <c r="J351" s="8">
        <v>113500</v>
      </c>
      <c r="K351" s="8">
        <v>218000</v>
      </c>
      <c r="L351" s="7">
        <v>418500</v>
      </c>
      <c r="M351" s="7">
        <v>1080000</v>
      </c>
      <c r="N351" s="7">
        <v>106500</v>
      </c>
      <c r="O351" s="7">
        <v>144500</v>
      </c>
      <c r="P351" s="7">
        <v>96700</v>
      </c>
      <c r="Q351" s="8">
        <v>317500</v>
      </c>
      <c r="R351" s="8">
        <v>275500</v>
      </c>
      <c r="S351" s="8">
        <v>400500</v>
      </c>
      <c r="T351" s="8">
        <v>36700</v>
      </c>
      <c r="U351" s="8">
        <v>125000</v>
      </c>
      <c r="V351" s="7">
        <v>376000</v>
      </c>
      <c r="W351" s="7">
        <v>29395</v>
      </c>
      <c r="X351" s="7">
        <v>279500</v>
      </c>
      <c r="Y351" s="7">
        <v>27650</v>
      </c>
      <c r="Z351" s="7">
        <v>63300</v>
      </c>
      <c r="AA351" s="8">
        <v>141500</v>
      </c>
      <c r="AB351" s="8">
        <v>371500</v>
      </c>
      <c r="AC351" s="8">
        <v>13450</v>
      </c>
      <c r="AD351" s="8">
        <v>223500</v>
      </c>
      <c r="AE351" s="8">
        <v>44550</v>
      </c>
      <c r="AF351" s="7">
        <v>33400</v>
      </c>
      <c r="AG351" s="7">
        <v>84700</v>
      </c>
      <c r="AH351" s="7">
        <v>78100</v>
      </c>
      <c r="AI351" s="7">
        <v>71700</v>
      </c>
      <c r="AJ351" s="7">
        <v>30450</v>
      </c>
      <c r="AK351" s="8">
        <v>26700</v>
      </c>
      <c r="AL351" s="8">
        <v>210500</v>
      </c>
      <c r="AM351" s="8">
        <v>288500</v>
      </c>
      <c r="AN351" s="8">
        <v>28800</v>
      </c>
      <c r="AO351" s="8">
        <v>11900</v>
      </c>
      <c r="AP351" s="7">
        <v>479500</v>
      </c>
      <c r="AQ351" s="7">
        <v>411000</v>
      </c>
      <c r="AR351" s="7">
        <v>11600</v>
      </c>
      <c r="AS351" s="7">
        <v>45900</v>
      </c>
      <c r="AT351" s="7">
        <v>90500</v>
      </c>
      <c r="AU351" s="8">
        <v>183500</v>
      </c>
      <c r="AV351" s="8">
        <v>39700</v>
      </c>
      <c r="AW351" s="8">
        <v>7670</v>
      </c>
      <c r="AX351" s="8">
        <v>177500</v>
      </c>
      <c r="AY351" s="8">
        <v>43400</v>
      </c>
    </row>
    <row r="352" spans="1:51" x14ac:dyDescent="0.4">
      <c r="A352" s="11">
        <v>40940</v>
      </c>
      <c r="B352" s="7">
        <v>66900</v>
      </c>
      <c r="C352" s="7">
        <v>27200</v>
      </c>
      <c r="D352" s="7">
        <v>75000</v>
      </c>
      <c r="E352" s="7">
        <v>218500</v>
      </c>
      <c r="F352" s="7">
        <v>71500</v>
      </c>
      <c r="G352" s="8">
        <v>54100</v>
      </c>
      <c r="H352" s="8">
        <v>71200</v>
      </c>
      <c r="I352" s="8">
        <v>144000</v>
      </c>
      <c r="J352" s="8">
        <v>110000</v>
      </c>
      <c r="K352" s="8">
        <v>218500</v>
      </c>
      <c r="L352" s="7">
        <v>412000</v>
      </c>
      <c r="M352" s="7">
        <v>1079000</v>
      </c>
      <c r="N352" s="7">
        <v>103500</v>
      </c>
      <c r="O352" s="7">
        <v>145000</v>
      </c>
      <c r="P352" s="7">
        <v>92900</v>
      </c>
      <c r="Q352" s="8">
        <v>314000</v>
      </c>
      <c r="R352" s="8">
        <v>272000</v>
      </c>
      <c r="S352" s="8">
        <v>383500</v>
      </c>
      <c r="T352" s="8">
        <v>35650</v>
      </c>
      <c r="U352" s="8">
        <v>120500</v>
      </c>
      <c r="V352" s="7">
        <v>368500</v>
      </c>
      <c r="W352" s="7">
        <v>28903</v>
      </c>
      <c r="X352" s="7">
        <v>283000</v>
      </c>
      <c r="Y352" s="7">
        <v>27900</v>
      </c>
      <c r="Z352" s="7">
        <v>62300</v>
      </c>
      <c r="AA352" s="8">
        <v>140500</v>
      </c>
      <c r="AB352" s="8">
        <v>371000</v>
      </c>
      <c r="AC352" s="8">
        <v>12700</v>
      </c>
      <c r="AD352" s="8">
        <v>225000</v>
      </c>
      <c r="AE352" s="8">
        <v>44200</v>
      </c>
      <c r="AF352" s="7">
        <v>33300</v>
      </c>
      <c r="AG352" s="7">
        <v>84000</v>
      </c>
      <c r="AH352" s="7">
        <v>77700</v>
      </c>
      <c r="AI352" s="7">
        <v>69700</v>
      </c>
      <c r="AJ352" s="7">
        <v>30150</v>
      </c>
      <c r="AK352" s="8">
        <v>26650</v>
      </c>
      <c r="AL352" s="8">
        <v>210000</v>
      </c>
      <c r="AM352" s="8">
        <v>296000</v>
      </c>
      <c r="AN352" s="8">
        <v>28300</v>
      </c>
      <c r="AO352" s="8">
        <v>11850</v>
      </c>
      <c r="AP352" s="7">
        <v>472500</v>
      </c>
      <c r="AQ352" s="7">
        <v>388000</v>
      </c>
      <c r="AR352" s="7">
        <v>10900</v>
      </c>
      <c r="AS352" s="7">
        <v>45000</v>
      </c>
      <c r="AT352" s="7">
        <v>84300</v>
      </c>
      <c r="AU352" s="8">
        <v>187500</v>
      </c>
      <c r="AV352" s="8">
        <v>39250</v>
      </c>
      <c r="AW352" s="8">
        <v>7550</v>
      </c>
      <c r="AX352" s="8">
        <v>172000</v>
      </c>
      <c r="AY352" s="8">
        <v>42150</v>
      </c>
    </row>
    <row r="353" spans="1:51" x14ac:dyDescent="0.4">
      <c r="A353" s="11">
        <v>40939</v>
      </c>
      <c r="B353" s="7">
        <v>67500</v>
      </c>
      <c r="C353" s="7">
        <v>26850</v>
      </c>
      <c r="D353" s="7">
        <v>71600</v>
      </c>
      <c r="E353" s="7">
        <v>217500</v>
      </c>
      <c r="F353" s="7">
        <v>69300</v>
      </c>
      <c r="G353" s="8">
        <v>50900</v>
      </c>
      <c r="H353" s="8">
        <v>70400</v>
      </c>
      <c r="I353" s="8">
        <v>140500</v>
      </c>
      <c r="J353" s="8">
        <v>108500</v>
      </c>
      <c r="K353" s="8">
        <v>221000</v>
      </c>
      <c r="L353" s="7">
        <v>414500</v>
      </c>
      <c r="M353" s="7">
        <v>1107000</v>
      </c>
      <c r="N353" s="7">
        <v>99700</v>
      </c>
      <c r="O353" s="7">
        <v>139500</v>
      </c>
      <c r="P353" s="7">
        <v>92100</v>
      </c>
      <c r="Q353" s="8">
        <v>311500</v>
      </c>
      <c r="R353" s="8">
        <v>261500</v>
      </c>
      <c r="S353" s="8">
        <v>383500</v>
      </c>
      <c r="T353" s="8">
        <v>35700</v>
      </c>
      <c r="U353" s="8">
        <v>122000</v>
      </c>
      <c r="V353" s="7">
        <v>366500</v>
      </c>
      <c r="W353" s="7">
        <v>28410</v>
      </c>
      <c r="X353" s="7">
        <v>277000</v>
      </c>
      <c r="Y353" s="7">
        <v>27900</v>
      </c>
      <c r="Z353" s="7">
        <v>61300</v>
      </c>
      <c r="AA353" s="8">
        <v>142500</v>
      </c>
      <c r="AB353" s="8">
        <v>383500</v>
      </c>
      <c r="AC353" s="8">
        <v>12650</v>
      </c>
      <c r="AD353" s="8">
        <v>214500</v>
      </c>
      <c r="AE353" s="8">
        <v>43400</v>
      </c>
      <c r="AF353" s="7">
        <v>33400</v>
      </c>
      <c r="AG353" s="7">
        <v>83800</v>
      </c>
      <c r="AH353" s="7">
        <v>78600</v>
      </c>
      <c r="AI353" s="7">
        <v>67500</v>
      </c>
      <c r="AJ353" s="7">
        <v>29450</v>
      </c>
      <c r="AK353" s="8">
        <v>26350</v>
      </c>
      <c r="AL353" s="8">
        <v>212000</v>
      </c>
      <c r="AM353" s="8">
        <v>294500</v>
      </c>
      <c r="AN353" s="8">
        <v>27850</v>
      </c>
      <c r="AO353" s="8">
        <v>11850</v>
      </c>
      <c r="AP353" s="7">
        <v>478000</v>
      </c>
      <c r="AQ353" s="7">
        <v>374000</v>
      </c>
      <c r="AR353" s="7">
        <v>11100</v>
      </c>
      <c r="AS353" s="7">
        <v>44750</v>
      </c>
      <c r="AT353" s="7">
        <v>82700</v>
      </c>
      <c r="AU353" s="8">
        <v>192500</v>
      </c>
      <c r="AV353" s="8">
        <v>38400</v>
      </c>
      <c r="AW353" s="8">
        <v>7690</v>
      </c>
      <c r="AX353" s="8">
        <v>170000</v>
      </c>
      <c r="AY353" s="8">
        <v>42600</v>
      </c>
    </row>
    <row r="354" spans="1:51" x14ac:dyDescent="0.4">
      <c r="A354" s="12">
        <v>40938</v>
      </c>
      <c r="B354" s="9">
        <v>66500</v>
      </c>
      <c r="C354" s="9">
        <v>26250</v>
      </c>
      <c r="D354" s="9">
        <v>72000</v>
      </c>
      <c r="E354" s="9">
        <v>211500</v>
      </c>
      <c r="F354" s="9">
        <v>69200</v>
      </c>
      <c r="G354" s="10">
        <v>50600</v>
      </c>
      <c r="H354" s="10">
        <v>72000</v>
      </c>
      <c r="I354" s="10">
        <v>140500</v>
      </c>
      <c r="J354" s="10">
        <v>107500</v>
      </c>
      <c r="K354" s="10">
        <v>216000</v>
      </c>
      <c r="L354" s="9">
        <v>416500</v>
      </c>
      <c r="M354" s="9">
        <v>1115000</v>
      </c>
      <c r="N354" s="9">
        <v>98800</v>
      </c>
      <c r="O354" s="9">
        <v>140500</v>
      </c>
      <c r="P354" s="9">
        <v>91000</v>
      </c>
      <c r="Q354" s="10">
        <v>299500</v>
      </c>
      <c r="R354" s="10">
        <v>258000</v>
      </c>
      <c r="S354" s="10">
        <v>368500</v>
      </c>
      <c r="T354" s="10">
        <v>33950</v>
      </c>
      <c r="U354" s="10">
        <v>123000</v>
      </c>
      <c r="V354" s="9">
        <v>353000</v>
      </c>
      <c r="W354" s="9">
        <v>28706</v>
      </c>
      <c r="X354" s="9">
        <v>280000</v>
      </c>
      <c r="Y354" s="9">
        <v>27250</v>
      </c>
      <c r="Z354" s="9">
        <v>60900</v>
      </c>
      <c r="AA354" s="10">
        <v>142000</v>
      </c>
      <c r="AB354" s="10">
        <v>379500</v>
      </c>
      <c r="AC354" s="10">
        <v>12550</v>
      </c>
      <c r="AD354" s="10">
        <v>205500</v>
      </c>
      <c r="AE354" s="10">
        <v>42450</v>
      </c>
      <c r="AF354" s="9">
        <v>33700</v>
      </c>
      <c r="AG354" s="9">
        <v>84700</v>
      </c>
      <c r="AH354" s="9">
        <v>76700</v>
      </c>
      <c r="AI354" s="9">
        <v>66800</v>
      </c>
      <c r="AJ354" s="9">
        <v>29300</v>
      </c>
      <c r="AK354" s="10">
        <v>26200</v>
      </c>
      <c r="AL354" s="10">
        <v>211000</v>
      </c>
      <c r="AM354" s="10">
        <v>294000</v>
      </c>
      <c r="AN354" s="10">
        <v>26150</v>
      </c>
      <c r="AO354" s="10">
        <v>11750</v>
      </c>
      <c r="AP354" s="9">
        <v>464500</v>
      </c>
      <c r="AQ354" s="9">
        <v>365000</v>
      </c>
      <c r="AR354" s="9">
        <v>11100</v>
      </c>
      <c r="AS354" s="9">
        <v>45350</v>
      </c>
      <c r="AT354" s="9">
        <v>82500</v>
      </c>
      <c r="AU354" s="10">
        <v>190000</v>
      </c>
      <c r="AV354" s="10">
        <v>39500</v>
      </c>
      <c r="AW354" s="10">
        <v>7550</v>
      </c>
      <c r="AX354" s="10">
        <v>166500</v>
      </c>
      <c r="AY354" s="10">
        <v>42800</v>
      </c>
    </row>
    <row r="355" spans="1:51" x14ac:dyDescent="0.4">
      <c r="A355" s="11">
        <v>40935</v>
      </c>
      <c r="B355" s="7">
        <v>67100</v>
      </c>
      <c r="C355" s="7">
        <v>26000</v>
      </c>
      <c r="D355" s="7">
        <v>74000</v>
      </c>
      <c r="E355" s="7">
        <v>215000</v>
      </c>
      <c r="F355" s="7">
        <v>70900</v>
      </c>
      <c r="G355" s="8">
        <v>50300</v>
      </c>
      <c r="H355" s="8">
        <v>71800</v>
      </c>
      <c r="I355" s="8">
        <v>147000</v>
      </c>
      <c r="J355" s="8">
        <v>110500</v>
      </c>
      <c r="K355" s="8">
        <v>221000</v>
      </c>
      <c r="L355" s="7">
        <v>423500</v>
      </c>
      <c r="M355" s="7">
        <v>1125000</v>
      </c>
      <c r="N355" s="7">
        <v>101000</v>
      </c>
      <c r="O355" s="7">
        <v>144500</v>
      </c>
      <c r="P355" s="7">
        <v>91000</v>
      </c>
      <c r="Q355" s="8">
        <v>307000</v>
      </c>
      <c r="R355" s="8">
        <v>263500</v>
      </c>
      <c r="S355" s="8">
        <v>385000</v>
      </c>
      <c r="T355" s="8">
        <v>34350</v>
      </c>
      <c r="U355" s="8">
        <v>122500</v>
      </c>
      <c r="V355" s="7">
        <v>360500</v>
      </c>
      <c r="W355" s="7">
        <v>28312</v>
      </c>
      <c r="X355" s="7">
        <v>303000</v>
      </c>
      <c r="Y355" s="7">
        <v>27000</v>
      </c>
      <c r="Z355" s="7">
        <v>60100</v>
      </c>
      <c r="AA355" s="8">
        <v>143000</v>
      </c>
      <c r="AB355" s="8">
        <v>386500</v>
      </c>
      <c r="AC355" s="8">
        <v>12650</v>
      </c>
      <c r="AD355" s="8">
        <v>215000</v>
      </c>
      <c r="AE355" s="8">
        <v>42500</v>
      </c>
      <c r="AF355" s="7">
        <v>33750</v>
      </c>
      <c r="AG355" s="7">
        <v>85200</v>
      </c>
      <c r="AH355" s="7">
        <v>74600</v>
      </c>
      <c r="AI355" s="7">
        <v>67700</v>
      </c>
      <c r="AJ355" s="7">
        <v>28550</v>
      </c>
      <c r="AK355" s="8">
        <v>26250</v>
      </c>
      <c r="AL355" s="8">
        <v>216500</v>
      </c>
      <c r="AM355" s="8">
        <v>295500</v>
      </c>
      <c r="AN355" s="8">
        <v>26250</v>
      </c>
      <c r="AO355" s="8">
        <v>11800</v>
      </c>
      <c r="AP355" s="7">
        <v>480000</v>
      </c>
      <c r="AQ355" s="7">
        <v>382000</v>
      </c>
      <c r="AR355" s="7">
        <v>11000</v>
      </c>
      <c r="AS355" s="7">
        <v>45000</v>
      </c>
      <c r="AT355" s="7">
        <v>81500</v>
      </c>
      <c r="AU355" s="8">
        <v>194000</v>
      </c>
      <c r="AV355" s="8">
        <v>39950</v>
      </c>
      <c r="AW355" s="8">
        <v>7830</v>
      </c>
      <c r="AX355" s="8">
        <v>172000</v>
      </c>
      <c r="AY355" s="8">
        <v>42450</v>
      </c>
    </row>
    <row r="356" spans="1:51" x14ac:dyDescent="0.4">
      <c r="A356" s="11">
        <v>40934</v>
      </c>
      <c r="B356" s="7">
        <v>69000</v>
      </c>
      <c r="C356" s="7">
        <v>27050</v>
      </c>
      <c r="D356" s="7">
        <v>73300</v>
      </c>
      <c r="E356" s="7">
        <v>213000</v>
      </c>
      <c r="F356" s="7">
        <v>70500</v>
      </c>
      <c r="G356" s="8">
        <v>48600</v>
      </c>
      <c r="H356" s="8">
        <v>69900</v>
      </c>
      <c r="I356" s="8">
        <v>143500</v>
      </c>
      <c r="J356" s="8">
        <v>109500</v>
      </c>
      <c r="K356" s="8">
        <v>229000</v>
      </c>
      <c r="L356" s="7">
        <v>416500</v>
      </c>
      <c r="M356" s="7">
        <v>1113000</v>
      </c>
      <c r="N356" s="7">
        <v>99200</v>
      </c>
      <c r="O356" s="7">
        <v>144500</v>
      </c>
      <c r="P356" s="7">
        <v>89600</v>
      </c>
      <c r="Q356" s="8">
        <v>307500</v>
      </c>
      <c r="R356" s="8">
        <v>252500</v>
      </c>
      <c r="S356" s="8">
        <v>382500</v>
      </c>
      <c r="T356" s="8">
        <v>34900</v>
      </c>
      <c r="U356" s="8">
        <v>122000</v>
      </c>
      <c r="V356" s="7">
        <v>362500</v>
      </c>
      <c r="W356" s="7">
        <v>29050</v>
      </c>
      <c r="X356" s="7">
        <v>308000</v>
      </c>
      <c r="Y356" s="7">
        <v>27200</v>
      </c>
      <c r="Z356" s="7">
        <v>56800</v>
      </c>
      <c r="AA356" s="8">
        <v>143000</v>
      </c>
      <c r="AB356" s="8">
        <v>384000</v>
      </c>
      <c r="AC356" s="8">
        <v>12250</v>
      </c>
      <c r="AD356" s="8">
        <v>216500</v>
      </c>
      <c r="AE356" s="8">
        <v>42000</v>
      </c>
      <c r="AF356" s="7">
        <v>34000</v>
      </c>
      <c r="AG356" s="7">
        <v>84900</v>
      </c>
      <c r="AH356" s="7">
        <v>73200</v>
      </c>
      <c r="AI356" s="7">
        <v>67900</v>
      </c>
      <c r="AJ356" s="7">
        <v>28000</v>
      </c>
      <c r="AK356" s="8">
        <v>26450</v>
      </c>
      <c r="AL356" s="8">
        <v>220000</v>
      </c>
      <c r="AM356" s="8">
        <v>288000</v>
      </c>
      <c r="AN356" s="8">
        <v>27100</v>
      </c>
      <c r="AO356" s="8">
        <v>11700</v>
      </c>
      <c r="AP356" s="7">
        <v>495000</v>
      </c>
      <c r="AQ356" s="7">
        <v>378000</v>
      </c>
      <c r="AR356" s="7">
        <v>10600</v>
      </c>
      <c r="AS356" s="7">
        <v>44300</v>
      </c>
      <c r="AT356" s="7">
        <v>77500</v>
      </c>
      <c r="AU356" s="8">
        <v>201000</v>
      </c>
      <c r="AV356" s="8">
        <v>38500</v>
      </c>
      <c r="AW356" s="8">
        <v>7820</v>
      </c>
      <c r="AX356" s="8">
        <v>171500</v>
      </c>
      <c r="AY356" s="8">
        <v>41300</v>
      </c>
    </row>
    <row r="357" spans="1:51" x14ac:dyDescent="0.4">
      <c r="A357" s="11">
        <v>40933</v>
      </c>
      <c r="B357" s="7">
        <v>68500</v>
      </c>
      <c r="C357" s="7">
        <v>27450</v>
      </c>
      <c r="D357" s="7">
        <v>73000</v>
      </c>
      <c r="E357" s="7">
        <v>213000</v>
      </c>
      <c r="F357" s="7">
        <v>69100</v>
      </c>
      <c r="G357" s="8">
        <v>47300</v>
      </c>
      <c r="H357" s="8">
        <v>67800</v>
      </c>
      <c r="I357" s="8">
        <v>137500</v>
      </c>
      <c r="J357" s="8">
        <v>109000</v>
      </c>
      <c r="K357" s="8">
        <v>234000</v>
      </c>
      <c r="L357" s="7">
        <v>421500</v>
      </c>
      <c r="M357" s="7">
        <v>1114000</v>
      </c>
      <c r="N357" s="7">
        <v>100000</v>
      </c>
      <c r="O357" s="7">
        <v>141500</v>
      </c>
      <c r="P357" s="7">
        <v>88100</v>
      </c>
      <c r="Q357" s="8">
        <v>317500</v>
      </c>
      <c r="R357" s="8">
        <v>243500</v>
      </c>
      <c r="S357" s="8">
        <v>370000</v>
      </c>
      <c r="T357" s="8">
        <v>35000</v>
      </c>
      <c r="U357" s="8">
        <v>118500</v>
      </c>
      <c r="V357" s="7">
        <v>362500</v>
      </c>
      <c r="W357" s="7">
        <v>28903</v>
      </c>
      <c r="X357" s="7">
        <v>310000</v>
      </c>
      <c r="Y357" s="7">
        <v>27050</v>
      </c>
      <c r="Z357" s="7">
        <v>56600</v>
      </c>
      <c r="AA357" s="8">
        <v>142000</v>
      </c>
      <c r="AB357" s="8">
        <v>375500</v>
      </c>
      <c r="AC357" s="8">
        <v>12250</v>
      </c>
      <c r="AD357" s="8">
        <v>221500</v>
      </c>
      <c r="AE357" s="8">
        <v>41500</v>
      </c>
      <c r="AF357" s="7">
        <v>33800</v>
      </c>
      <c r="AG357" s="7">
        <v>84800</v>
      </c>
      <c r="AH357" s="7">
        <v>72800</v>
      </c>
      <c r="AI357" s="7">
        <v>67000</v>
      </c>
      <c r="AJ357" s="7">
        <v>28550</v>
      </c>
      <c r="AK357" s="8">
        <v>26150</v>
      </c>
      <c r="AL357" s="8">
        <v>217000</v>
      </c>
      <c r="AM357" s="8">
        <v>282500</v>
      </c>
      <c r="AN357" s="8">
        <v>26700</v>
      </c>
      <c r="AO357" s="8">
        <v>11750</v>
      </c>
      <c r="AP357" s="7">
        <v>507000</v>
      </c>
      <c r="AQ357" s="7">
        <v>377500</v>
      </c>
      <c r="AR357" s="7">
        <v>10550</v>
      </c>
      <c r="AS357" s="7">
        <v>43650</v>
      </c>
      <c r="AT357" s="7">
        <v>77100</v>
      </c>
      <c r="AU357" s="8">
        <v>203500</v>
      </c>
      <c r="AV357" s="8">
        <v>38100</v>
      </c>
      <c r="AW357" s="8">
        <v>7780</v>
      </c>
      <c r="AX357" s="8">
        <v>168000</v>
      </c>
      <c r="AY357" s="8">
        <v>41200</v>
      </c>
    </row>
    <row r="358" spans="1:51" x14ac:dyDescent="0.4">
      <c r="A358" s="11">
        <v>40928</v>
      </c>
      <c r="B358" s="7">
        <v>67300</v>
      </c>
      <c r="C358" s="7">
        <v>26950</v>
      </c>
      <c r="D358" s="7">
        <v>71500</v>
      </c>
      <c r="E358" s="7">
        <v>203500</v>
      </c>
      <c r="F358" s="7">
        <v>69700</v>
      </c>
      <c r="G358" s="8">
        <v>47550</v>
      </c>
      <c r="H358" s="8">
        <v>68600</v>
      </c>
      <c r="I358" s="8">
        <v>138500</v>
      </c>
      <c r="J358" s="8">
        <v>109000</v>
      </c>
      <c r="K358" s="8">
        <v>232000</v>
      </c>
      <c r="L358" s="7">
        <v>414500</v>
      </c>
      <c r="M358" s="7">
        <v>1105000</v>
      </c>
      <c r="N358" s="7">
        <v>99800</v>
      </c>
      <c r="O358" s="7">
        <v>138500</v>
      </c>
      <c r="P358" s="7">
        <v>88500</v>
      </c>
      <c r="Q358" s="8">
        <v>317000</v>
      </c>
      <c r="R358" s="8">
        <v>251000</v>
      </c>
      <c r="S358" s="8">
        <v>371000</v>
      </c>
      <c r="T358" s="8">
        <v>35500</v>
      </c>
      <c r="U358" s="8">
        <v>119000</v>
      </c>
      <c r="V358" s="7">
        <v>367000</v>
      </c>
      <c r="W358" s="7">
        <v>28312</v>
      </c>
      <c r="X358" s="7">
        <v>311000</v>
      </c>
      <c r="Y358" s="7">
        <v>26750</v>
      </c>
      <c r="Z358" s="7">
        <v>57500</v>
      </c>
      <c r="AA358" s="8">
        <v>136500</v>
      </c>
      <c r="AB358" s="8">
        <v>370000</v>
      </c>
      <c r="AC358" s="8">
        <v>12400</v>
      </c>
      <c r="AD358" s="8">
        <v>218000</v>
      </c>
      <c r="AE358" s="8">
        <v>41100</v>
      </c>
      <c r="AF358" s="7">
        <v>33600</v>
      </c>
      <c r="AG358" s="7">
        <v>83600</v>
      </c>
      <c r="AH358" s="7">
        <v>73700</v>
      </c>
      <c r="AI358" s="7">
        <v>68500</v>
      </c>
      <c r="AJ358" s="7">
        <v>28600</v>
      </c>
      <c r="AK358" s="8">
        <v>26300</v>
      </c>
      <c r="AL358" s="8">
        <v>223500</v>
      </c>
      <c r="AM358" s="8">
        <v>290500</v>
      </c>
      <c r="AN358" s="8">
        <v>27650</v>
      </c>
      <c r="AO358" s="8">
        <v>11650</v>
      </c>
      <c r="AP358" s="7">
        <v>512000</v>
      </c>
      <c r="AQ358" s="7">
        <v>384000</v>
      </c>
      <c r="AR358" s="7">
        <v>10750</v>
      </c>
      <c r="AS358" s="7">
        <v>44050</v>
      </c>
      <c r="AT358" s="7">
        <v>74100</v>
      </c>
      <c r="AU358" s="8">
        <v>209000</v>
      </c>
      <c r="AV358" s="8">
        <v>37950</v>
      </c>
      <c r="AW358" s="8">
        <v>7720</v>
      </c>
      <c r="AX358" s="8">
        <v>167500</v>
      </c>
      <c r="AY358" s="8">
        <v>42000</v>
      </c>
    </row>
    <row r="359" spans="1:51" x14ac:dyDescent="0.4">
      <c r="A359" s="12">
        <v>40927</v>
      </c>
      <c r="B359" s="9">
        <v>67500</v>
      </c>
      <c r="C359" s="9">
        <v>26300</v>
      </c>
      <c r="D359" s="9">
        <v>70800</v>
      </c>
      <c r="E359" s="9">
        <v>206000</v>
      </c>
      <c r="F359" s="9">
        <v>68900</v>
      </c>
      <c r="G359" s="10">
        <v>47100</v>
      </c>
      <c r="H359" s="10">
        <v>67300</v>
      </c>
      <c r="I359" s="10">
        <v>134000</v>
      </c>
      <c r="J359" s="10">
        <v>106500</v>
      </c>
      <c r="K359" s="10">
        <v>227500</v>
      </c>
      <c r="L359" s="9">
        <v>407000</v>
      </c>
      <c r="M359" s="9">
        <v>1072000</v>
      </c>
      <c r="N359" s="9">
        <v>99200</v>
      </c>
      <c r="O359" s="9">
        <v>135500</v>
      </c>
      <c r="P359" s="9">
        <v>86400</v>
      </c>
      <c r="Q359" s="10">
        <v>303500</v>
      </c>
      <c r="R359" s="10">
        <v>257000</v>
      </c>
      <c r="S359" s="10">
        <v>360000</v>
      </c>
      <c r="T359" s="10">
        <v>34600</v>
      </c>
      <c r="U359" s="10">
        <v>115500</v>
      </c>
      <c r="V359" s="9">
        <v>344000</v>
      </c>
      <c r="W359" s="9">
        <v>27623</v>
      </c>
      <c r="X359" s="9">
        <v>308000</v>
      </c>
      <c r="Y359" s="9">
        <v>26700</v>
      </c>
      <c r="Z359" s="9">
        <v>55600</v>
      </c>
      <c r="AA359" s="10">
        <v>137500</v>
      </c>
      <c r="AB359" s="10">
        <v>371000</v>
      </c>
      <c r="AC359" s="10">
        <v>12350</v>
      </c>
      <c r="AD359" s="10">
        <v>219000</v>
      </c>
      <c r="AE359" s="10">
        <v>40850</v>
      </c>
      <c r="AF359" s="9">
        <v>33750</v>
      </c>
      <c r="AG359" s="9">
        <v>81800</v>
      </c>
      <c r="AH359" s="9">
        <v>72100</v>
      </c>
      <c r="AI359" s="9">
        <v>67700</v>
      </c>
      <c r="AJ359" s="9">
        <v>27350</v>
      </c>
      <c r="AK359" s="10">
        <v>25900</v>
      </c>
      <c r="AL359" s="10">
        <v>229500</v>
      </c>
      <c r="AM359" s="10">
        <v>282000</v>
      </c>
      <c r="AN359" s="10">
        <v>26950</v>
      </c>
      <c r="AO359" s="10">
        <v>11450</v>
      </c>
      <c r="AP359" s="9">
        <v>504000</v>
      </c>
      <c r="AQ359" s="9">
        <v>378500</v>
      </c>
      <c r="AR359" s="9">
        <v>10450</v>
      </c>
      <c r="AS359" s="9">
        <v>42950</v>
      </c>
      <c r="AT359" s="9">
        <v>72800</v>
      </c>
      <c r="AU359" s="10">
        <v>202500</v>
      </c>
      <c r="AV359" s="10">
        <v>36800</v>
      </c>
      <c r="AW359" s="10">
        <v>7620</v>
      </c>
      <c r="AX359" s="10">
        <v>157000</v>
      </c>
      <c r="AY359" s="10">
        <v>40150</v>
      </c>
    </row>
    <row r="360" spans="1:51" x14ac:dyDescent="0.4">
      <c r="A360" s="11">
        <v>40926</v>
      </c>
      <c r="B360" s="7">
        <v>66800</v>
      </c>
      <c r="C360" s="7">
        <v>25250</v>
      </c>
      <c r="D360" s="7">
        <v>72500</v>
      </c>
      <c r="E360" s="7">
        <v>207000</v>
      </c>
      <c r="F360" s="7">
        <v>66800</v>
      </c>
      <c r="G360" s="8">
        <v>46450</v>
      </c>
      <c r="H360" s="8">
        <v>67400</v>
      </c>
      <c r="I360" s="8">
        <v>131000</v>
      </c>
      <c r="J360" s="8">
        <v>106500</v>
      </c>
      <c r="K360" s="8">
        <v>226000</v>
      </c>
      <c r="L360" s="7">
        <v>396000</v>
      </c>
      <c r="M360" s="7">
        <v>1030000</v>
      </c>
      <c r="N360" s="7">
        <v>97100</v>
      </c>
      <c r="O360" s="7">
        <v>129000</v>
      </c>
      <c r="P360" s="7">
        <v>83000</v>
      </c>
      <c r="Q360" s="8">
        <v>307000</v>
      </c>
      <c r="R360" s="8">
        <v>260000</v>
      </c>
      <c r="S360" s="8">
        <v>360000</v>
      </c>
      <c r="T360" s="8">
        <v>34450</v>
      </c>
      <c r="U360" s="8">
        <v>116000</v>
      </c>
      <c r="V360" s="7">
        <v>346500</v>
      </c>
      <c r="W360" s="7">
        <v>27426</v>
      </c>
      <c r="X360" s="7">
        <v>318000</v>
      </c>
      <c r="Y360" s="7">
        <v>26550</v>
      </c>
      <c r="Z360" s="7">
        <v>55000</v>
      </c>
      <c r="AA360" s="8">
        <v>137500</v>
      </c>
      <c r="AB360" s="8">
        <v>371000</v>
      </c>
      <c r="AC360" s="8">
        <v>12100</v>
      </c>
      <c r="AD360" s="8">
        <v>210000</v>
      </c>
      <c r="AE360" s="8">
        <v>40150</v>
      </c>
      <c r="AF360" s="7">
        <v>33450</v>
      </c>
      <c r="AG360" s="7">
        <v>81900</v>
      </c>
      <c r="AH360" s="7">
        <v>74000</v>
      </c>
      <c r="AI360" s="7">
        <v>65900</v>
      </c>
      <c r="AJ360" s="7">
        <v>26600</v>
      </c>
      <c r="AK360" s="8">
        <v>25900</v>
      </c>
      <c r="AL360" s="8">
        <v>227500</v>
      </c>
      <c r="AM360" s="8">
        <v>280000</v>
      </c>
      <c r="AN360" s="8">
        <v>27700</v>
      </c>
      <c r="AO360" s="8">
        <v>11350</v>
      </c>
      <c r="AP360" s="7">
        <v>503000</v>
      </c>
      <c r="AQ360" s="7">
        <v>367500</v>
      </c>
      <c r="AR360" s="7">
        <v>10350</v>
      </c>
      <c r="AS360" s="7">
        <v>42100</v>
      </c>
      <c r="AT360" s="7">
        <v>72700</v>
      </c>
      <c r="AU360" s="8">
        <v>194000</v>
      </c>
      <c r="AV360" s="8">
        <v>37250</v>
      </c>
      <c r="AW360" s="8">
        <v>7590</v>
      </c>
      <c r="AX360" s="8">
        <v>156500</v>
      </c>
      <c r="AY360" s="8">
        <v>39800</v>
      </c>
    </row>
    <row r="361" spans="1:51" x14ac:dyDescent="0.4">
      <c r="A361" s="11">
        <v>40925</v>
      </c>
      <c r="B361" s="7">
        <v>68800</v>
      </c>
      <c r="C361" s="7">
        <v>25550</v>
      </c>
      <c r="D361" s="7">
        <v>72300</v>
      </c>
      <c r="E361" s="7">
        <v>209500</v>
      </c>
      <c r="F361" s="7">
        <v>66900</v>
      </c>
      <c r="G361" s="8">
        <v>47000</v>
      </c>
      <c r="H361" s="8">
        <v>68100</v>
      </c>
      <c r="I361" s="8">
        <v>134500</v>
      </c>
      <c r="J361" s="8">
        <v>105000</v>
      </c>
      <c r="K361" s="8">
        <v>231000</v>
      </c>
      <c r="L361" s="7">
        <v>394000</v>
      </c>
      <c r="M361" s="7">
        <v>1036000</v>
      </c>
      <c r="N361" s="7">
        <v>95200</v>
      </c>
      <c r="O361" s="7">
        <v>128500</v>
      </c>
      <c r="P361" s="7">
        <v>84400</v>
      </c>
      <c r="Q361" s="8">
        <v>297500</v>
      </c>
      <c r="R361" s="8">
        <v>254500</v>
      </c>
      <c r="S361" s="8">
        <v>350500</v>
      </c>
      <c r="T361" s="8">
        <v>33850</v>
      </c>
      <c r="U361" s="8">
        <v>115000</v>
      </c>
      <c r="V361" s="7">
        <v>341000</v>
      </c>
      <c r="W361" s="7">
        <v>26589</v>
      </c>
      <c r="X361" s="7">
        <v>323000</v>
      </c>
      <c r="Y361" s="7">
        <v>26350</v>
      </c>
      <c r="Z361" s="7">
        <v>54600</v>
      </c>
      <c r="AA361" s="8">
        <v>134500</v>
      </c>
      <c r="AB361" s="8">
        <v>370500</v>
      </c>
      <c r="AC361" s="8">
        <v>11950</v>
      </c>
      <c r="AD361" s="8">
        <v>204000</v>
      </c>
      <c r="AE361" s="8">
        <v>40200</v>
      </c>
      <c r="AF361" s="7">
        <v>33350</v>
      </c>
      <c r="AG361" s="7">
        <v>81300</v>
      </c>
      <c r="AH361" s="7">
        <v>74900</v>
      </c>
      <c r="AI361" s="7">
        <v>65200</v>
      </c>
      <c r="AJ361" s="7">
        <v>26900</v>
      </c>
      <c r="AK361" s="8">
        <v>26600</v>
      </c>
      <c r="AL361" s="8">
        <v>224000</v>
      </c>
      <c r="AM361" s="8">
        <v>282000</v>
      </c>
      <c r="AN361" s="8">
        <v>27200</v>
      </c>
      <c r="AO361" s="8">
        <v>11500</v>
      </c>
      <c r="AP361" s="7">
        <v>494000</v>
      </c>
      <c r="AQ361" s="7">
        <v>358500</v>
      </c>
      <c r="AR361" s="7">
        <v>10350</v>
      </c>
      <c r="AS361" s="7">
        <v>41650</v>
      </c>
      <c r="AT361" s="7">
        <v>73800</v>
      </c>
      <c r="AU361" s="8">
        <v>190000</v>
      </c>
      <c r="AV361" s="8">
        <v>36450</v>
      </c>
      <c r="AW361" s="8">
        <v>7550</v>
      </c>
      <c r="AX361" s="8">
        <v>159000</v>
      </c>
      <c r="AY361" s="8">
        <v>39650</v>
      </c>
    </row>
    <row r="362" spans="1:51" x14ac:dyDescent="0.4">
      <c r="A362" s="11">
        <v>40924</v>
      </c>
      <c r="B362" s="7">
        <v>68100</v>
      </c>
      <c r="C362" s="7">
        <v>25400</v>
      </c>
      <c r="D362" s="7">
        <v>68800</v>
      </c>
      <c r="E362" s="7">
        <v>207000</v>
      </c>
      <c r="F362" s="7">
        <v>65100</v>
      </c>
      <c r="G362" s="8">
        <v>45050</v>
      </c>
      <c r="H362" s="8">
        <v>67700</v>
      </c>
      <c r="I362" s="8">
        <v>131500</v>
      </c>
      <c r="J362" s="8">
        <v>100500</v>
      </c>
      <c r="K362" s="8">
        <v>226000</v>
      </c>
      <c r="L362" s="7">
        <v>385500</v>
      </c>
      <c r="M362" s="7">
        <v>1030000</v>
      </c>
      <c r="N362" s="7">
        <v>92400</v>
      </c>
      <c r="O362" s="7">
        <v>129500</v>
      </c>
      <c r="P362" s="7">
        <v>83100</v>
      </c>
      <c r="Q362" s="8">
        <v>287000</v>
      </c>
      <c r="R362" s="8">
        <v>252500</v>
      </c>
      <c r="S362" s="8">
        <v>346500</v>
      </c>
      <c r="T362" s="8">
        <v>33700</v>
      </c>
      <c r="U362" s="8">
        <v>112000</v>
      </c>
      <c r="V362" s="7">
        <v>326500</v>
      </c>
      <c r="W362" s="7">
        <v>25998</v>
      </c>
      <c r="X362" s="7">
        <v>319000</v>
      </c>
      <c r="Y362" s="7">
        <v>26100</v>
      </c>
      <c r="Z362" s="7">
        <v>50600</v>
      </c>
      <c r="AA362" s="8">
        <v>137000</v>
      </c>
      <c r="AB362" s="8">
        <v>350000</v>
      </c>
      <c r="AC362" s="8">
        <v>11650</v>
      </c>
      <c r="AD362" s="8">
        <v>203500</v>
      </c>
      <c r="AE362" s="8">
        <v>40000</v>
      </c>
      <c r="AF362" s="7">
        <v>33200</v>
      </c>
      <c r="AG362" s="7">
        <v>80100</v>
      </c>
      <c r="AH362" s="7">
        <v>74900</v>
      </c>
      <c r="AI362" s="7">
        <v>65100</v>
      </c>
      <c r="AJ362" s="7">
        <v>26500</v>
      </c>
      <c r="AK362" s="8">
        <v>26400</v>
      </c>
      <c r="AL362" s="8">
        <v>220000</v>
      </c>
      <c r="AM362" s="8">
        <v>283000</v>
      </c>
      <c r="AN362" s="8">
        <v>25800</v>
      </c>
      <c r="AO362" s="8">
        <v>10850</v>
      </c>
      <c r="AP362" s="7">
        <v>484500</v>
      </c>
      <c r="AQ362" s="7">
        <v>348500</v>
      </c>
      <c r="AR362" s="7">
        <v>9680</v>
      </c>
      <c r="AS362" s="7">
        <v>38800</v>
      </c>
      <c r="AT362" s="7">
        <v>75000</v>
      </c>
      <c r="AU362" s="8">
        <v>190500</v>
      </c>
      <c r="AV362" s="8">
        <v>34400</v>
      </c>
      <c r="AW362" s="8">
        <v>7310</v>
      </c>
      <c r="AX362" s="8">
        <v>156000</v>
      </c>
      <c r="AY362" s="8">
        <v>37650</v>
      </c>
    </row>
    <row r="363" spans="1:51" x14ac:dyDescent="0.4">
      <c r="A363" s="11">
        <v>40921</v>
      </c>
      <c r="B363" s="7">
        <v>68600</v>
      </c>
      <c r="C363" s="7">
        <v>25150</v>
      </c>
      <c r="D363" s="7">
        <v>69900</v>
      </c>
      <c r="E363" s="7">
        <v>207500</v>
      </c>
      <c r="F363" s="7">
        <v>66500</v>
      </c>
      <c r="G363" s="8">
        <v>44500</v>
      </c>
      <c r="H363" s="8">
        <v>67300</v>
      </c>
      <c r="I363" s="8">
        <v>133000</v>
      </c>
      <c r="J363" s="8">
        <v>101000</v>
      </c>
      <c r="K363" s="8">
        <v>227500</v>
      </c>
      <c r="L363" s="7">
        <v>393500</v>
      </c>
      <c r="M363" s="7">
        <v>1046000</v>
      </c>
      <c r="N363" s="7">
        <v>95500</v>
      </c>
      <c r="O363" s="7">
        <v>131000</v>
      </c>
      <c r="P363" s="7">
        <v>83900</v>
      </c>
      <c r="Q363" s="8">
        <v>289000</v>
      </c>
      <c r="R363" s="8">
        <v>256500</v>
      </c>
      <c r="S363" s="8">
        <v>350000</v>
      </c>
      <c r="T363" s="8">
        <v>32550</v>
      </c>
      <c r="U363" s="8">
        <v>113000</v>
      </c>
      <c r="V363" s="7">
        <v>324500</v>
      </c>
      <c r="W363" s="7">
        <v>24914</v>
      </c>
      <c r="X363" s="7">
        <v>320000</v>
      </c>
      <c r="Y363" s="7">
        <v>26750</v>
      </c>
      <c r="Z363" s="7">
        <v>51100</v>
      </c>
      <c r="AA363" s="8">
        <v>137500</v>
      </c>
      <c r="AB363" s="8">
        <v>351500</v>
      </c>
      <c r="AC363" s="8">
        <v>11700</v>
      </c>
      <c r="AD363" s="8">
        <v>207000</v>
      </c>
      <c r="AE363" s="8">
        <v>40100</v>
      </c>
      <c r="AF363" s="7">
        <v>33700</v>
      </c>
      <c r="AG363" s="7">
        <v>80700</v>
      </c>
      <c r="AH363" s="7">
        <v>75600</v>
      </c>
      <c r="AI363" s="7">
        <v>66900</v>
      </c>
      <c r="AJ363" s="7">
        <v>26850</v>
      </c>
      <c r="AK363" s="8">
        <v>26450</v>
      </c>
      <c r="AL363" s="8">
        <v>222000</v>
      </c>
      <c r="AM363" s="8">
        <v>284500</v>
      </c>
      <c r="AN363" s="8">
        <v>25400</v>
      </c>
      <c r="AO363" s="8">
        <v>11300</v>
      </c>
      <c r="AP363" s="7">
        <v>474000</v>
      </c>
      <c r="AQ363" s="7">
        <v>344000</v>
      </c>
      <c r="AR363" s="7">
        <v>9770</v>
      </c>
      <c r="AS363" s="7">
        <v>39650</v>
      </c>
      <c r="AT363" s="7">
        <v>76500</v>
      </c>
      <c r="AU363" s="8">
        <v>195000</v>
      </c>
      <c r="AV363" s="8">
        <v>34200</v>
      </c>
      <c r="AW363" s="8">
        <v>7550</v>
      </c>
      <c r="AX363" s="8">
        <v>157000</v>
      </c>
      <c r="AY363" s="8">
        <v>37800</v>
      </c>
    </row>
    <row r="364" spans="1:51" x14ac:dyDescent="0.4">
      <c r="A364" s="12">
        <v>40920</v>
      </c>
      <c r="B364" s="9">
        <v>68600</v>
      </c>
      <c r="C364" s="9">
        <v>24150</v>
      </c>
      <c r="D364" s="9">
        <v>70100</v>
      </c>
      <c r="E364" s="9">
        <v>207500</v>
      </c>
      <c r="F364" s="9">
        <v>67300</v>
      </c>
      <c r="G364" s="10">
        <v>42850</v>
      </c>
      <c r="H364" s="10">
        <v>66200</v>
      </c>
      <c r="I364" s="10">
        <v>133000</v>
      </c>
      <c r="J364" s="10">
        <v>101500</v>
      </c>
      <c r="K364" s="10">
        <v>229500</v>
      </c>
      <c r="L364" s="9">
        <v>389000</v>
      </c>
      <c r="M364" s="9">
        <v>1028000</v>
      </c>
      <c r="N364" s="9">
        <v>97000</v>
      </c>
      <c r="O364" s="9">
        <v>133000</v>
      </c>
      <c r="P364" s="9">
        <v>82500</v>
      </c>
      <c r="Q364" s="10">
        <v>291500</v>
      </c>
      <c r="R364" s="10">
        <v>255000</v>
      </c>
      <c r="S364" s="10">
        <v>338000</v>
      </c>
      <c r="T364" s="10">
        <v>31400</v>
      </c>
      <c r="U364" s="10">
        <v>113000</v>
      </c>
      <c r="V364" s="9">
        <v>327000</v>
      </c>
      <c r="W364" s="9">
        <v>24865</v>
      </c>
      <c r="X364" s="9">
        <v>318500</v>
      </c>
      <c r="Y364" s="9">
        <v>27150</v>
      </c>
      <c r="Z364" s="9">
        <v>51000</v>
      </c>
      <c r="AA364" s="10">
        <v>135000</v>
      </c>
      <c r="AB364" s="10">
        <v>348000</v>
      </c>
      <c r="AC364" s="10">
        <v>11600</v>
      </c>
      <c r="AD364" s="10">
        <v>206000</v>
      </c>
      <c r="AE364" s="10">
        <v>40300</v>
      </c>
      <c r="AF364" s="9">
        <v>33700</v>
      </c>
      <c r="AG364" s="9">
        <v>81200</v>
      </c>
      <c r="AH364" s="9">
        <v>74800</v>
      </c>
      <c r="AI364" s="9">
        <v>67000</v>
      </c>
      <c r="AJ364" s="9">
        <v>26750</v>
      </c>
      <c r="AK364" s="10">
        <v>25800</v>
      </c>
      <c r="AL364" s="10">
        <v>222000</v>
      </c>
      <c r="AM364" s="10">
        <v>277000</v>
      </c>
      <c r="AN364" s="10">
        <v>25000</v>
      </c>
      <c r="AO364" s="10">
        <v>11050</v>
      </c>
      <c r="AP364" s="9">
        <v>479000</v>
      </c>
      <c r="AQ364" s="9">
        <v>334000</v>
      </c>
      <c r="AR364" s="9">
        <v>9400</v>
      </c>
      <c r="AS364" s="9">
        <v>39400</v>
      </c>
      <c r="AT364" s="9">
        <v>76800</v>
      </c>
      <c r="AU364" s="10">
        <v>194500</v>
      </c>
      <c r="AV364" s="10">
        <v>34000</v>
      </c>
      <c r="AW364" s="10">
        <v>7480</v>
      </c>
      <c r="AX364" s="10">
        <v>158000</v>
      </c>
      <c r="AY364" s="10">
        <v>36850</v>
      </c>
    </row>
    <row r="365" spans="1:51" x14ac:dyDescent="0.4">
      <c r="A365" s="11">
        <v>40919</v>
      </c>
      <c r="B365" s="7">
        <v>67700</v>
      </c>
      <c r="C365" s="7">
        <v>24250</v>
      </c>
      <c r="D365" s="7">
        <v>69700</v>
      </c>
      <c r="E365" s="7">
        <v>206500</v>
      </c>
      <c r="F365" s="7">
        <v>66500</v>
      </c>
      <c r="G365" s="8">
        <v>42450</v>
      </c>
      <c r="H365" s="8">
        <v>66300</v>
      </c>
      <c r="I365" s="8">
        <v>132000</v>
      </c>
      <c r="J365" s="8">
        <v>98300</v>
      </c>
      <c r="K365" s="8">
        <v>227000</v>
      </c>
      <c r="L365" s="7">
        <v>385000</v>
      </c>
      <c r="M365" s="7">
        <v>1021000</v>
      </c>
      <c r="N365" s="7">
        <v>98500</v>
      </c>
      <c r="O365" s="7">
        <v>131500</v>
      </c>
      <c r="P365" s="7">
        <v>82500</v>
      </c>
      <c r="Q365" s="8">
        <v>288000</v>
      </c>
      <c r="R365" s="8">
        <v>222000</v>
      </c>
      <c r="S365" s="8">
        <v>323500</v>
      </c>
      <c r="T365" s="8">
        <v>31200</v>
      </c>
      <c r="U365" s="8">
        <v>109500</v>
      </c>
      <c r="V365" s="7">
        <v>314000</v>
      </c>
      <c r="W365" s="7">
        <v>24865</v>
      </c>
      <c r="X365" s="7">
        <v>319500</v>
      </c>
      <c r="Y365" s="7">
        <v>26900</v>
      </c>
      <c r="Z365" s="7">
        <v>49750</v>
      </c>
      <c r="AA365" s="8">
        <v>135500</v>
      </c>
      <c r="AB365" s="8">
        <v>334000</v>
      </c>
      <c r="AC365" s="8">
        <v>11600</v>
      </c>
      <c r="AD365" s="8">
        <v>206500</v>
      </c>
      <c r="AE365" s="8">
        <v>40000</v>
      </c>
      <c r="AF365" s="7">
        <v>33650</v>
      </c>
      <c r="AG365" s="7">
        <v>81200</v>
      </c>
      <c r="AH365" s="7">
        <v>75700</v>
      </c>
      <c r="AI365" s="7">
        <v>66200</v>
      </c>
      <c r="AJ365" s="7">
        <v>26800</v>
      </c>
      <c r="AK365" s="8">
        <v>25350</v>
      </c>
      <c r="AL365" s="8">
        <v>220000</v>
      </c>
      <c r="AM365" s="8">
        <v>275000</v>
      </c>
      <c r="AN365" s="8">
        <v>24800</v>
      </c>
      <c r="AO365" s="8">
        <v>10800</v>
      </c>
      <c r="AP365" s="7">
        <v>478500</v>
      </c>
      <c r="AQ365" s="7">
        <v>323000</v>
      </c>
      <c r="AR365" s="7">
        <v>9380</v>
      </c>
      <c r="AS365" s="7">
        <v>38650</v>
      </c>
      <c r="AT365" s="7">
        <v>75700</v>
      </c>
      <c r="AU365" s="8">
        <v>194500</v>
      </c>
      <c r="AV365" s="8">
        <v>33950</v>
      </c>
      <c r="AW365" s="8">
        <v>7400</v>
      </c>
      <c r="AX365" s="8">
        <v>156500</v>
      </c>
      <c r="AY365" s="8">
        <v>36150</v>
      </c>
    </row>
    <row r="366" spans="1:51" x14ac:dyDescent="0.4">
      <c r="A366" s="11">
        <v>40918</v>
      </c>
      <c r="B366" s="7">
        <v>68100</v>
      </c>
      <c r="C366" s="7">
        <v>24350</v>
      </c>
      <c r="D366" s="7">
        <v>70000</v>
      </c>
      <c r="E366" s="7">
        <v>209500</v>
      </c>
      <c r="F366" s="7">
        <v>67200</v>
      </c>
      <c r="G366" s="8">
        <v>42900</v>
      </c>
      <c r="H366" s="8">
        <v>66100</v>
      </c>
      <c r="I366" s="8">
        <v>127500</v>
      </c>
      <c r="J366" s="8">
        <v>96700</v>
      </c>
      <c r="K366" s="8">
        <v>226500</v>
      </c>
      <c r="L366" s="7">
        <v>382500</v>
      </c>
      <c r="M366" s="7">
        <v>1026000</v>
      </c>
      <c r="N366" s="7">
        <v>98300</v>
      </c>
      <c r="O366" s="7">
        <v>133500</v>
      </c>
      <c r="P366" s="7">
        <v>84300</v>
      </c>
      <c r="Q366" s="8">
        <v>284000</v>
      </c>
      <c r="R366" s="8">
        <v>221000</v>
      </c>
      <c r="S366" s="8">
        <v>320000</v>
      </c>
      <c r="T366" s="8">
        <v>29800</v>
      </c>
      <c r="U366" s="8">
        <v>112000</v>
      </c>
      <c r="V366" s="7">
        <v>313000</v>
      </c>
      <c r="W366" s="7">
        <v>24964</v>
      </c>
      <c r="X366" s="7">
        <v>318500</v>
      </c>
      <c r="Y366" s="7">
        <v>27400</v>
      </c>
      <c r="Z366" s="7">
        <v>49850</v>
      </c>
      <c r="AA366" s="8">
        <v>137000</v>
      </c>
      <c r="AB366" s="8">
        <v>334500</v>
      </c>
      <c r="AC366" s="8">
        <v>11500</v>
      </c>
      <c r="AD366" s="8">
        <v>206500</v>
      </c>
      <c r="AE366" s="8">
        <v>40000</v>
      </c>
      <c r="AF366" s="7">
        <v>33750</v>
      </c>
      <c r="AG366" s="7">
        <v>81200</v>
      </c>
      <c r="AH366" s="7">
        <v>78300</v>
      </c>
      <c r="AI366" s="7">
        <v>65600</v>
      </c>
      <c r="AJ366" s="7">
        <v>26100</v>
      </c>
      <c r="AK366" s="8">
        <v>25900</v>
      </c>
      <c r="AL366" s="8">
        <v>216000</v>
      </c>
      <c r="AM366" s="8">
        <v>278000</v>
      </c>
      <c r="AN366" s="8">
        <v>23800</v>
      </c>
      <c r="AO366" s="8">
        <v>10700</v>
      </c>
      <c r="AP366" s="7">
        <v>494000</v>
      </c>
      <c r="AQ366" s="7">
        <v>324000</v>
      </c>
      <c r="AR366" s="7">
        <v>9500</v>
      </c>
      <c r="AS366" s="7">
        <v>39400</v>
      </c>
      <c r="AT366" s="7">
        <v>76900</v>
      </c>
      <c r="AU366" s="8">
        <v>200000</v>
      </c>
      <c r="AV366" s="8">
        <v>34150</v>
      </c>
      <c r="AW366" s="8">
        <v>7410</v>
      </c>
      <c r="AX366" s="8">
        <v>159000</v>
      </c>
      <c r="AY366" s="8">
        <v>36250</v>
      </c>
    </row>
    <row r="367" spans="1:51" x14ac:dyDescent="0.4">
      <c r="A367" s="11">
        <v>40917</v>
      </c>
      <c r="B367" s="7">
        <v>66600</v>
      </c>
      <c r="C367" s="7">
        <v>23850</v>
      </c>
      <c r="D367" s="7">
        <v>69600</v>
      </c>
      <c r="E367" s="7">
        <v>210000</v>
      </c>
      <c r="F367" s="7">
        <v>66700</v>
      </c>
      <c r="G367" s="8">
        <v>42600</v>
      </c>
      <c r="H367" s="8">
        <v>63300</v>
      </c>
      <c r="I367" s="8">
        <v>125000</v>
      </c>
      <c r="J367" s="8">
        <v>94900</v>
      </c>
      <c r="K367" s="8">
        <v>221500</v>
      </c>
      <c r="L367" s="7">
        <v>378500</v>
      </c>
      <c r="M367" s="7">
        <v>1016000</v>
      </c>
      <c r="N367" s="7">
        <v>95300</v>
      </c>
      <c r="O367" s="7">
        <v>132500</v>
      </c>
      <c r="P367" s="7">
        <v>84200</v>
      </c>
      <c r="Q367" s="8">
        <v>273000</v>
      </c>
      <c r="R367" s="8">
        <v>221500</v>
      </c>
      <c r="S367" s="8">
        <v>315000</v>
      </c>
      <c r="T367" s="8">
        <v>29150</v>
      </c>
      <c r="U367" s="8">
        <v>109500</v>
      </c>
      <c r="V367" s="7">
        <v>303000</v>
      </c>
      <c r="W367" s="7">
        <v>24619</v>
      </c>
      <c r="X367" s="7">
        <v>312500</v>
      </c>
      <c r="Y367" s="7">
        <v>27400</v>
      </c>
      <c r="Z367" s="7">
        <v>48800</v>
      </c>
      <c r="AA367" s="8">
        <v>135000</v>
      </c>
      <c r="AB367" s="8">
        <v>333500</v>
      </c>
      <c r="AC367" s="8">
        <v>11200</v>
      </c>
      <c r="AD367" s="8">
        <v>207000</v>
      </c>
      <c r="AE367" s="8">
        <v>40150</v>
      </c>
      <c r="AF367" s="7">
        <v>33150</v>
      </c>
      <c r="AG367" s="7">
        <v>80500</v>
      </c>
      <c r="AH367" s="7">
        <v>77300</v>
      </c>
      <c r="AI367" s="7">
        <v>63000</v>
      </c>
      <c r="AJ367" s="7">
        <v>25150</v>
      </c>
      <c r="AK367" s="8">
        <v>25900</v>
      </c>
      <c r="AL367" s="8">
        <v>216000</v>
      </c>
      <c r="AM367" s="8">
        <v>270000</v>
      </c>
      <c r="AN367" s="8">
        <v>23200</v>
      </c>
      <c r="AO367" s="8">
        <v>10450</v>
      </c>
      <c r="AP367" s="7">
        <v>499500</v>
      </c>
      <c r="AQ367" s="7">
        <v>319000</v>
      </c>
      <c r="AR367" s="7">
        <v>9210</v>
      </c>
      <c r="AS367" s="7">
        <v>39000</v>
      </c>
      <c r="AT367" s="7">
        <v>74000</v>
      </c>
      <c r="AU367" s="8">
        <v>199500</v>
      </c>
      <c r="AV367" s="8">
        <v>34100</v>
      </c>
      <c r="AW367" s="8">
        <v>7200</v>
      </c>
      <c r="AX367" s="8">
        <v>155500</v>
      </c>
      <c r="AY367" s="8">
        <v>35750</v>
      </c>
    </row>
    <row r="368" spans="1:51" x14ac:dyDescent="0.4">
      <c r="A368" s="11">
        <v>40914</v>
      </c>
      <c r="B368" s="7">
        <v>66900</v>
      </c>
      <c r="C368" s="7">
        <v>24400</v>
      </c>
      <c r="D368" s="7">
        <v>71400</v>
      </c>
      <c r="E368" s="7">
        <v>215500</v>
      </c>
      <c r="F368" s="7">
        <v>67500</v>
      </c>
      <c r="G368" s="8">
        <v>43150</v>
      </c>
      <c r="H368" s="8">
        <v>63100</v>
      </c>
      <c r="I368" s="8">
        <v>127000</v>
      </c>
      <c r="J368" s="8">
        <v>96600</v>
      </c>
      <c r="K368" s="8">
        <v>219500</v>
      </c>
      <c r="L368" s="7">
        <v>385500</v>
      </c>
      <c r="M368" s="7">
        <v>1040000</v>
      </c>
      <c r="N368" s="7">
        <v>95400</v>
      </c>
      <c r="O368" s="7">
        <v>134500</v>
      </c>
      <c r="P368" s="7">
        <v>84000</v>
      </c>
      <c r="Q368" s="8">
        <v>277500</v>
      </c>
      <c r="R368" s="8">
        <v>226500</v>
      </c>
      <c r="S368" s="8">
        <v>315500</v>
      </c>
      <c r="T368" s="8">
        <v>28950</v>
      </c>
      <c r="U368" s="8">
        <v>109000</v>
      </c>
      <c r="V368" s="7">
        <v>309500</v>
      </c>
      <c r="W368" s="7">
        <v>24668</v>
      </c>
      <c r="X368" s="7">
        <v>311000</v>
      </c>
      <c r="Y368" s="7">
        <v>27050</v>
      </c>
      <c r="Z368" s="7">
        <v>49000</v>
      </c>
      <c r="AA368" s="8">
        <v>137500</v>
      </c>
      <c r="AB368" s="8">
        <v>336000</v>
      </c>
      <c r="AC368" s="8">
        <v>11300</v>
      </c>
      <c r="AD368" s="8">
        <v>209000</v>
      </c>
      <c r="AE368" s="8">
        <v>40050</v>
      </c>
      <c r="AF368" s="7">
        <v>33700</v>
      </c>
      <c r="AG368" s="7">
        <v>81500</v>
      </c>
      <c r="AH368" s="7">
        <v>80400</v>
      </c>
      <c r="AI368" s="7">
        <v>64500</v>
      </c>
      <c r="AJ368" s="7">
        <v>25150</v>
      </c>
      <c r="AK368" s="8">
        <v>26700</v>
      </c>
      <c r="AL368" s="8">
        <v>216500</v>
      </c>
      <c r="AM368" s="8">
        <v>272000</v>
      </c>
      <c r="AN368" s="8">
        <v>23450</v>
      </c>
      <c r="AO368" s="8">
        <v>10600</v>
      </c>
      <c r="AP368" s="7">
        <v>490500</v>
      </c>
      <c r="AQ368" s="7">
        <v>323500</v>
      </c>
      <c r="AR368" s="7">
        <v>9390</v>
      </c>
      <c r="AS368" s="7">
        <v>39650</v>
      </c>
      <c r="AT368" s="7">
        <v>72400</v>
      </c>
      <c r="AU368" s="8">
        <v>199000</v>
      </c>
      <c r="AV368" s="8">
        <v>34950</v>
      </c>
      <c r="AW368" s="8">
        <v>7310</v>
      </c>
      <c r="AX368" s="8">
        <v>153500</v>
      </c>
      <c r="AY368" s="8">
        <v>36200</v>
      </c>
    </row>
    <row r="369" spans="1:51" x14ac:dyDescent="0.4">
      <c r="A369" s="12">
        <v>40913</v>
      </c>
      <c r="B369" s="9">
        <v>68400</v>
      </c>
      <c r="C369" s="9">
        <v>24000</v>
      </c>
      <c r="D369" s="9">
        <v>72000</v>
      </c>
      <c r="E369" s="9">
        <v>214000</v>
      </c>
      <c r="F369" s="9">
        <v>68100</v>
      </c>
      <c r="G369" s="10">
        <v>44000</v>
      </c>
      <c r="H369" s="10">
        <v>63500</v>
      </c>
      <c r="I369" s="10">
        <v>129500</v>
      </c>
      <c r="J369" s="10">
        <v>98800</v>
      </c>
      <c r="K369" s="10">
        <v>223500</v>
      </c>
      <c r="L369" s="9">
        <v>392000</v>
      </c>
      <c r="M369" s="9">
        <v>1055000</v>
      </c>
      <c r="N369" s="9">
        <v>96600</v>
      </c>
      <c r="O369" s="9">
        <v>134000</v>
      </c>
      <c r="P369" s="9">
        <v>83000</v>
      </c>
      <c r="Q369" s="10">
        <v>277500</v>
      </c>
      <c r="R369" s="10">
        <v>226500</v>
      </c>
      <c r="S369" s="10">
        <v>317500</v>
      </c>
      <c r="T369" s="10">
        <v>29150</v>
      </c>
      <c r="U369" s="10">
        <v>109500</v>
      </c>
      <c r="V369" s="9">
        <v>319500</v>
      </c>
      <c r="W369" s="9">
        <v>25505</v>
      </c>
      <c r="X369" s="9">
        <v>311000</v>
      </c>
      <c r="Y369" s="9">
        <v>27050</v>
      </c>
      <c r="Z369" s="9">
        <v>49800</v>
      </c>
      <c r="AA369" s="10">
        <v>138500</v>
      </c>
      <c r="AB369" s="10">
        <v>334500</v>
      </c>
      <c r="AC369" s="10">
        <v>11300</v>
      </c>
      <c r="AD369" s="10">
        <v>217500</v>
      </c>
      <c r="AE369" s="10">
        <v>40000</v>
      </c>
      <c r="AF369" s="9">
        <v>34450</v>
      </c>
      <c r="AG369" s="9">
        <v>82400</v>
      </c>
      <c r="AH369" s="9">
        <v>83200</v>
      </c>
      <c r="AI369" s="9">
        <v>64900</v>
      </c>
      <c r="AJ369" s="9">
        <v>25600</v>
      </c>
      <c r="AK369" s="10">
        <v>27250</v>
      </c>
      <c r="AL369" s="10">
        <v>216500</v>
      </c>
      <c r="AM369" s="10">
        <v>276500</v>
      </c>
      <c r="AN369" s="10">
        <v>24200</v>
      </c>
      <c r="AO369" s="10">
        <v>10950</v>
      </c>
      <c r="AP369" s="9">
        <v>483000</v>
      </c>
      <c r="AQ369" s="9">
        <v>331500</v>
      </c>
      <c r="AR369" s="9">
        <v>9420</v>
      </c>
      <c r="AS369" s="9">
        <v>40200</v>
      </c>
      <c r="AT369" s="9">
        <v>73900</v>
      </c>
      <c r="AU369" s="10">
        <v>203000</v>
      </c>
      <c r="AV369" s="10">
        <v>34750</v>
      </c>
      <c r="AW369" s="10">
        <v>7470</v>
      </c>
      <c r="AX369" s="10">
        <v>154500</v>
      </c>
      <c r="AY369" s="10">
        <v>36800</v>
      </c>
    </row>
    <row r="370" spans="1:51" x14ac:dyDescent="0.4">
      <c r="A370" s="11">
        <v>40912</v>
      </c>
      <c r="B370" s="7">
        <v>68700</v>
      </c>
      <c r="C370" s="7">
        <v>23850</v>
      </c>
      <c r="D370" s="7">
        <v>72600</v>
      </c>
      <c r="E370" s="7">
        <v>212000</v>
      </c>
      <c r="F370" s="7">
        <v>69200</v>
      </c>
      <c r="G370" s="8">
        <v>44400</v>
      </c>
      <c r="H370" s="8">
        <v>64700</v>
      </c>
      <c r="I370" s="8">
        <v>128000</v>
      </c>
      <c r="J370" s="8">
        <v>97700</v>
      </c>
      <c r="K370" s="8">
        <v>223500</v>
      </c>
      <c r="L370" s="7">
        <v>387500</v>
      </c>
      <c r="M370" s="7">
        <v>1080000</v>
      </c>
      <c r="N370" s="7">
        <v>97400</v>
      </c>
      <c r="O370" s="7">
        <v>138500</v>
      </c>
      <c r="P370" s="7">
        <v>81000</v>
      </c>
      <c r="Q370" s="8">
        <v>278500</v>
      </c>
      <c r="R370" s="8">
        <v>219000</v>
      </c>
      <c r="S370" s="8">
        <v>320500</v>
      </c>
      <c r="T370" s="8">
        <v>29600</v>
      </c>
      <c r="U370" s="8">
        <v>105000</v>
      </c>
      <c r="V370" s="7">
        <v>314500</v>
      </c>
      <c r="W370" s="7">
        <v>25259</v>
      </c>
      <c r="X370" s="7">
        <v>309500</v>
      </c>
      <c r="Y370" s="7">
        <v>26050</v>
      </c>
      <c r="Z370" s="7">
        <v>49800</v>
      </c>
      <c r="AA370" s="8">
        <v>139000</v>
      </c>
      <c r="AB370" s="8">
        <v>337000</v>
      </c>
      <c r="AC370" s="8">
        <v>11450</v>
      </c>
      <c r="AD370" s="8">
        <v>213500</v>
      </c>
      <c r="AE370" s="8">
        <v>40000</v>
      </c>
      <c r="AF370" s="7">
        <v>34900</v>
      </c>
      <c r="AG370" s="7">
        <v>82300</v>
      </c>
      <c r="AH370" s="7">
        <v>83200</v>
      </c>
      <c r="AI370" s="7">
        <v>64900</v>
      </c>
      <c r="AJ370" s="7">
        <v>25550</v>
      </c>
      <c r="AK370" s="8">
        <v>27900</v>
      </c>
      <c r="AL370" s="8">
        <v>219500</v>
      </c>
      <c r="AM370" s="8">
        <v>294000</v>
      </c>
      <c r="AN370" s="8">
        <v>24700</v>
      </c>
      <c r="AO370" s="8">
        <v>10750</v>
      </c>
      <c r="AP370" s="7">
        <v>482500</v>
      </c>
      <c r="AQ370" s="7">
        <v>324500</v>
      </c>
      <c r="AR370" s="7">
        <v>9470</v>
      </c>
      <c r="AS370" s="7">
        <v>40550</v>
      </c>
      <c r="AT370" s="7">
        <v>74700</v>
      </c>
      <c r="AU370" s="8">
        <v>203000</v>
      </c>
      <c r="AV370" s="8">
        <v>35900</v>
      </c>
      <c r="AW370" s="8">
        <v>7360</v>
      </c>
      <c r="AX370" s="8">
        <v>150500</v>
      </c>
      <c r="AY370" s="8">
        <v>36700</v>
      </c>
    </row>
    <row r="371" spans="1:51" x14ac:dyDescent="0.4">
      <c r="A371" s="11">
        <v>40911</v>
      </c>
      <c r="B371" s="7">
        <v>68100</v>
      </c>
      <c r="C371" s="7">
        <v>23650</v>
      </c>
      <c r="D371" s="7">
        <v>72500</v>
      </c>
      <c r="E371" s="7">
        <v>213000</v>
      </c>
      <c r="F371" s="7">
        <v>70000</v>
      </c>
      <c r="G371" s="8">
        <v>44700</v>
      </c>
      <c r="H371" s="8">
        <v>64500</v>
      </c>
      <c r="I371" s="8">
        <v>127000</v>
      </c>
      <c r="J371" s="8">
        <v>97400</v>
      </c>
      <c r="K371" s="8">
        <v>221500</v>
      </c>
      <c r="L371" s="7">
        <v>387500</v>
      </c>
      <c r="M371" s="7">
        <v>1105000</v>
      </c>
      <c r="N371" s="7">
        <v>97700</v>
      </c>
      <c r="O371" s="7">
        <v>141000</v>
      </c>
      <c r="P371" s="7">
        <v>82000</v>
      </c>
      <c r="Q371" s="8">
        <v>273500</v>
      </c>
      <c r="R371" s="8">
        <v>222500</v>
      </c>
      <c r="S371" s="8">
        <v>317000</v>
      </c>
      <c r="T371" s="8">
        <v>29600</v>
      </c>
      <c r="U371" s="8">
        <v>105000</v>
      </c>
      <c r="V371" s="7">
        <v>312000</v>
      </c>
      <c r="W371" s="7">
        <v>25161</v>
      </c>
      <c r="X371" s="7">
        <v>303500</v>
      </c>
      <c r="Y371" s="7">
        <v>25650</v>
      </c>
      <c r="Z371" s="7">
        <v>50400</v>
      </c>
      <c r="AA371" s="8">
        <v>141000</v>
      </c>
      <c r="AB371" s="8">
        <v>337000</v>
      </c>
      <c r="AC371" s="8">
        <v>12200</v>
      </c>
      <c r="AD371" s="8">
        <v>213000</v>
      </c>
      <c r="AE371" s="8">
        <v>39700</v>
      </c>
      <c r="AF371" s="7">
        <v>35450</v>
      </c>
      <c r="AG371" s="7">
        <v>82500</v>
      </c>
      <c r="AH371" s="7">
        <v>82800</v>
      </c>
      <c r="AI371" s="7">
        <v>65700</v>
      </c>
      <c r="AJ371" s="7">
        <v>25600</v>
      </c>
      <c r="AK371" s="8">
        <v>28400</v>
      </c>
      <c r="AL371" s="8">
        <v>219500</v>
      </c>
      <c r="AM371" s="8">
        <v>300500</v>
      </c>
      <c r="AN371" s="8">
        <v>25050</v>
      </c>
      <c r="AO371" s="8">
        <v>10650</v>
      </c>
      <c r="AP371" s="7">
        <v>499000</v>
      </c>
      <c r="AQ371" s="7">
        <v>330500</v>
      </c>
      <c r="AR371" s="7">
        <v>9660</v>
      </c>
      <c r="AS371" s="7">
        <v>41350</v>
      </c>
      <c r="AT371" s="7">
        <v>77400</v>
      </c>
      <c r="AU371" s="8">
        <v>198500</v>
      </c>
      <c r="AV371" s="8">
        <v>36750</v>
      </c>
      <c r="AW371" s="8">
        <v>7320</v>
      </c>
      <c r="AX371" s="8">
        <v>149500</v>
      </c>
      <c r="AY371" s="8">
        <v>37300</v>
      </c>
    </row>
    <row r="372" spans="1:51" x14ac:dyDescent="0.4">
      <c r="A372" s="11">
        <v>40910</v>
      </c>
      <c r="B372" s="7">
        <v>66500</v>
      </c>
      <c r="C372" s="7">
        <v>23450</v>
      </c>
      <c r="D372" s="7">
        <v>71900</v>
      </c>
      <c r="E372" s="7">
        <v>205500</v>
      </c>
      <c r="F372" s="7">
        <v>68500</v>
      </c>
      <c r="G372" s="8">
        <v>43500</v>
      </c>
      <c r="H372" s="8">
        <v>61500</v>
      </c>
      <c r="I372" s="8">
        <v>120500</v>
      </c>
      <c r="J372" s="8">
        <v>94300</v>
      </c>
      <c r="K372" s="8">
        <v>212500</v>
      </c>
      <c r="L372" s="7">
        <v>376000</v>
      </c>
      <c r="M372" s="7">
        <v>1080000</v>
      </c>
      <c r="N372" s="7">
        <v>93300</v>
      </c>
      <c r="O372" s="7">
        <v>137500</v>
      </c>
      <c r="P372" s="7">
        <v>79300</v>
      </c>
      <c r="Q372" s="8">
        <v>258500</v>
      </c>
      <c r="R372" s="8">
        <v>215500</v>
      </c>
      <c r="S372" s="8">
        <v>299000</v>
      </c>
      <c r="T372" s="8">
        <v>28100</v>
      </c>
      <c r="U372" s="8">
        <v>100500</v>
      </c>
      <c r="V372" s="7">
        <v>298500</v>
      </c>
      <c r="W372" s="7">
        <v>24373</v>
      </c>
      <c r="X372" s="7">
        <v>292500</v>
      </c>
      <c r="Y372" s="7">
        <v>25100</v>
      </c>
      <c r="Z372" s="7">
        <v>48950</v>
      </c>
      <c r="AA372" s="8">
        <v>139500</v>
      </c>
      <c r="AB372" s="8">
        <v>335000</v>
      </c>
      <c r="AC372" s="8">
        <v>12400</v>
      </c>
      <c r="AD372" s="8">
        <v>208000</v>
      </c>
      <c r="AE372" s="8">
        <v>39000</v>
      </c>
      <c r="AF372" s="7">
        <v>35400</v>
      </c>
      <c r="AG372" s="7">
        <v>80400</v>
      </c>
      <c r="AH372" s="7">
        <v>79300</v>
      </c>
      <c r="AI372" s="7">
        <v>64400</v>
      </c>
      <c r="AJ372" s="7">
        <v>24950</v>
      </c>
      <c r="AK372" s="8">
        <v>28100</v>
      </c>
      <c r="AL372" s="8">
        <v>209000</v>
      </c>
      <c r="AM372" s="8">
        <v>303000</v>
      </c>
      <c r="AN372" s="8">
        <v>23450</v>
      </c>
      <c r="AO372" s="8">
        <v>10250</v>
      </c>
      <c r="AP372" s="7">
        <v>479500</v>
      </c>
      <c r="AQ372" s="7">
        <v>320000</v>
      </c>
      <c r="AR372" s="7">
        <v>9330</v>
      </c>
      <c r="AS372" s="7">
        <v>39600</v>
      </c>
      <c r="AT372" s="7">
        <v>76100</v>
      </c>
      <c r="AU372" s="8">
        <v>190000</v>
      </c>
      <c r="AV372" s="8">
        <v>35100</v>
      </c>
      <c r="AW372" s="8">
        <v>7170</v>
      </c>
      <c r="AX372" s="8">
        <v>140500</v>
      </c>
      <c r="AY372" s="8">
        <v>36100</v>
      </c>
    </row>
    <row r="373" spans="1:51" x14ac:dyDescent="0.4">
      <c r="A373" s="11">
        <v>40906</v>
      </c>
      <c r="B373" s="7">
        <v>66700</v>
      </c>
      <c r="C373" s="7">
        <v>21950</v>
      </c>
      <c r="D373" s="7">
        <v>70400</v>
      </c>
      <c r="E373" s="7">
        <v>211000</v>
      </c>
      <c r="F373" s="7">
        <v>68100</v>
      </c>
      <c r="G373" s="8">
        <v>43500</v>
      </c>
      <c r="H373" s="8">
        <v>61400</v>
      </c>
      <c r="I373" s="8">
        <v>121000</v>
      </c>
      <c r="J373" s="8">
        <v>95700</v>
      </c>
      <c r="K373" s="8">
        <v>213000</v>
      </c>
      <c r="L373" s="7">
        <v>380000</v>
      </c>
      <c r="M373" s="7">
        <v>1058000</v>
      </c>
      <c r="N373" s="7">
        <v>92100</v>
      </c>
      <c r="O373" s="7">
        <v>133500</v>
      </c>
      <c r="P373" s="7">
        <v>77700</v>
      </c>
      <c r="Q373" s="8">
        <v>257000</v>
      </c>
      <c r="R373" s="8">
        <v>219500</v>
      </c>
      <c r="S373" s="8">
        <v>304000</v>
      </c>
      <c r="T373" s="8">
        <v>27900</v>
      </c>
      <c r="U373" s="8">
        <v>100000</v>
      </c>
      <c r="V373" s="7">
        <v>298000</v>
      </c>
      <c r="W373" s="7">
        <v>24718</v>
      </c>
      <c r="X373" s="7">
        <v>292000</v>
      </c>
      <c r="Y373" s="7">
        <v>25550</v>
      </c>
      <c r="Z373" s="7">
        <v>49400</v>
      </c>
      <c r="AA373" s="8">
        <v>141500</v>
      </c>
      <c r="AB373" s="8">
        <v>339500</v>
      </c>
      <c r="AC373" s="8">
        <v>12500</v>
      </c>
      <c r="AD373" s="8">
        <v>201500</v>
      </c>
      <c r="AE373" s="8">
        <v>38900</v>
      </c>
      <c r="AF373" s="7">
        <v>35650</v>
      </c>
      <c r="AG373" s="7">
        <v>80900</v>
      </c>
      <c r="AH373" s="7">
        <v>81400</v>
      </c>
      <c r="AI373" s="7">
        <v>65100</v>
      </c>
      <c r="AJ373" s="7">
        <v>24500</v>
      </c>
      <c r="AK373" s="8">
        <v>27200</v>
      </c>
      <c r="AL373" s="8">
        <v>211000</v>
      </c>
      <c r="AM373" s="8">
        <v>307500</v>
      </c>
      <c r="AN373" s="8">
        <v>24300</v>
      </c>
      <c r="AO373" s="8">
        <v>10500</v>
      </c>
      <c r="AP373" s="7">
        <v>487500</v>
      </c>
      <c r="AQ373" s="7">
        <v>317500</v>
      </c>
      <c r="AR373" s="7">
        <v>9430</v>
      </c>
      <c r="AS373" s="7">
        <v>39750</v>
      </c>
      <c r="AT373" s="7">
        <v>74400</v>
      </c>
      <c r="AU373" s="8">
        <v>192000</v>
      </c>
      <c r="AV373" s="8">
        <v>35550</v>
      </c>
      <c r="AW373" s="8">
        <v>7400</v>
      </c>
      <c r="AX373" s="8">
        <v>142000</v>
      </c>
      <c r="AY373" s="8">
        <v>36300</v>
      </c>
    </row>
    <row r="374" spans="1:51" x14ac:dyDescent="0.4">
      <c r="A374" s="12">
        <v>40905</v>
      </c>
      <c r="B374" s="9">
        <v>66200</v>
      </c>
      <c r="C374" s="9">
        <v>21150</v>
      </c>
      <c r="D374" s="9">
        <v>69600</v>
      </c>
      <c r="E374" s="9">
        <v>210500</v>
      </c>
      <c r="F374" s="9">
        <v>67100</v>
      </c>
      <c r="G374" s="10">
        <v>42400</v>
      </c>
      <c r="H374" s="10">
        <v>61000</v>
      </c>
      <c r="I374" s="10">
        <v>120500</v>
      </c>
      <c r="J374" s="10">
        <v>96000</v>
      </c>
      <c r="K374" s="10">
        <v>213000</v>
      </c>
      <c r="L374" s="9">
        <v>385500</v>
      </c>
      <c r="M374" s="9">
        <v>1061000</v>
      </c>
      <c r="N374" s="9">
        <v>92500</v>
      </c>
      <c r="O374" s="9">
        <v>134000</v>
      </c>
      <c r="P374" s="9">
        <v>80000</v>
      </c>
      <c r="Q374" s="10">
        <v>258000</v>
      </c>
      <c r="R374" s="10">
        <v>210500</v>
      </c>
      <c r="S374" s="10">
        <v>306500</v>
      </c>
      <c r="T374" s="10">
        <v>28050</v>
      </c>
      <c r="U374" s="10">
        <v>101000</v>
      </c>
      <c r="V374" s="9">
        <v>303500</v>
      </c>
      <c r="W374" s="9">
        <v>25013</v>
      </c>
      <c r="X374" s="9">
        <v>290500</v>
      </c>
      <c r="Y374" s="9">
        <v>26000</v>
      </c>
      <c r="Z374" s="9">
        <v>49600</v>
      </c>
      <c r="AA374" s="10">
        <v>141500</v>
      </c>
      <c r="AB374" s="10">
        <v>337000</v>
      </c>
      <c r="AC374" s="10">
        <v>12650</v>
      </c>
      <c r="AD374" s="10">
        <v>199000</v>
      </c>
      <c r="AE374" s="10">
        <v>39100</v>
      </c>
      <c r="AF374" s="9">
        <v>35850</v>
      </c>
      <c r="AG374" s="9">
        <v>81700</v>
      </c>
      <c r="AH374" s="9">
        <v>79900</v>
      </c>
      <c r="AI374" s="9">
        <v>66500</v>
      </c>
      <c r="AJ374" s="9">
        <v>23650</v>
      </c>
      <c r="AK374" s="10">
        <v>27200</v>
      </c>
      <c r="AL374" s="10">
        <v>210000</v>
      </c>
      <c r="AM374" s="10">
        <v>298500</v>
      </c>
      <c r="AN374" s="10">
        <v>24250</v>
      </c>
      <c r="AO374" s="10">
        <v>10450</v>
      </c>
      <c r="AP374" s="9">
        <v>509000</v>
      </c>
      <c r="AQ374" s="9">
        <v>320000</v>
      </c>
      <c r="AR374" s="9">
        <v>9350</v>
      </c>
      <c r="AS374" s="9">
        <v>40100</v>
      </c>
      <c r="AT374" s="9">
        <v>73500</v>
      </c>
      <c r="AU374" s="10">
        <v>198000</v>
      </c>
      <c r="AV374" s="10">
        <v>35450</v>
      </c>
      <c r="AW374" s="10">
        <v>7400</v>
      </c>
      <c r="AX374" s="10">
        <v>143000</v>
      </c>
      <c r="AY374" s="10">
        <v>36700</v>
      </c>
    </row>
    <row r="375" spans="1:51" x14ac:dyDescent="0.4">
      <c r="A375" s="11">
        <v>40904</v>
      </c>
      <c r="B375" s="7">
        <v>66200</v>
      </c>
      <c r="C375" s="7">
        <v>21100</v>
      </c>
      <c r="D375" s="7">
        <v>71800</v>
      </c>
      <c r="E375" s="7">
        <v>216000</v>
      </c>
      <c r="F375" s="7">
        <v>67700</v>
      </c>
      <c r="G375" s="8">
        <v>42800</v>
      </c>
      <c r="H375" s="8">
        <v>61600</v>
      </c>
      <c r="I375" s="8">
        <v>123000</v>
      </c>
      <c r="J375" s="8">
        <v>96300</v>
      </c>
      <c r="K375" s="8">
        <v>213000</v>
      </c>
      <c r="L375" s="7">
        <v>391000</v>
      </c>
      <c r="M375" s="7">
        <v>1073000</v>
      </c>
      <c r="N375" s="7">
        <v>92000</v>
      </c>
      <c r="O375" s="7">
        <v>132500</v>
      </c>
      <c r="P375" s="7">
        <v>80700</v>
      </c>
      <c r="Q375" s="8">
        <v>263500</v>
      </c>
      <c r="R375" s="8">
        <v>211500</v>
      </c>
      <c r="S375" s="8">
        <v>299500</v>
      </c>
      <c r="T375" s="8">
        <v>28300</v>
      </c>
      <c r="U375" s="8">
        <v>106000</v>
      </c>
      <c r="V375" s="7">
        <v>300000</v>
      </c>
      <c r="W375" s="7">
        <v>25407</v>
      </c>
      <c r="X375" s="7">
        <v>291000</v>
      </c>
      <c r="Y375" s="7">
        <v>25800</v>
      </c>
      <c r="Z375" s="7">
        <v>49650</v>
      </c>
      <c r="AA375" s="8">
        <v>151000</v>
      </c>
      <c r="AB375" s="8">
        <v>338000</v>
      </c>
      <c r="AC375" s="8">
        <v>12950</v>
      </c>
      <c r="AD375" s="8">
        <v>201500</v>
      </c>
      <c r="AE375" s="8">
        <v>39500</v>
      </c>
      <c r="AF375" s="7">
        <v>37650</v>
      </c>
      <c r="AG375" s="7">
        <v>82400</v>
      </c>
      <c r="AH375" s="7">
        <v>83100</v>
      </c>
      <c r="AI375" s="7">
        <v>65700</v>
      </c>
      <c r="AJ375" s="7">
        <v>23450</v>
      </c>
      <c r="AK375" s="8">
        <v>28300</v>
      </c>
      <c r="AL375" s="8">
        <v>217000</v>
      </c>
      <c r="AM375" s="8">
        <v>294500</v>
      </c>
      <c r="AN375" s="8">
        <v>24850</v>
      </c>
      <c r="AO375" s="8">
        <v>10450</v>
      </c>
      <c r="AP375" s="7">
        <v>507000</v>
      </c>
      <c r="AQ375" s="7">
        <v>324000</v>
      </c>
      <c r="AR375" s="7">
        <v>9570</v>
      </c>
      <c r="AS375" s="7">
        <v>41050</v>
      </c>
      <c r="AT375" s="7">
        <v>72500</v>
      </c>
      <c r="AU375" s="8">
        <v>205000</v>
      </c>
      <c r="AV375" s="8">
        <v>36000</v>
      </c>
      <c r="AW375" s="8">
        <v>7570</v>
      </c>
      <c r="AX375" s="8">
        <v>144000</v>
      </c>
      <c r="AY375" s="8">
        <v>37050</v>
      </c>
    </row>
    <row r="376" spans="1:51" x14ac:dyDescent="0.4">
      <c r="A376" s="11">
        <v>40903</v>
      </c>
      <c r="B376" s="7">
        <v>67200</v>
      </c>
      <c r="C376" s="7">
        <v>21600</v>
      </c>
      <c r="D376" s="7">
        <v>72100</v>
      </c>
      <c r="E376" s="7">
        <v>213500</v>
      </c>
      <c r="F376" s="7">
        <v>69000</v>
      </c>
      <c r="G376" s="8">
        <v>43550</v>
      </c>
      <c r="H376" s="8">
        <v>62200</v>
      </c>
      <c r="I376" s="8">
        <v>125500</v>
      </c>
      <c r="J376" s="8">
        <v>97400</v>
      </c>
      <c r="K376" s="8">
        <v>214500</v>
      </c>
      <c r="L376" s="7">
        <v>393500</v>
      </c>
      <c r="M376" s="7">
        <v>1066000</v>
      </c>
      <c r="N376" s="7">
        <v>92800</v>
      </c>
      <c r="O376" s="7">
        <v>133000</v>
      </c>
      <c r="P376" s="7">
        <v>86600</v>
      </c>
      <c r="Q376" s="8">
        <v>269000</v>
      </c>
      <c r="R376" s="8">
        <v>212500</v>
      </c>
      <c r="S376" s="8">
        <v>309000</v>
      </c>
      <c r="T376" s="8">
        <v>28900</v>
      </c>
      <c r="U376" s="8">
        <v>107000</v>
      </c>
      <c r="V376" s="7">
        <v>303500</v>
      </c>
      <c r="W376" s="7">
        <v>25702</v>
      </c>
      <c r="X376" s="7">
        <v>296000</v>
      </c>
      <c r="Y376" s="7">
        <v>26100</v>
      </c>
      <c r="Z376" s="7">
        <v>50400</v>
      </c>
      <c r="AA376" s="8">
        <v>154000</v>
      </c>
      <c r="AB376" s="8">
        <v>333500</v>
      </c>
      <c r="AC376" s="8">
        <v>13000</v>
      </c>
      <c r="AD376" s="8">
        <v>208000</v>
      </c>
      <c r="AE376" s="8">
        <v>39350</v>
      </c>
      <c r="AF376" s="7">
        <v>38300</v>
      </c>
      <c r="AG376" s="7">
        <v>82500</v>
      </c>
      <c r="AH376" s="7">
        <v>83400</v>
      </c>
      <c r="AI376" s="7">
        <v>66700</v>
      </c>
      <c r="AJ376" s="7">
        <v>23650</v>
      </c>
      <c r="AK376" s="8">
        <v>28350</v>
      </c>
      <c r="AL376" s="8">
        <v>215500</v>
      </c>
      <c r="AM376" s="8">
        <v>303000</v>
      </c>
      <c r="AN376" s="8">
        <v>24800</v>
      </c>
      <c r="AO376" s="8">
        <v>10500</v>
      </c>
      <c r="AP376" s="7">
        <v>512000</v>
      </c>
      <c r="AQ376" s="7">
        <v>330000</v>
      </c>
      <c r="AR376" s="7">
        <v>9630</v>
      </c>
      <c r="AS376" s="7">
        <v>40850</v>
      </c>
      <c r="AT376" s="7">
        <v>74300</v>
      </c>
      <c r="AU376" s="8">
        <v>210000</v>
      </c>
      <c r="AV376" s="8">
        <v>36400</v>
      </c>
      <c r="AW376" s="8">
        <v>7570</v>
      </c>
      <c r="AX376" s="8">
        <v>148000</v>
      </c>
      <c r="AY376" s="8">
        <v>36900</v>
      </c>
    </row>
    <row r="377" spans="1:51" x14ac:dyDescent="0.4">
      <c r="A377" s="11">
        <v>40900</v>
      </c>
      <c r="B377" s="7">
        <v>67900</v>
      </c>
      <c r="C377" s="7">
        <v>21700</v>
      </c>
      <c r="D377" s="7">
        <v>72300</v>
      </c>
      <c r="E377" s="7">
        <v>217000</v>
      </c>
      <c r="F377" s="7">
        <v>70000</v>
      </c>
      <c r="G377" s="8">
        <v>43700</v>
      </c>
      <c r="H377" s="8">
        <v>62900</v>
      </c>
      <c r="I377" s="8">
        <v>128000</v>
      </c>
      <c r="J377" s="8">
        <v>99200</v>
      </c>
      <c r="K377" s="8">
        <v>215000</v>
      </c>
      <c r="L377" s="7">
        <v>393500</v>
      </c>
      <c r="M377" s="7">
        <v>1068000</v>
      </c>
      <c r="N377" s="7">
        <v>93800</v>
      </c>
      <c r="O377" s="7">
        <v>134000</v>
      </c>
      <c r="P377" s="7">
        <v>86600</v>
      </c>
      <c r="Q377" s="8">
        <v>275000</v>
      </c>
      <c r="R377" s="8">
        <v>212000</v>
      </c>
      <c r="S377" s="8">
        <v>313500</v>
      </c>
      <c r="T377" s="8">
        <v>29750</v>
      </c>
      <c r="U377" s="8">
        <v>107000</v>
      </c>
      <c r="V377" s="7">
        <v>306000</v>
      </c>
      <c r="W377" s="7">
        <v>25899</v>
      </c>
      <c r="X377" s="7">
        <v>299500</v>
      </c>
      <c r="Y377" s="7">
        <v>26400</v>
      </c>
      <c r="Z377" s="7">
        <v>50700</v>
      </c>
      <c r="AA377" s="8">
        <v>153500</v>
      </c>
      <c r="AB377" s="8">
        <v>340000</v>
      </c>
      <c r="AC377" s="8">
        <v>13050</v>
      </c>
      <c r="AD377" s="8">
        <v>211000</v>
      </c>
      <c r="AE377" s="8">
        <v>39200</v>
      </c>
      <c r="AF377" s="7">
        <v>38150</v>
      </c>
      <c r="AG377" s="7">
        <v>83200</v>
      </c>
      <c r="AH377" s="7">
        <v>83300</v>
      </c>
      <c r="AI377" s="7">
        <v>67700</v>
      </c>
      <c r="AJ377" s="7">
        <v>23500</v>
      </c>
      <c r="AK377" s="8">
        <v>28150</v>
      </c>
      <c r="AL377" s="8">
        <v>219500</v>
      </c>
      <c r="AM377" s="8">
        <v>303500</v>
      </c>
      <c r="AN377" s="8">
        <v>25800</v>
      </c>
      <c r="AO377" s="8">
        <v>10500</v>
      </c>
      <c r="AP377" s="7">
        <v>518000</v>
      </c>
      <c r="AQ377" s="7">
        <v>333500</v>
      </c>
      <c r="AR377" s="7">
        <v>9650</v>
      </c>
      <c r="AS377" s="7">
        <v>41450</v>
      </c>
      <c r="AT377" s="7">
        <v>75400</v>
      </c>
      <c r="AU377" s="8">
        <v>209000</v>
      </c>
      <c r="AV377" s="8">
        <v>37050</v>
      </c>
      <c r="AW377" s="8">
        <v>7520</v>
      </c>
      <c r="AX377" s="8">
        <v>151000</v>
      </c>
      <c r="AY377" s="8">
        <v>37250</v>
      </c>
    </row>
    <row r="378" spans="1:51" x14ac:dyDescent="0.4">
      <c r="A378" s="11">
        <v>40899</v>
      </c>
      <c r="B378" s="7">
        <v>68100</v>
      </c>
      <c r="C378" s="7">
        <v>21150</v>
      </c>
      <c r="D378" s="7">
        <v>72000</v>
      </c>
      <c r="E378" s="7">
        <v>215500</v>
      </c>
      <c r="F378" s="7">
        <v>69100</v>
      </c>
      <c r="G378" s="8">
        <v>43700</v>
      </c>
      <c r="H378" s="8">
        <v>62000</v>
      </c>
      <c r="I378" s="8">
        <v>126000</v>
      </c>
      <c r="J378" s="8">
        <v>97000</v>
      </c>
      <c r="K378" s="8">
        <v>213500</v>
      </c>
      <c r="L378" s="7">
        <v>391500</v>
      </c>
      <c r="M378" s="7">
        <v>1052000</v>
      </c>
      <c r="N378" s="7">
        <v>94000</v>
      </c>
      <c r="O378" s="7">
        <v>135000</v>
      </c>
      <c r="P378" s="7">
        <v>86700</v>
      </c>
      <c r="Q378" s="8">
        <v>269000</v>
      </c>
      <c r="R378" s="8">
        <v>210500</v>
      </c>
      <c r="S378" s="8">
        <v>313000</v>
      </c>
      <c r="T378" s="8">
        <v>29250</v>
      </c>
      <c r="U378" s="8">
        <v>104000</v>
      </c>
      <c r="V378" s="7">
        <v>291500</v>
      </c>
      <c r="W378" s="7">
        <v>25308</v>
      </c>
      <c r="X378" s="7">
        <v>301000</v>
      </c>
      <c r="Y378" s="7">
        <v>26200</v>
      </c>
      <c r="Z378" s="7">
        <v>50400</v>
      </c>
      <c r="AA378" s="8">
        <v>151500</v>
      </c>
      <c r="AB378" s="8">
        <v>335500</v>
      </c>
      <c r="AC378" s="8">
        <v>12950</v>
      </c>
      <c r="AD378" s="8">
        <v>205500</v>
      </c>
      <c r="AE378" s="8">
        <v>39100</v>
      </c>
      <c r="AF378" s="7">
        <v>38000</v>
      </c>
      <c r="AG378" s="7">
        <v>81800</v>
      </c>
      <c r="AH378" s="7">
        <v>81900</v>
      </c>
      <c r="AI378" s="7">
        <v>68300</v>
      </c>
      <c r="AJ378" s="7">
        <v>23050</v>
      </c>
      <c r="AK378" s="8">
        <v>27900</v>
      </c>
      <c r="AL378" s="8">
        <v>221000</v>
      </c>
      <c r="AM378" s="8">
        <v>298500</v>
      </c>
      <c r="AN378" s="8">
        <v>25050</v>
      </c>
      <c r="AO378" s="8">
        <v>10250</v>
      </c>
      <c r="AP378" s="7">
        <v>516000</v>
      </c>
      <c r="AQ378" s="7">
        <v>319500</v>
      </c>
      <c r="AR378" s="7">
        <v>9770</v>
      </c>
      <c r="AS378" s="7">
        <v>40800</v>
      </c>
      <c r="AT378" s="7">
        <v>76000</v>
      </c>
      <c r="AU378" s="8">
        <v>212000</v>
      </c>
      <c r="AV378" s="8">
        <v>37000</v>
      </c>
      <c r="AW378" s="8">
        <v>7520</v>
      </c>
      <c r="AX378" s="8">
        <v>148500</v>
      </c>
      <c r="AY378" s="8">
        <v>37150</v>
      </c>
    </row>
    <row r="379" spans="1:51" x14ac:dyDescent="0.4">
      <c r="A379" s="12">
        <v>40898</v>
      </c>
      <c r="B379" s="9">
        <v>67800</v>
      </c>
      <c r="C379" s="9">
        <v>21350</v>
      </c>
      <c r="D379" s="9">
        <v>70800</v>
      </c>
      <c r="E379" s="9">
        <v>213500</v>
      </c>
      <c r="F379" s="9">
        <v>69500</v>
      </c>
      <c r="G379" s="10">
        <v>43700</v>
      </c>
      <c r="H379" s="10">
        <v>62200</v>
      </c>
      <c r="I379" s="10">
        <v>127500</v>
      </c>
      <c r="J379" s="10">
        <v>98500</v>
      </c>
      <c r="K379" s="10">
        <v>213000</v>
      </c>
      <c r="L379" s="9">
        <v>389000</v>
      </c>
      <c r="M379" s="9">
        <v>1057000</v>
      </c>
      <c r="N379" s="9">
        <v>92800</v>
      </c>
      <c r="O379" s="9">
        <v>135500</v>
      </c>
      <c r="P379" s="9">
        <v>88000</v>
      </c>
      <c r="Q379" s="10">
        <v>269500</v>
      </c>
      <c r="R379" s="10">
        <v>213000</v>
      </c>
      <c r="S379" s="10">
        <v>305000</v>
      </c>
      <c r="T379" s="10">
        <v>28700</v>
      </c>
      <c r="U379" s="10">
        <v>105000</v>
      </c>
      <c r="V379" s="9">
        <v>300000</v>
      </c>
      <c r="W379" s="9">
        <v>25013</v>
      </c>
      <c r="X379" s="9">
        <v>302000</v>
      </c>
      <c r="Y379" s="9">
        <v>26150</v>
      </c>
      <c r="Z379" s="9">
        <v>50300</v>
      </c>
      <c r="AA379" s="10">
        <v>153000</v>
      </c>
      <c r="AB379" s="10">
        <v>333500</v>
      </c>
      <c r="AC379" s="10">
        <v>13100</v>
      </c>
      <c r="AD379" s="10">
        <v>208000</v>
      </c>
      <c r="AE379" s="10">
        <v>39300</v>
      </c>
      <c r="AF379" s="9">
        <v>37950</v>
      </c>
      <c r="AG379" s="9">
        <v>82100</v>
      </c>
      <c r="AH379" s="9">
        <v>79300</v>
      </c>
      <c r="AI379" s="9">
        <v>69000</v>
      </c>
      <c r="AJ379" s="9">
        <v>23000</v>
      </c>
      <c r="AK379" s="10">
        <v>27900</v>
      </c>
      <c r="AL379" s="10">
        <v>222000</v>
      </c>
      <c r="AM379" s="10">
        <v>297000</v>
      </c>
      <c r="AN379" s="10">
        <v>25450</v>
      </c>
      <c r="AO379" s="10">
        <v>10000</v>
      </c>
      <c r="AP379" s="9">
        <v>515000</v>
      </c>
      <c r="AQ379" s="9">
        <v>320000</v>
      </c>
      <c r="AR379" s="9">
        <v>9930</v>
      </c>
      <c r="AS379" s="9">
        <v>40500</v>
      </c>
      <c r="AT379" s="9">
        <v>76200</v>
      </c>
      <c r="AU379" s="10">
        <v>207500</v>
      </c>
      <c r="AV379" s="10">
        <v>36150</v>
      </c>
      <c r="AW379" s="10">
        <v>7450</v>
      </c>
      <c r="AX379" s="10">
        <v>148000</v>
      </c>
      <c r="AY379" s="10">
        <v>37300</v>
      </c>
    </row>
    <row r="380" spans="1:51" x14ac:dyDescent="0.4">
      <c r="A380" s="11">
        <v>40897</v>
      </c>
      <c r="B380" s="7">
        <v>67400</v>
      </c>
      <c r="C380" s="7">
        <v>20750</v>
      </c>
      <c r="D380" s="7">
        <v>67200</v>
      </c>
      <c r="E380" s="7">
        <v>205000</v>
      </c>
      <c r="F380" s="7">
        <v>66900</v>
      </c>
      <c r="G380" s="8">
        <v>42750</v>
      </c>
      <c r="H380" s="8">
        <v>59600</v>
      </c>
      <c r="I380" s="8">
        <v>123500</v>
      </c>
      <c r="J380" s="8">
        <v>95400</v>
      </c>
      <c r="K380" s="8">
        <v>208500</v>
      </c>
      <c r="L380" s="7">
        <v>383500</v>
      </c>
      <c r="M380" s="7">
        <v>1012000</v>
      </c>
      <c r="N380" s="7">
        <v>86200</v>
      </c>
      <c r="O380" s="7">
        <v>132500</v>
      </c>
      <c r="P380" s="7">
        <v>85300</v>
      </c>
      <c r="Q380" s="8">
        <v>261000</v>
      </c>
      <c r="R380" s="8">
        <v>201000</v>
      </c>
      <c r="S380" s="8">
        <v>300500</v>
      </c>
      <c r="T380" s="8">
        <v>27850</v>
      </c>
      <c r="U380" s="8">
        <v>99700</v>
      </c>
      <c r="V380" s="7">
        <v>292500</v>
      </c>
      <c r="W380" s="7">
        <v>23930</v>
      </c>
      <c r="X380" s="7">
        <v>292000</v>
      </c>
      <c r="Y380" s="7">
        <v>26000</v>
      </c>
      <c r="Z380" s="7">
        <v>49600</v>
      </c>
      <c r="AA380" s="8">
        <v>153000</v>
      </c>
      <c r="AB380" s="8">
        <v>314000</v>
      </c>
      <c r="AC380" s="8">
        <v>12350</v>
      </c>
      <c r="AD380" s="8">
        <v>205500</v>
      </c>
      <c r="AE380" s="8">
        <v>38850</v>
      </c>
      <c r="AF380" s="7">
        <v>37300</v>
      </c>
      <c r="AG380" s="7">
        <v>81000</v>
      </c>
      <c r="AH380" s="7">
        <v>79600</v>
      </c>
      <c r="AI380" s="7">
        <v>68200</v>
      </c>
      <c r="AJ380" s="7">
        <v>22250</v>
      </c>
      <c r="AK380" s="8">
        <v>27850</v>
      </c>
      <c r="AL380" s="8">
        <v>202000</v>
      </c>
      <c r="AM380" s="8">
        <v>284500</v>
      </c>
      <c r="AN380" s="8">
        <v>24850</v>
      </c>
      <c r="AO380" s="8">
        <v>9400</v>
      </c>
      <c r="AP380" s="7">
        <v>494000</v>
      </c>
      <c r="AQ380" s="7">
        <v>307500</v>
      </c>
      <c r="AR380" s="7">
        <v>9450</v>
      </c>
      <c r="AS380" s="7">
        <v>38100</v>
      </c>
      <c r="AT380" s="7">
        <v>72700</v>
      </c>
      <c r="AU380" s="8">
        <v>197500</v>
      </c>
      <c r="AV380" s="8">
        <v>34200</v>
      </c>
      <c r="AW380" s="8">
        <v>7250</v>
      </c>
      <c r="AX380" s="8">
        <v>142000</v>
      </c>
      <c r="AY380" s="8">
        <v>35750</v>
      </c>
    </row>
    <row r="381" spans="1:51" x14ac:dyDescent="0.4">
      <c r="A381" s="11">
        <v>40896</v>
      </c>
      <c r="B381" s="7">
        <v>65000</v>
      </c>
      <c r="C381" s="7">
        <v>20850</v>
      </c>
      <c r="D381" s="7">
        <v>67300</v>
      </c>
      <c r="E381" s="7">
        <v>202500</v>
      </c>
      <c r="F381" s="7">
        <v>66500</v>
      </c>
      <c r="G381" s="8">
        <v>42200</v>
      </c>
      <c r="H381" s="8">
        <v>58500</v>
      </c>
      <c r="I381" s="8">
        <v>126000</v>
      </c>
      <c r="J381" s="8">
        <v>95900</v>
      </c>
      <c r="K381" s="8">
        <v>206000</v>
      </c>
      <c r="L381" s="7">
        <v>380000</v>
      </c>
      <c r="M381" s="7">
        <v>1007000</v>
      </c>
      <c r="N381" s="7">
        <v>86700</v>
      </c>
      <c r="O381" s="7">
        <v>130500</v>
      </c>
      <c r="P381" s="7">
        <v>81800</v>
      </c>
      <c r="Q381" s="8">
        <v>257000</v>
      </c>
      <c r="R381" s="8">
        <v>203000</v>
      </c>
      <c r="S381" s="8">
        <v>291000</v>
      </c>
      <c r="T381" s="8">
        <v>27250</v>
      </c>
      <c r="U381" s="8">
        <v>98200</v>
      </c>
      <c r="V381" s="7">
        <v>290500</v>
      </c>
      <c r="W381" s="7">
        <v>23290</v>
      </c>
      <c r="X381" s="7">
        <v>288000</v>
      </c>
      <c r="Y381" s="7">
        <v>26700</v>
      </c>
      <c r="Z381" s="7">
        <v>49500</v>
      </c>
      <c r="AA381" s="8">
        <v>145500</v>
      </c>
      <c r="AB381" s="8">
        <v>317500</v>
      </c>
      <c r="AC381" s="8">
        <v>12400</v>
      </c>
      <c r="AD381" s="8">
        <v>205500</v>
      </c>
      <c r="AE381" s="8">
        <v>38750</v>
      </c>
      <c r="AF381" s="7">
        <v>36450</v>
      </c>
      <c r="AG381" s="7">
        <v>80800</v>
      </c>
      <c r="AH381" s="7">
        <v>80200</v>
      </c>
      <c r="AI381" s="7">
        <v>67000</v>
      </c>
      <c r="AJ381" s="7">
        <v>22300</v>
      </c>
      <c r="AK381" s="8">
        <v>27100</v>
      </c>
      <c r="AL381" s="8">
        <v>209500</v>
      </c>
      <c r="AM381" s="8">
        <v>287500</v>
      </c>
      <c r="AN381" s="8">
        <v>24400</v>
      </c>
      <c r="AO381" s="8">
        <v>9310</v>
      </c>
      <c r="AP381" s="7">
        <v>484500</v>
      </c>
      <c r="AQ381" s="7">
        <v>310000</v>
      </c>
      <c r="AR381" s="7">
        <v>9460</v>
      </c>
      <c r="AS381" s="7">
        <v>37600</v>
      </c>
      <c r="AT381" s="7">
        <v>71500</v>
      </c>
      <c r="AU381" s="8">
        <v>197500</v>
      </c>
      <c r="AV381" s="8">
        <v>34000</v>
      </c>
      <c r="AW381" s="8">
        <v>7260</v>
      </c>
      <c r="AX381" s="8">
        <v>139500</v>
      </c>
      <c r="AY381" s="8">
        <v>35650</v>
      </c>
    </row>
    <row r="382" spans="1:51" x14ac:dyDescent="0.4">
      <c r="A382" s="11">
        <v>40893</v>
      </c>
      <c r="B382" s="7">
        <v>66300</v>
      </c>
      <c r="C382" s="7">
        <v>22150</v>
      </c>
      <c r="D382" s="7">
        <v>68000</v>
      </c>
      <c r="E382" s="7">
        <v>210000</v>
      </c>
      <c r="F382" s="7">
        <v>68600</v>
      </c>
      <c r="G382" s="8">
        <v>45600</v>
      </c>
      <c r="H382" s="8">
        <v>62300</v>
      </c>
      <c r="I382" s="8">
        <v>131500</v>
      </c>
      <c r="J382" s="8">
        <v>99000</v>
      </c>
      <c r="K382" s="8">
        <v>208500</v>
      </c>
      <c r="L382" s="7">
        <v>386500</v>
      </c>
      <c r="M382" s="7">
        <v>1045000</v>
      </c>
      <c r="N382" s="7">
        <v>88300</v>
      </c>
      <c r="O382" s="7">
        <v>139000</v>
      </c>
      <c r="P382" s="7">
        <v>85800</v>
      </c>
      <c r="Q382" s="8">
        <v>265000</v>
      </c>
      <c r="R382" s="8">
        <v>214500</v>
      </c>
      <c r="S382" s="8">
        <v>309500</v>
      </c>
      <c r="T382" s="8">
        <v>28800</v>
      </c>
      <c r="U382" s="8">
        <v>103000</v>
      </c>
      <c r="V382" s="7">
        <v>302000</v>
      </c>
      <c r="W382" s="7">
        <v>24176</v>
      </c>
      <c r="X382" s="7">
        <v>295500</v>
      </c>
      <c r="Y382" s="7">
        <v>27150</v>
      </c>
      <c r="Z382" s="7">
        <v>51300</v>
      </c>
      <c r="AA382" s="8">
        <v>149000</v>
      </c>
      <c r="AB382" s="8">
        <v>325500</v>
      </c>
      <c r="AC382" s="8">
        <v>12850</v>
      </c>
      <c r="AD382" s="8">
        <v>214500</v>
      </c>
      <c r="AE382" s="8">
        <v>39350</v>
      </c>
      <c r="AF382" s="7">
        <v>37000</v>
      </c>
      <c r="AG382" s="7">
        <v>82700</v>
      </c>
      <c r="AH382" s="7">
        <v>81300</v>
      </c>
      <c r="AI382" s="7">
        <v>70700</v>
      </c>
      <c r="AJ382" s="7">
        <v>23550</v>
      </c>
      <c r="AK382" s="8">
        <v>28200</v>
      </c>
      <c r="AL382" s="8">
        <v>217500</v>
      </c>
      <c r="AM382" s="8">
        <v>289000</v>
      </c>
      <c r="AN382" s="8">
        <v>25450</v>
      </c>
      <c r="AO382" s="8">
        <v>9770</v>
      </c>
      <c r="AP382" s="7">
        <v>498500</v>
      </c>
      <c r="AQ382" s="7">
        <v>327000</v>
      </c>
      <c r="AR382" s="7">
        <v>9620</v>
      </c>
      <c r="AS382" s="7">
        <v>38650</v>
      </c>
      <c r="AT382" s="7">
        <v>75000</v>
      </c>
      <c r="AU382" s="8">
        <v>206500</v>
      </c>
      <c r="AV382" s="8">
        <v>34750</v>
      </c>
      <c r="AW382" s="8">
        <v>7440</v>
      </c>
      <c r="AX382" s="8">
        <v>149000</v>
      </c>
      <c r="AY382" s="8">
        <v>36250</v>
      </c>
    </row>
    <row r="383" spans="1:51" x14ac:dyDescent="0.4">
      <c r="A383" s="11">
        <v>40892</v>
      </c>
      <c r="B383" s="7">
        <v>64800</v>
      </c>
      <c r="C383" s="7">
        <v>22750</v>
      </c>
      <c r="D383" s="7">
        <v>68700</v>
      </c>
      <c r="E383" s="7">
        <v>209500</v>
      </c>
      <c r="F383" s="7">
        <v>68600</v>
      </c>
      <c r="G383" s="8">
        <v>46050</v>
      </c>
      <c r="H383" s="8">
        <v>59500</v>
      </c>
      <c r="I383" s="8">
        <v>130500</v>
      </c>
      <c r="J383" s="8">
        <v>96400</v>
      </c>
      <c r="K383" s="8">
        <v>203500</v>
      </c>
      <c r="L383" s="7">
        <v>384000</v>
      </c>
      <c r="M383" s="7">
        <v>1015000</v>
      </c>
      <c r="N383" s="7">
        <v>88000</v>
      </c>
      <c r="O383" s="7">
        <v>137500</v>
      </c>
      <c r="P383" s="7">
        <v>86800</v>
      </c>
      <c r="Q383" s="8">
        <v>262500</v>
      </c>
      <c r="R383" s="8">
        <v>213000</v>
      </c>
      <c r="S383" s="8">
        <v>306000</v>
      </c>
      <c r="T383" s="8">
        <v>28300</v>
      </c>
      <c r="U383" s="8">
        <v>101000</v>
      </c>
      <c r="V383" s="7">
        <v>301500</v>
      </c>
      <c r="W383" s="7">
        <v>24274</v>
      </c>
      <c r="X383" s="7">
        <v>286500</v>
      </c>
      <c r="Y383" s="7">
        <v>26550</v>
      </c>
      <c r="Z383" s="7">
        <v>51300</v>
      </c>
      <c r="AA383" s="8">
        <v>148500</v>
      </c>
      <c r="AB383" s="8">
        <v>329500</v>
      </c>
      <c r="AC383" s="8">
        <v>12800</v>
      </c>
      <c r="AD383" s="8">
        <v>204000</v>
      </c>
      <c r="AE383" s="8">
        <v>38800</v>
      </c>
      <c r="AF383" s="7">
        <v>36650</v>
      </c>
      <c r="AG383" s="7">
        <v>83500</v>
      </c>
      <c r="AH383" s="7">
        <v>79800</v>
      </c>
      <c r="AI383" s="7">
        <v>70100</v>
      </c>
      <c r="AJ383" s="7">
        <v>23750</v>
      </c>
      <c r="AK383" s="8">
        <v>28500</v>
      </c>
      <c r="AL383" s="8">
        <v>216000</v>
      </c>
      <c r="AM383" s="8">
        <v>287000</v>
      </c>
      <c r="AN383" s="8">
        <v>26050</v>
      </c>
      <c r="AO383" s="8">
        <v>9840</v>
      </c>
      <c r="AP383" s="7">
        <v>502000</v>
      </c>
      <c r="AQ383" s="7">
        <v>312000</v>
      </c>
      <c r="AR383" s="7">
        <v>9500</v>
      </c>
      <c r="AS383" s="7">
        <v>38000</v>
      </c>
      <c r="AT383" s="7">
        <v>74800</v>
      </c>
      <c r="AU383" s="8">
        <v>201000</v>
      </c>
      <c r="AV383" s="8">
        <v>34700</v>
      </c>
      <c r="AW383" s="8">
        <v>7580</v>
      </c>
      <c r="AX383" s="8">
        <v>149000</v>
      </c>
      <c r="AY383" s="8">
        <v>35750</v>
      </c>
    </row>
    <row r="384" spans="1:51" x14ac:dyDescent="0.4">
      <c r="A384" s="12">
        <v>40891</v>
      </c>
      <c r="B384" s="9">
        <v>66100</v>
      </c>
      <c r="C384" s="9">
        <v>22850</v>
      </c>
      <c r="D384" s="9">
        <v>71000</v>
      </c>
      <c r="E384" s="9">
        <v>214000</v>
      </c>
      <c r="F384" s="9">
        <v>71400</v>
      </c>
      <c r="G384" s="10">
        <v>46850</v>
      </c>
      <c r="H384" s="10">
        <v>60800</v>
      </c>
      <c r="I384" s="10">
        <v>136500</v>
      </c>
      <c r="J384" s="10">
        <v>98100</v>
      </c>
      <c r="K384" s="10">
        <v>209000</v>
      </c>
      <c r="L384" s="9">
        <v>390000</v>
      </c>
      <c r="M384" s="9">
        <v>1040000</v>
      </c>
      <c r="N384" s="9">
        <v>91600</v>
      </c>
      <c r="O384" s="9">
        <v>144000</v>
      </c>
      <c r="P384" s="9">
        <v>90300</v>
      </c>
      <c r="Q384" s="10">
        <v>269000</v>
      </c>
      <c r="R384" s="10">
        <v>225500</v>
      </c>
      <c r="S384" s="10">
        <v>335500</v>
      </c>
      <c r="T384" s="10">
        <v>29800</v>
      </c>
      <c r="U384" s="10">
        <v>106000</v>
      </c>
      <c r="V384" s="9">
        <v>320000</v>
      </c>
      <c r="W384" s="9">
        <v>24718</v>
      </c>
      <c r="X384" s="9">
        <v>288000</v>
      </c>
      <c r="Y384" s="9">
        <v>26050</v>
      </c>
      <c r="Z384" s="9">
        <v>51900</v>
      </c>
      <c r="AA384" s="10">
        <v>151000</v>
      </c>
      <c r="AB384" s="10">
        <v>340000</v>
      </c>
      <c r="AC384" s="10">
        <v>13000</v>
      </c>
      <c r="AD384" s="10">
        <v>215500</v>
      </c>
      <c r="AE384" s="10">
        <v>39000</v>
      </c>
      <c r="AF384" s="9">
        <v>36800</v>
      </c>
      <c r="AG384" s="9">
        <v>84800</v>
      </c>
      <c r="AH384" s="9">
        <v>82400</v>
      </c>
      <c r="AI384" s="9">
        <v>70500</v>
      </c>
      <c r="AJ384" s="9">
        <v>23700</v>
      </c>
      <c r="AK384" s="10">
        <v>29250</v>
      </c>
      <c r="AL384" s="10">
        <v>218000</v>
      </c>
      <c r="AM384" s="10">
        <v>304000</v>
      </c>
      <c r="AN384" s="10">
        <v>27850</v>
      </c>
      <c r="AO384" s="10">
        <v>10050</v>
      </c>
      <c r="AP384" s="9">
        <v>510000</v>
      </c>
      <c r="AQ384" s="9">
        <v>315500</v>
      </c>
      <c r="AR384" s="9">
        <v>9630</v>
      </c>
      <c r="AS384" s="9">
        <v>39350</v>
      </c>
      <c r="AT384" s="9">
        <v>73600</v>
      </c>
      <c r="AU384" s="10">
        <v>201500</v>
      </c>
      <c r="AV384" s="10">
        <v>35400</v>
      </c>
      <c r="AW384" s="10">
        <v>7650</v>
      </c>
      <c r="AX384" s="10">
        <v>160000</v>
      </c>
      <c r="AY384" s="10">
        <v>36100</v>
      </c>
    </row>
    <row r="385" spans="1:51" x14ac:dyDescent="0.4">
      <c r="A385" s="11">
        <v>40890</v>
      </c>
      <c r="B385" s="7">
        <v>67000</v>
      </c>
      <c r="C385" s="7">
        <v>22650</v>
      </c>
      <c r="D385" s="7">
        <v>70300</v>
      </c>
      <c r="E385" s="7">
        <v>218000</v>
      </c>
      <c r="F385" s="7">
        <v>72500</v>
      </c>
      <c r="G385" s="8">
        <v>47500</v>
      </c>
      <c r="H385" s="8">
        <v>60600</v>
      </c>
      <c r="I385" s="8">
        <v>138000</v>
      </c>
      <c r="J385" s="8">
        <v>98500</v>
      </c>
      <c r="K385" s="8">
        <v>210500</v>
      </c>
      <c r="L385" s="7">
        <v>389500</v>
      </c>
      <c r="M385" s="7">
        <v>1050000</v>
      </c>
      <c r="N385" s="7">
        <v>93800</v>
      </c>
      <c r="O385" s="7">
        <v>148500</v>
      </c>
      <c r="P385" s="7">
        <v>90000</v>
      </c>
      <c r="Q385" s="8">
        <v>269000</v>
      </c>
      <c r="R385" s="8">
        <v>228000</v>
      </c>
      <c r="S385" s="8">
        <v>347000</v>
      </c>
      <c r="T385" s="8">
        <v>29550</v>
      </c>
      <c r="U385" s="8">
        <v>107000</v>
      </c>
      <c r="V385" s="7">
        <v>326500</v>
      </c>
      <c r="W385" s="7">
        <v>24422</v>
      </c>
      <c r="X385" s="7">
        <v>291500</v>
      </c>
      <c r="Y385" s="7">
        <v>25850</v>
      </c>
      <c r="Z385" s="7">
        <v>52000</v>
      </c>
      <c r="AA385" s="8">
        <v>149000</v>
      </c>
      <c r="AB385" s="8">
        <v>344000</v>
      </c>
      <c r="AC385" s="8">
        <v>12800</v>
      </c>
      <c r="AD385" s="8">
        <v>222500</v>
      </c>
      <c r="AE385" s="8">
        <v>39250</v>
      </c>
      <c r="AF385" s="7">
        <v>36700</v>
      </c>
      <c r="AG385" s="7">
        <v>84800</v>
      </c>
      <c r="AH385" s="7">
        <v>81700</v>
      </c>
      <c r="AI385" s="7">
        <v>69400</v>
      </c>
      <c r="AJ385" s="7">
        <v>24200</v>
      </c>
      <c r="AK385" s="8">
        <v>28550</v>
      </c>
      <c r="AL385" s="8">
        <v>227500</v>
      </c>
      <c r="AM385" s="8">
        <v>313000</v>
      </c>
      <c r="AN385" s="8">
        <v>27500</v>
      </c>
      <c r="AO385" s="8">
        <v>9950</v>
      </c>
      <c r="AP385" s="7">
        <v>499000</v>
      </c>
      <c r="AQ385" s="7">
        <v>313000</v>
      </c>
      <c r="AR385" s="7">
        <v>9580</v>
      </c>
      <c r="AS385" s="7">
        <v>39100</v>
      </c>
      <c r="AT385" s="7">
        <v>74600</v>
      </c>
      <c r="AU385" s="8">
        <v>202000</v>
      </c>
      <c r="AV385" s="8">
        <v>36400</v>
      </c>
      <c r="AW385" s="8">
        <v>7710</v>
      </c>
      <c r="AX385" s="8">
        <v>161500</v>
      </c>
      <c r="AY385" s="8">
        <v>36000</v>
      </c>
    </row>
    <row r="386" spans="1:51" x14ac:dyDescent="0.4">
      <c r="A386" s="11">
        <v>40889</v>
      </c>
      <c r="B386" s="7">
        <v>68900</v>
      </c>
      <c r="C386" s="7">
        <v>22250</v>
      </c>
      <c r="D386" s="7">
        <v>70700</v>
      </c>
      <c r="E386" s="7">
        <v>223500</v>
      </c>
      <c r="F386" s="7">
        <v>72100</v>
      </c>
      <c r="G386" s="8">
        <v>48800</v>
      </c>
      <c r="H386" s="8">
        <v>61100</v>
      </c>
      <c r="I386" s="8">
        <v>143500</v>
      </c>
      <c r="J386" s="8">
        <v>100500</v>
      </c>
      <c r="K386" s="8">
        <v>219000</v>
      </c>
      <c r="L386" s="7">
        <v>397000</v>
      </c>
      <c r="M386" s="7">
        <v>1084000</v>
      </c>
      <c r="N386" s="7">
        <v>93000</v>
      </c>
      <c r="O386" s="7">
        <v>149500</v>
      </c>
      <c r="P386" s="7">
        <v>88700</v>
      </c>
      <c r="Q386" s="8">
        <v>279000</v>
      </c>
      <c r="R386" s="8">
        <v>225000</v>
      </c>
      <c r="S386" s="8">
        <v>356000</v>
      </c>
      <c r="T386" s="8">
        <v>31000</v>
      </c>
      <c r="U386" s="8">
        <v>112500</v>
      </c>
      <c r="V386" s="7">
        <v>338000</v>
      </c>
      <c r="W386" s="7">
        <v>25062</v>
      </c>
      <c r="X386" s="7">
        <v>301500</v>
      </c>
      <c r="Y386" s="7">
        <v>26200</v>
      </c>
      <c r="Z386" s="7">
        <v>52500</v>
      </c>
      <c r="AA386" s="8">
        <v>151000</v>
      </c>
      <c r="AB386" s="8">
        <v>340000</v>
      </c>
      <c r="AC386" s="8">
        <v>12800</v>
      </c>
      <c r="AD386" s="8">
        <v>223500</v>
      </c>
      <c r="AE386" s="8">
        <v>41700</v>
      </c>
      <c r="AF386" s="7">
        <v>36750</v>
      </c>
      <c r="AG386" s="7">
        <v>85500</v>
      </c>
      <c r="AH386" s="7">
        <v>83500</v>
      </c>
      <c r="AI386" s="7">
        <v>69000</v>
      </c>
      <c r="AJ386" s="7">
        <v>23700</v>
      </c>
      <c r="AK386" s="8">
        <v>28950</v>
      </c>
      <c r="AL386" s="8">
        <v>227000</v>
      </c>
      <c r="AM386" s="8">
        <v>314500</v>
      </c>
      <c r="AN386" s="8">
        <v>28650</v>
      </c>
      <c r="AO386" s="8">
        <v>10150</v>
      </c>
      <c r="AP386" s="7">
        <v>513000</v>
      </c>
      <c r="AQ386" s="7">
        <v>313500</v>
      </c>
      <c r="AR386" s="7">
        <v>9800</v>
      </c>
      <c r="AS386" s="7">
        <v>40450</v>
      </c>
      <c r="AT386" s="7">
        <v>74200</v>
      </c>
      <c r="AU386" s="8">
        <v>211000</v>
      </c>
      <c r="AV386" s="8">
        <v>37050</v>
      </c>
      <c r="AW386" s="8">
        <v>7740</v>
      </c>
      <c r="AX386" s="8">
        <v>169000</v>
      </c>
      <c r="AY386" s="8">
        <v>36550</v>
      </c>
    </row>
    <row r="387" spans="1:51" x14ac:dyDescent="0.4">
      <c r="A387" s="11">
        <v>40886</v>
      </c>
      <c r="B387" s="7">
        <v>69800</v>
      </c>
      <c r="C387" s="7">
        <v>21400</v>
      </c>
      <c r="D387" s="7">
        <v>68500</v>
      </c>
      <c r="E387" s="7">
        <v>222500</v>
      </c>
      <c r="F387" s="7">
        <v>70200</v>
      </c>
      <c r="G387" s="8">
        <v>48250</v>
      </c>
      <c r="H387" s="8">
        <v>59300</v>
      </c>
      <c r="I387" s="8">
        <v>141500</v>
      </c>
      <c r="J387" s="8">
        <v>101500</v>
      </c>
      <c r="K387" s="8">
        <v>216000</v>
      </c>
      <c r="L387" s="7">
        <v>388000</v>
      </c>
      <c r="M387" s="7">
        <v>1053000</v>
      </c>
      <c r="N387" s="7">
        <v>91600</v>
      </c>
      <c r="O387" s="7">
        <v>140000</v>
      </c>
      <c r="P387" s="7">
        <v>85000</v>
      </c>
      <c r="Q387" s="8">
        <v>279000</v>
      </c>
      <c r="R387" s="8">
        <v>234000</v>
      </c>
      <c r="S387" s="8">
        <v>356000</v>
      </c>
      <c r="T387" s="8">
        <v>30850</v>
      </c>
      <c r="U387" s="8">
        <v>111000</v>
      </c>
      <c r="V387" s="7">
        <v>330500</v>
      </c>
      <c r="W387" s="7">
        <v>24324</v>
      </c>
      <c r="X387" s="7">
        <v>304500</v>
      </c>
      <c r="Y387" s="7">
        <v>25750</v>
      </c>
      <c r="Z387" s="7">
        <v>51700</v>
      </c>
      <c r="AA387" s="8">
        <v>150500</v>
      </c>
      <c r="AB387" s="8">
        <v>340000</v>
      </c>
      <c r="AC387" s="8">
        <v>12950</v>
      </c>
      <c r="AD387" s="8">
        <v>224500</v>
      </c>
      <c r="AE387" s="8">
        <v>41850</v>
      </c>
      <c r="AF387" s="7">
        <v>36550</v>
      </c>
      <c r="AG387" s="7">
        <v>85400</v>
      </c>
      <c r="AH387" s="7">
        <v>80900</v>
      </c>
      <c r="AI387" s="7">
        <v>65300</v>
      </c>
      <c r="AJ387" s="7">
        <v>23400</v>
      </c>
      <c r="AK387" s="8">
        <v>28000</v>
      </c>
      <c r="AL387" s="8">
        <v>216000</v>
      </c>
      <c r="AM387" s="8">
        <v>310000</v>
      </c>
      <c r="AN387" s="8">
        <v>28850</v>
      </c>
      <c r="AO387" s="8">
        <v>10000</v>
      </c>
      <c r="AP387" s="7">
        <v>503000</v>
      </c>
      <c r="AQ387" s="7">
        <v>316000</v>
      </c>
      <c r="AR387" s="7">
        <v>9770</v>
      </c>
      <c r="AS387" s="7">
        <v>40250</v>
      </c>
      <c r="AT387" s="7">
        <v>71000</v>
      </c>
      <c r="AU387" s="8">
        <v>211000</v>
      </c>
      <c r="AV387" s="8">
        <v>37600</v>
      </c>
      <c r="AW387" s="8">
        <v>7550</v>
      </c>
      <c r="AX387" s="8">
        <v>167000</v>
      </c>
      <c r="AY387" s="8">
        <v>36800</v>
      </c>
    </row>
    <row r="388" spans="1:51" x14ac:dyDescent="0.4">
      <c r="A388" s="11">
        <v>40885</v>
      </c>
      <c r="B388" s="7">
        <v>71300</v>
      </c>
      <c r="C388" s="7">
        <v>22050</v>
      </c>
      <c r="D388" s="7">
        <v>70400</v>
      </c>
      <c r="E388" s="7">
        <v>225000</v>
      </c>
      <c r="F388" s="7">
        <v>72100</v>
      </c>
      <c r="G388" s="8">
        <v>48400</v>
      </c>
      <c r="H388" s="8">
        <v>61000</v>
      </c>
      <c r="I388" s="8">
        <v>146500</v>
      </c>
      <c r="J388" s="8">
        <v>103500</v>
      </c>
      <c r="K388" s="8">
        <v>223000</v>
      </c>
      <c r="L388" s="7">
        <v>394500</v>
      </c>
      <c r="M388" s="7">
        <v>1064000</v>
      </c>
      <c r="N388" s="7">
        <v>94000</v>
      </c>
      <c r="O388" s="7">
        <v>136500</v>
      </c>
      <c r="P388" s="7">
        <v>83300</v>
      </c>
      <c r="Q388" s="8">
        <v>290000</v>
      </c>
      <c r="R388" s="8">
        <v>235500</v>
      </c>
      <c r="S388" s="8">
        <v>364000</v>
      </c>
      <c r="T388" s="8">
        <v>31850</v>
      </c>
      <c r="U388" s="8">
        <v>115000</v>
      </c>
      <c r="V388" s="7">
        <v>339500</v>
      </c>
      <c r="W388" s="7">
        <v>25407</v>
      </c>
      <c r="X388" s="7">
        <v>314000</v>
      </c>
      <c r="Y388" s="7">
        <v>26400</v>
      </c>
      <c r="Z388" s="7">
        <v>53600</v>
      </c>
      <c r="AA388" s="8">
        <v>154000</v>
      </c>
      <c r="AB388" s="8">
        <v>343500</v>
      </c>
      <c r="AC388" s="8">
        <v>13500</v>
      </c>
      <c r="AD388" s="8">
        <v>231000</v>
      </c>
      <c r="AE388" s="8">
        <v>42900</v>
      </c>
      <c r="AF388" s="7">
        <v>36850</v>
      </c>
      <c r="AG388" s="7">
        <v>86000</v>
      </c>
      <c r="AH388" s="7">
        <v>84200</v>
      </c>
      <c r="AI388" s="7">
        <v>66600</v>
      </c>
      <c r="AJ388" s="7">
        <v>24250</v>
      </c>
      <c r="AK388" s="8">
        <v>28400</v>
      </c>
      <c r="AL388" s="8">
        <v>225000</v>
      </c>
      <c r="AM388" s="8">
        <v>318500</v>
      </c>
      <c r="AN388" s="8">
        <v>29800</v>
      </c>
      <c r="AO388" s="8">
        <v>10250</v>
      </c>
      <c r="AP388" s="7">
        <v>510000</v>
      </c>
      <c r="AQ388" s="7">
        <v>329000</v>
      </c>
      <c r="AR388" s="7">
        <v>9990</v>
      </c>
      <c r="AS388" s="7">
        <v>41800</v>
      </c>
      <c r="AT388" s="7">
        <v>74000</v>
      </c>
      <c r="AU388" s="8">
        <v>213000</v>
      </c>
      <c r="AV388" s="8">
        <v>38350</v>
      </c>
      <c r="AW388" s="8">
        <v>7690</v>
      </c>
      <c r="AX388" s="8">
        <v>173000</v>
      </c>
      <c r="AY388" s="8">
        <v>37800</v>
      </c>
    </row>
    <row r="389" spans="1:51" x14ac:dyDescent="0.4">
      <c r="A389" s="12">
        <v>40884</v>
      </c>
      <c r="B389" s="9">
        <v>72600</v>
      </c>
      <c r="C389" s="9">
        <v>22400</v>
      </c>
      <c r="D389" s="9">
        <v>70400</v>
      </c>
      <c r="E389" s="9">
        <v>225000</v>
      </c>
      <c r="F389" s="9">
        <v>71500</v>
      </c>
      <c r="G389" s="10">
        <v>47450</v>
      </c>
      <c r="H389" s="10">
        <v>63200</v>
      </c>
      <c r="I389" s="10">
        <v>148000</v>
      </c>
      <c r="J389" s="10">
        <v>104000</v>
      </c>
      <c r="K389" s="10">
        <v>227000</v>
      </c>
      <c r="L389" s="9">
        <v>397500</v>
      </c>
      <c r="M389" s="9">
        <v>1056000</v>
      </c>
      <c r="N389" s="9">
        <v>95000</v>
      </c>
      <c r="O389" s="9">
        <v>139500</v>
      </c>
      <c r="P389" s="9">
        <v>83700</v>
      </c>
      <c r="Q389" s="10">
        <v>295000</v>
      </c>
      <c r="R389" s="10">
        <v>225500</v>
      </c>
      <c r="S389" s="10">
        <v>363000</v>
      </c>
      <c r="T389" s="10">
        <v>32300</v>
      </c>
      <c r="U389" s="10">
        <v>117000</v>
      </c>
      <c r="V389" s="9">
        <v>338000</v>
      </c>
      <c r="W389" s="9">
        <v>25210</v>
      </c>
      <c r="X389" s="9">
        <v>321000</v>
      </c>
      <c r="Y389" s="9">
        <v>26250</v>
      </c>
      <c r="Z389" s="9">
        <v>54300</v>
      </c>
      <c r="AA389" s="10">
        <v>150000</v>
      </c>
      <c r="AB389" s="10">
        <v>342000</v>
      </c>
      <c r="AC389" s="10">
        <v>14000</v>
      </c>
      <c r="AD389" s="10">
        <v>236000</v>
      </c>
      <c r="AE389" s="10">
        <v>42950</v>
      </c>
      <c r="AF389" s="9">
        <v>37850</v>
      </c>
      <c r="AG389" s="9">
        <v>86800</v>
      </c>
      <c r="AH389" s="9">
        <v>81500</v>
      </c>
      <c r="AI389" s="9">
        <v>67100</v>
      </c>
      <c r="AJ389" s="9">
        <v>25550</v>
      </c>
      <c r="AK389" s="10">
        <v>28050</v>
      </c>
      <c r="AL389" s="10">
        <v>222000</v>
      </c>
      <c r="AM389" s="10">
        <v>323500</v>
      </c>
      <c r="AN389" s="10">
        <v>30300</v>
      </c>
      <c r="AO389" s="10">
        <v>10000</v>
      </c>
      <c r="AP389" s="9">
        <v>507000</v>
      </c>
      <c r="AQ389" s="9">
        <v>328500</v>
      </c>
      <c r="AR389" s="9">
        <v>10100</v>
      </c>
      <c r="AS389" s="9">
        <v>42900</v>
      </c>
      <c r="AT389" s="9">
        <v>75000</v>
      </c>
      <c r="AU389" s="10">
        <v>212500</v>
      </c>
      <c r="AV389" s="10">
        <v>38800</v>
      </c>
      <c r="AW389" s="10">
        <v>7730</v>
      </c>
      <c r="AX389" s="10">
        <v>176500</v>
      </c>
      <c r="AY389" s="10">
        <v>38250</v>
      </c>
    </row>
    <row r="390" spans="1:51" x14ac:dyDescent="0.4">
      <c r="A390" s="11">
        <v>40883</v>
      </c>
      <c r="B390" s="7">
        <v>72600</v>
      </c>
      <c r="C390" s="7">
        <v>22750</v>
      </c>
      <c r="D390" s="7">
        <v>68600</v>
      </c>
      <c r="E390" s="7">
        <v>223000</v>
      </c>
      <c r="F390" s="7">
        <v>68500</v>
      </c>
      <c r="G390" s="8">
        <v>45950</v>
      </c>
      <c r="H390" s="8">
        <v>64500</v>
      </c>
      <c r="I390" s="8">
        <v>145500</v>
      </c>
      <c r="J390" s="8">
        <v>102000</v>
      </c>
      <c r="K390" s="8">
        <v>226000</v>
      </c>
      <c r="L390" s="7">
        <v>392000</v>
      </c>
      <c r="M390" s="7">
        <v>1044000</v>
      </c>
      <c r="N390" s="7">
        <v>92300</v>
      </c>
      <c r="O390" s="7">
        <v>133500</v>
      </c>
      <c r="P390" s="7">
        <v>83000</v>
      </c>
      <c r="Q390" s="8">
        <v>294000</v>
      </c>
      <c r="R390" s="8">
        <v>222500</v>
      </c>
      <c r="S390" s="8">
        <v>360500</v>
      </c>
      <c r="T390" s="8">
        <v>32050</v>
      </c>
      <c r="U390" s="8">
        <v>115000</v>
      </c>
      <c r="V390" s="7">
        <v>336000</v>
      </c>
      <c r="W390" s="7">
        <v>25161</v>
      </c>
      <c r="X390" s="7">
        <v>320500</v>
      </c>
      <c r="Y390" s="7">
        <v>25350</v>
      </c>
      <c r="Z390" s="7">
        <v>53500</v>
      </c>
      <c r="AA390" s="8">
        <v>149500</v>
      </c>
      <c r="AB390" s="8">
        <v>340000</v>
      </c>
      <c r="AC390" s="8">
        <v>13950</v>
      </c>
      <c r="AD390" s="8">
        <v>235500</v>
      </c>
      <c r="AE390" s="8">
        <v>42950</v>
      </c>
      <c r="AF390" s="7">
        <v>37150</v>
      </c>
      <c r="AG390" s="7">
        <v>86100</v>
      </c>
      <c r="AH390" s="7">
        <v>78200</v>
      </c>
      <c r="AI390" s="7">
        <v>65700</v>
      </c>
      <c r="AJ390" s="7">
        <v>25800</v>
      </c>
      <c r="AK390" s="8">
        <v>28000</v>
      </c>
      <c r="AL390" s="8">
        <v>231500</v>
      </c>
      <c r="AM390" s="8">
        <v>323500</v>
      </c>
      <c r="AN390" s="8">
        <v>30200</v>
      </c>
      <c r="AO390" s="8">
        <v>9940</v>
      </c>
      <c r="AP390" s="7">
        <v>508000</v>
      </c>
      <c r="AQ390" s="7">
        <v>348000</v>
      </c>
      <c r="AR390" s="7">
        <v>10150</v>
      </c>
      <c r="AS390" s="7">
        <v>41800</v>
      </c>
      <c r="AT390" s="7">
        <v>73700</v>
      </c>
      <c r="AU390" s="8">
        <v>210500</v>
      </c>
      <c r="AV390" s="8">
        <v>39550</v>
      </c>
      <c r="AW390" s="8">
        <v>7600</v>
      </c>
      <c r="AX390" s="8">
        <v>174500</v>
      </c>
      <c r="AY390" s="8">
        <v>38450</v>
      </c>
    </row>
    <row r="391" spans="1:51" x14ac:dyDescent="0.4">
      <c r="A391" s="11">
        <v>40882</v>
      </c>
      <c r="B391" s="7">
        <v>72400</v>
      </c>
      <c r="C391" s="7">
        <v>23250</v>
      </c>
      <c r="D391" s="7">
        <v>68300</v>
      </c>
      <c r="E391" s="7">
        <v>226500</v>
      </c>
      <c r="F391" s="7">
        <v>69700</v>
      </c>
      <c r="G391" s="8">
        <v>47000</v>
      </c>
      <c r="H391" s="8">
        <v>64500</v>
      </c>
      <c r="I391" s="8">
        <v>147000</v>
      </c>
      <c r="J391" s="8">
        <v>104500</v>
      </c>
      <c r="K391" s="8">
        <v>223000</v>
      </c>
      <c r="L391" s="7">
        <v>394500</v>
      </c>
      <c r="M391" s="7">
        <v>1066000</v>
      </c>
      <c r="N391" s="7">
        <v>94100</v>
      </c>
      <c r="O391" s="7">
        <v>141500</v>
      </c>
      <c r="P391" s="7">
        <v>83400</v>
      </c>
      <c r="Q391" s="8">
        <v>294500</v>
      </c>
      <c r="R391" s="8">
        <v>230000</v>
      </c>
      <c r="S391" s="8">
        <v>360000</v>
      </c>
      <c r="T391" s="8">
        <v>32250</v>
      </c>
      <c r="U391" s="8">
        <v>116500</v>
      </c>
      <c r="V391" s="7">
        <v>344500</v>
      </c>
      <c r="W391" s="7">
        <v>24865</v>
      </c>
      <c r="X391" s="7">
        <v>317500</v>
      </c>
      <c r="Y391" s="7">
        <v>25200</v>
      </c>
      <c r="Z391" s="7">
        <v>55200</v>
      </c>
      <c r="AA391" s="8">
        <v>150000</v>
      </c>
      <c r="AB391" s="8">
        <v>352000</v>
      </c>
      <c r="AC391" s="8">
        <v>14600</v>
      </c>
      <c r="AD391" s="8">
        <v>235000</v>
      </c>
      <c r="AE391" s="8">
        <v>43000</v>
      </c>
      <c r="AF391" s="7">
        <v>37200</v>
      </c>
      <c r="AG391" s="7">
        <v>85900</v>
      </c>
      <c r="AH391" s="7">
        <v>78400</v>
      </c>
      <c r="AI391" s="7">
        <v>66900</v>
      </c>
      <c r="AJ391" s="7">
        <v>25800</v>
      </c>
      <c r="AK391" s="8">
        <v>27900</v>
      </c>
      <c r="AL391" s="8">
        <v>231500</v>
      </c>
      <c r="AM391" s="8">
        <v>327500</v>
      </c>
      <c r="AN391" s="8">
        <v>30900</v>
      </c>
      <c r="AO391" s="8">
        <v>9990</v>
      </c>
      <c r="AP391" s="7">
        <v>519000</v>
      </c>
      <c r="AQ391" s="7">
        <v>350500</v>
      </c>
      <c r="AR391" s="7">
        <v>10400</v>
      </c>
      <c r="AS391" s="7">
        <v>42900</v>
      </c>
      <c r="AT391" s="7">
        <v>74300</v>
      </c>
      <c r="AU391" s="8">
        <v>217000</v>
      </c>
      <c r="AV391" s="8">
        <v>40650</v>
      </c>
      <c r="AW391" s="8">
        <v>7520</v>
      </c>
      <c r="AX391" s="8">
        <v>174500</v>
      </c>
      <c r="AY391" s="8">
        <v>39050</v>
      </c>
    </row>
    <row r="392" spans="1:51" x14ac:dyDescent="0.4">
      <c r="A392" s="11">
        <v>40879</v>
      </c>
      <c r="B392" s="7">
        <v>72000</v>
      </c>
      <c r="C392" s="7">
        <v>23100</v>
      </c>
      <c r="D392" s="7">
        <v>68600</v>
      </c>
      <c r="E392" s="7">
        <v>222500</v>
      </c>
      <c r="F392" s="7">
        <v>70100</v>
      </c>
      <c r="G392" s="8">
        <v>46700</v>
      </c>
      <c r="H392" s="8">
        <v>64500</v>
      </c>
      <c r="I392" s="8">
        <v>147500</v>
      </c>
      <c r="J392" s="8">
        <v>103500</v>
      </c>
      <c r="K392" s="8">
        <v>221500</v>
      </c>
      <c r="L392" s="7">
        <v>398000</v>
      </c>
      <c r="M392" s="7">
        <v>1050000</v>
      </c>
      <c r="N392" s="7">
        <v>94800</v>
      </c>
      <c r="O392" s="7">
        <v>141000</v>
      </c>
      <c r="P392" s="7">
        <v>83500</v>
      </c>
      <c r="Q392" s="8">
        <v>289000</v>
      </c>
      <c r="R392" s="8">
        <v>233500</v>
      </c>
      <c r="S392" s="8">
        <v>365000</v>
      </c>
      <c r="T392" s="8">
        <v>31900</v>
      </c>
      <c r="U392" s="8">
        <v>115000</v>
      </c>
      <c r="V392" s="7">
        <v>338500</v>
      </c>
      <c r="W392" s="7">
        <v>24964</v>
      </c>
      <c r="X392" s="7">
        <v>317500</v>
      </c>
      <c r="Y392" s="7">
        <v>25000</v>
      </c>
      <c r="Z392" s="7">
        <v>54900</v>
      </c>
      <c r="AA392" s="8">
        <v>150000</v>
      </c>
      <c r="AB392" s="8">
        <v>353500</v>
      </c>
      <c r="AC392" s="8">
        <v>15050</v>
      </c>
      <c r="AD392" s="8">
        <v>236000</v>
      </c>
      <c r="AE392" s="8">
        <v>42400</v>
      </c>
      <c r="AF392" s="7">
        <v>37350</v>
      </c>
      <c r="AG392" s="7">
        <v>85700</v>
      </c>
      <c r="AH392" s="7">
        <v>79500</v>
      </c>
      <c r="AI392" s="7">
        <v>67200</v>
      </c>
      <c r="AJ392" s="7">
        <v>25600</v>
      </c>
      <c r="AK392" s="8">
        <v>28200</v>
      </c>
      <c r="AL392" s="8">
        <v>229000</v>
      </c>
      <c r="AM392" s="8">
        <v>323500</v>
      </c>
      <c r="AN392" s="8">
        <v>29650</v>
      </c>
      <c r="AO392" s="8">
        <v>9870</v>
      </c>
      <c r="AP392" s="7">
        <v>510000</v>
      </c>
      <c r="AQ392" s="7">
        <v>348500</v>
      </c>
      <c r="AR392" s="7">
        <v>10500</v>
      </c>
      <c r="AS392" s="7">
        <v>43200</v>
      </c>
      <c r="AT392" s="7">
        <v>76400</v>
      </c>
      <c r="AU392" s="8">
        <v>226000</v>
      </c>
      <c r="AV392" s="8">
        <v>40700</v>
      </c>
      <c r="AW392" s="8">
        <v>7540</v>
      </c>
      <c r="AX392" s="8">
        <v>173500</v>
      </c>
      <c r="AY392" s="8">
        <v>39700</v>
      </c>
    </row>
    <row r="393" spans="1:51" x14ac:dyDescent="0.4">
      <c r="A393" s="11">
        <v>40878</v>
      </c>
      <c r="B393" s="7">
        <v>71500</v>
      </c>
      <c r="C393" s="7">
        <v>23450</v>
      </c>
      <c r="D393" s="7">
        <v>68000</v>
      </c>
      <c r="E393" s="7">
        <v>217000</v>
      </c>
      <c r="F393" s="7">
        <v>70000</v>
      </c>
      <c r="G393" s="8">
        <v>47200</v>
      </c>
      <c r="H393" s="8">
        <v>64200</v>
      </c>
      <c r="I393" s="8">
        <v>147000</v>
      </c>
      <c r="J393" s="8">
        <v>104500</v>
      </c>
      <c r="K393" s="8">
        <v>221500</v>
      </c>
      <c r="L393" s="7">
        <v>394500</v>
      </c>
      <c r="M393" s="7">
        <v>1074000</v>
      </c>
      <c r="N393" s="7">
        <v>94900</v>
      </c>
      <c r="O393" s="7">
        <v>139000</v>
      </c>
      <c r="P393" s="7">
        <v>82600</v>
      </c>
      <c r="Q393" s="8">
        <v>287000</v>
      </c>
      <c r="R393" s="8">
        <v>231000</v>
      </c>
      <c r="S393" s="8">
        <v>366000</v>
      </c>
      <c r="T393" s="8">
        <v>31450</v>
      </c>
      <c r="U393" s="8">
        <v>116500</v>
      </c>
      <c r="V393" s="7">
        <v>346000</v>
      </c>
      <c r="W393" s="7">
        <v>24816</v>
      </c>
      <c r="X393" s="7">
        <v>313500</v>
      </c>
      <c r="Y393" s="7">
        <v>24700</v>
      </c>
      <c r="Z393" s="7">
        <v>54600</v>
      </c>
      <c r="AA393" s="8">
        <v>153500</v>
      </c>
      <c r="AB393" s="8">
        <v>358500</v>
      </c>
      <c r="AC393" s="8">
        <v>14800</v>
      </c>
      <c r="AD393" s="8">
        <v>236500</v>
      </c>
      <c r="AE393" s="8">
        <v>40950</v>
      </c>
      <c r="AF393" s="7">
        <v>36600</v>
      </c>
      <c r="AG393" s="7">
        <v>85300</v>
      </c>
      <c r="AH393" s="7">
        <v>78500</v>
      </c>
      <c r="AI393" s="7">
        <v>66700</v>
      </c>
      <c r="AJ393" s="7">
        <v>26300</v>
      </c>
      <c r="AK393" s="8">
        <v>28300</v>
      </c>
      <c r="AL393" s="8">
        <v>227000</v>
      </c>
      <c r="AM393" s="8">
        <v>312500</v>
      </c>
      <c r="AN393" s="8">
        <v>29800</v>
      </c>
      <c r="AO393" s="8">
        <v>9810</v>
      </c>
      <c r="AP393" s="7">
        <v>526000</v>
      </c>
      <c r="AQ393" s="7">
        <v>346500</v>
      </c>
      <c r="AR393" s="7">
        <v>10300</v>
      </c>
      <c r="AS393" s="7">
        <v>42900</v>
      </c>
      <c r="AT393" s="7">
        <v>76000</v>
      </c>
      <c r="AU393" s="8">
        <v>221500</v>
      </c>
      <c r="AV393" s="8">
        <v>42050</v>
      </c>
      <c r="AW393" s="8">
        <v>7510</v>
      </c>
      <c r="AX393" s="8">
        <v>175500</v>
      </c>
      <c r="AY393" s="8">
        <v>39900</v>
      </c>
    </row>
    <row r="394" spans="1:51" x14ac:dyDescent="0.4">
      <c r="A394" s="12">
        <v>40877</v>
      </c>
      <c r="B394" s="9">
        <v>69800</v>
      </c>
      <c r="C394" s="9">
        <v>22950</v>
      </c>
      <c r="D394" s="9">
        <v>64500</v>
      </c>
      <c r="E394" s="9">
        <v>220000</v>
      </c>
      <c r="F394" s="9">
        <v>66100</v>
      </c>
      <c r="G394" s="10">
        <v>45900</v>
      </c>
      <c r="H394" s="10">
        <v>61200</v>
      </c>
      <c r="I394" s="10">
        <v>139500</v>
      </c>
      <c r="J394" s="10">
        <v>96000</v>
      </c>
      <c r="K394" s="10">
        <v>213000</v>
      </c>
      <c r="L394" s="9">
        <v>372500</v>
      </c>
      <c r="M394" s="9">
        <v>1004000</v>
      </c>
      <c r="N394" s="9">
        <v>91200</v>
      </c>
      <c r="O394" s="9">
        <v>133500</v>
      </c>
      <c r="P394" s="9">
        <v>77900</v>
      </c>
      <c r="Q394" s="10">
        <v>269000</v>
      </c>
      <c r="R394" s="10">
        <v>226000</v>
      </c>
      <c r="S394" s="10">
        <v>337000</v>
      </c>
      <c r="T394" s="10">
        <v>29850</v>
      </c>
      <c r="U394" s="10">
        <v>106000</v>
      </c>
      <c r="V394" s="9">
        <v>309000</v>
      </c>
      <c r="W394" s="9">
        <v>23979</v>
      </c>
      <c r="X394" s="9">
        <v>303500</v>
      </c>
      <c r="Y394" s="9">
        <v>25050</v>
      </c>
      <c r="Z394" s="9">
        <v>50100</v>
      </c>
      <c r="AA394" s="10">
        <v>152000</v>
      </c>
      <c r="AB394" s="10">
        <v>352500</v>
      </c>
      <c r="AC394" s="10">
        <v>14550</v>
      </c>
      <c r="AD394" s="10">
        <v>227000</v>
      </c>
      <c r="AE394" s="10">
        <v>40600</v>
      </c>
      <c r="AF394" s="9">
        <v>36000</v>
      </c>
      <c r="AG394" s="9">
        <v>83200</v>
      </c>
      <c r="AH394" s="9">
        <v>77400</v>
      </c>
      <c r="AI394" s="9">
        <v>65100</v>
      </c>
      <c r="AJ394" s="9">
        <v>25850</v>
      </c>
      <c r="AK394" s="10">
        <v>27650</v>
      </c>
      <c r="AL394" s="10">
        <v>248000</v>
      </c>
      <c r="AM394" s="10">
        <v>305000</v>
      </c>
      <c r="AN394" s="10">
        <v>28650</v>
      </c>
      <c r="AO394" s="10">
        <v>9530</v>
      </c>
      <c r="AP394" s="9">
        <v>532000</v>
      </c>
      <c r="AQ394" s="9">
        <v>322500</v>
      </c>
      <c r="AR394" s="9">
        <v>9760</v>
      </c>
      <c r="AS394" s="9">
        <v>40950</v>
      </c>
      <c r="AT394" s="9">
        <v>73300</v>
      </c>
      <c r="AU394" s="10">
        <v>221000</v>
      </c>
      <c r="AV394" s="10">
        <v>39500</v>
      </c>
      <c r="AW394" s="10">
        <v>7270</v>
      </c>
      <c r="AX394" s="10">
        <v>162000</v>
      </c>
      <c r="AY394" s="10">
        <v>37750</v>
      </c>
    </row>
    <row r="395" spans="1:51" x14ac:dyDescent="0.4">
      <c r="A395" s="11">
        <v>40876</v>
      </c>
      <c r="B395" s="7">
        <v>70700</v>
      </c>
      <c r="C395" s="7">
        <v>23400</v>
      </c>
      <c r="D395" s="7">
        <v>65400</v>
      </c>
      <c r="E395" s="7">
        <v>215000</v>
      </c>
      <c r="F395" s="7">
        <v>65700</v>
      </c>
      <c r="G395" s="8">
        <v>45500</v>
      </c>
      <c r="H395" s="8">
        <v>61000</v>
      </c>
      <c r="I395" s="8">
        <v>137000</v>
      </c>
      <c r="J395" s="8">
        <v>96800</v>
      </c>
      <c r="K395" s="8">
        <v>216500</v>
      </c>
      <c r="L395" s="7">
        <v>372000</v>
      </c>
      <c r="M395" s="7">
        <v>1005000</v>
      </c>
      <c r="N395" s="7">
        <v>91400</v>
      </c>
      <c r="O395" s="7">
        <v>131500</v>
      </c>
      <c r="P395" s="7">
        <v>76700</v>
      </c>
      <c r="Q395" s="8">
        <v>274000</v>
      </c>
      <c r="R395" s="8">
        <v>228000</v>
      </c>
      <c r="S395" s="8">
        <v>346000</v>
      </c>
      <c r="T395" s="8">
        <v>30650</v>
      </c>
      <c r="U395" s="8">
        <v>108500</v>
      </c>
      <c r="V395" s="7">
        <v>322500</v>
      </c>
      <c r="W395" s="7">
        <v>23930</v>
      </c>
      <c r="X395" s="7">
        <v>315500</v>
      </c>
      <c r="Y395" s="7">
        <v>25900</v>
      </c>
      <c r="Z395" s="7">
        <v>50900</v>
      </c>
      <c r="AA395" s="8">
        <v>151500</v>
      </c>
      <c r="AB395" s="8">
        <v>351000</v>
      </c>
      <c r="AC395" s="8">
        <v>14650</v>
      </c>
      <c r="AD395" s="8">
        <v>226000</v>
      </c>
      <c r="AE395" s="8">
        <v>41150</v>
      </c>
      <c r="AF395" s="7">
        <v>37050</v>
      </c>
      <c r="AG395" s="7">
        <v>82800</v>
      </c>
      <c r="AH395" s="7">
        <v>75700</v>
      </c>
      <c r="AI395" s="7">
        <v>63500</v>
      </c>
      <c r="AJ395" s="7">
        <v>25950</v>
      </c>
      <c r="AK395" s="8">
        <v>27650</v>
      </c>
      <c r="AL395" s="8">
        <v>251500</v>
      </c>
      <c r="AM395" s="8">
        <v>311000</v>
      </c>
      <c r="AN395" s="8">
        <v>28700</v>
      </c>
      <c r="AO395" s="8">
        <v>9380</v>
      </c>
      <c r="AP395" s="7">
        <v>504000</v>
      </c>
      <c r="AQ395" s="7">
        <v>331500</v>
      </c>
      <c r="AR395" s="7">
        <v>9730</v>
      </c>
      <c r="AS395" s="7">
        <v>40950</v>
      </c>
      <c r="AT395" s="7">
        <v>72200</v>
      </c>
      <c r="AU395" s="8">
        <v>218000</v>
      </c>
      <c r="AV395" s="8">
        <v>38300</v>
      </c>
      <c r="AW395" s="8">
        <v>7220</v>
      </c>
      <c r="AX395" s="8">
        <v>166500</v>
      </c>
      <c r="AY395" s="8">
        <v>38150</v>
      </c>
    </row>
    <row r="396" spans="1:51" x14ac:dyDescent="0.4">
      <c r="A396" s="11">
        <v>40875</v>
      </c>
      <c r="B396" s="7">
        <v>68800</v>
      </c>
      <c r="C396" s="7">
        <v>23300</v>
      </c>
      <c r="D396" s="7">
        <v>64400</v>
      </c>
      <c r="E396" s="7">
        <v>215000</v>
      </c>
      <c r="F396" s="7">
        <v>64300</v>
      </c>
      <c r="G396" s="8">
        <v>45150</v>
      </c>
      <c r="H396" s="8">
        <v>58300</v>
      </c>
      <c r="I396" s="8">
        <v>134000</v>
      </c>
      <c r="J396" s="8">
        <v>93900</v>
      </c>
      <c r="K396" s="8">
        <v>209000</v>
      </c>
      <c r="L396" s="7">
        <v>364000</v>
      </c>
      <c r="M396" s="7">
        <v>978000</v>
      </c>
      <c r="N396" s="7">
        <v>88900</v>
      </c>
      <c r="O396" s="7">
        <v>127000</v>
      </c>
      <c r="P396" s="7">
        <v>71700</v>
      </c>
      <c r="Q396" s="8">
        <v>263000</v>
      </c>
      <c r="R396" s="8">
        <v>212500</v>
      </c>
      <c r="S396" s="8">
        <v>339500</v>
      </c>
      <c r="T396" s="8">
        <v>28850</v>
      </c>
      <c r="U396" s="8">
        <v>107000</v>
      </c>
      <c r="V396" s="7">
        <v>313000</v>
      </c>
      <c r="W396" s="7">
        <v>22502</v>
      </c>
      <c r="X396" s="7">
        <v>307500</v>
      </c>
      <c r="Y396" s="7">
        <v>25950</v>
      </c>
      <c r="Z396" s="7">
        <v>49650</v>
      </c>
      <c r="AA396" s="8">
        <v>156000</v>
      </c>
      <c r="AB396" s="8">
        <v>349500</v>
      </c>
      <c r="AC396" s="8">
        <v>14350</v>
      </c>
      <c r="AD396" s="8">
        <v>216000</v>
      </c>
      <c r="AE396" s="8">
        <v>40500</v>
      </c>
      <c r="AF396" s="7">
        <v>37000</v>
      </c>
      <c r="AG396" s="7">
        <v>81000</v>
      </c>
      <c r="AH396" s="7">
        <v>75000</v>
      </c>
      <c r="AI396" s="7">
        <v>62600</v>
      </c>
      <c r="AJ396" s="7">
        <v>24450</v>
      </c>
      <c r="AK396" s="8">
        <v>27100</v>
      </c>
      <c r="AL396" s="8">
        <v>247500</v>
      </c>
      <c r="AM396" s="8">
        <v>309500</v>
      </c>
      <c r="AN396" s="8">
        <v>27600</v>
      </c>
      <c r="AO396" s="8">
        <v>8770</v>
      </c>
      <c r="AP396" s="7">
        <v>498500</v>
      </c>
      <c r="AQ396" s="7">
        <v>311000</v>
      </c>
      <c r="AR396" s="7">
        <v>9650</v>
      </c>
      <c r="AS396" s="7">
        <v>40250</v>
      </c>
      <c r="AT396" s="7">
        <v>69300</v>
      </c>
      <c r="AU396" s="8">
        <v>219500</v>
      </c>
      <c r="AV396" s="8">
        <v>37750</v>
      </c>
      <c r="AW396" s="8">
        <v>7040</v>
      </c>
      <c r="AX396" s="8">
        <v>164000</v>
      </c>
      <c r="AY396" s="8">
        <v>37700</v>
      </c>
    </row>
    <row r="397" spans="1:51" x14ac:dyDescent="0.4">
      <c r="A397" s="11">
        <v>40872</v>
      </c>
      <c r="B397" s="7">
        <v>68100</v>
      </c>
      <c r="C397" s="7">
        <v>21750</v>
      </c>
      <c r="D397" s="7">
        <v>61400</v>
      </c>
      <c r="E397" s="7">
        <v>220500</v>
      </c>
      <c r="F397" s="7">
        <v>60300</v>
      </c>
      <c r="G397" s="8">
        <v>43850</v>
      </c>
      <c r="H397" s="8">
        <v>56200</v>
      </c>
      <c r="I397" s="8">
        <v>129000</v>
      </c>
      <c r="J397" s="8">
        <v>90900</v>
      </c>
      <c r="K397" s="8">
        <v>208500</v>
      </c>
      <c r="L397" s="7">
        <v>353000</v>
      </c>
      <c r="M397" s="7">
        <v>947000</v>
      </c>
      <c r="N397" s="7">
        <v>84800</v>
      </c>
      <c r="O397" s="7">
        <v>122500</v>
      </c>
      <c r="P397" s="7">
        <v>69500</v>
      </c>
      <c r="Q397" s="8">
        <v>252000</v>
      </c>
      <c r="R397" s="8">
        <v>207000</v>
      </c>
      <c r="S397" s="8">
        <v>323500</v>
      </c>
      <c r="T397" s="8">
        <v>27500</v>
      </c>
      <c r="U397" s="8">
        <v>103500</v>
      </c>
      <c r="V397" s="7">
        <v>300000</v>
      </c>
      <c r="W397" s="7">
        <v>21960</v>
      </c>
      <c r="X397" s="7">
        <v>308000</v>
      </c>
      <c r="Y397" s="7">
        <v>24800</v>
      </c>
      <c r="Z397" s="7">
        <v>47950</v>
      </c>
      <c r="AA397" s="8">
        <v>153500</v>
      </c>
      <c r="AB397" s="8">
        <v>353500</v>
      </c>
      <c r="AC397" s="8">
        <v>13700</v>
      </c>
      <c r="AD397" s="8">
        <v>208000</v>
      </c>
      <c r="AE397" s="8">
        <v>40000</v>
      </c>
      <c r="AF397" s="7">
        <v>36400</v>
      </c>
      <c r="AG397" s="7">
        <v>80200</v>
      </c>
      <c r="AH397" s="7">
        <v>77100</v>
      </c>
      <c r="AI397" s="7">
        <v>61700</v>
      </c>
      <c r="AJ397" s="7">
        <v>23000</v>
      </c>
      <c r="AK397" s="8">
        <v>27550</v>
      </c>
      <c r="AL397" s="8">
        <v>245500</v>
      </c>
      <c r="AM397" s="8">
        <v>299000</v>
      </c>
      <c r="AN397" s="8">
        <v>26750</v>
      </c>
      <c r="AO397" s="8">
        <v>8470</v>
      </c>
      <c r="AP397" s="7">
        <v>501000</v>
      </c>
      <c r="AQ397" s="7">
        <v>308000</v>
      </c>
      <c r="AR397" s="7">
        <v>9390</v>
      </c>
      <c r="AS397" s="7">
        <v>38600</v>
      </c>
      <c r="AT397" s="7">
        <v>63800</v>
      </c>
      <c r="AU397" s="8">
        <v>211500</v>
      </c>
      <c r="AV397" s="8">
        <v>37700</v>
      </c>
      <c r="AW397" s="8">
        <v>6870</v>
      </c>
      <c r="AX397" s="8">
        <v>159500</v>
      </c>
      <c r="AY397" s="8">
        <v>36650</v>
      </c>
    </row>
    <row r="398" spans="1:51" x14ac:dyDescent="0.4">
      <c r="A398" s="11">
        <v>40871</v>
      </c>
      <c r="B398" s="7">
        <v>71400</v>
      </c>
      <c r="C398" s="7">
        <v>22150</v>
      </c>
      <c r="D398" s="7">
        <v>61500</v>
      </c>
      <c r="E398" s="7">
        <v>220000</v>
      </c>
      <c r="F398" s="7">
        <v>62400</v>
      </c>
      <c r="G398" s="8">
        <v>44150</v>
      </c>
      <c r="H398" s="8">
        <v>55800</v>
      </c>
      <c r="I398" s="8">
        <v>131000</v>
      </c>
      <c r="J398" s="8">
        <v>93600</v>
      </c>
      <c r="K398" s="8">
        <v>215500</v>
      </c>
      <c r="L398" s="7">
        <v>360000</v>
      </c>
      <c r="M398" s="7">
        <v>943000</v>
      </c>
      <c r="N398" s="7">
        <v>87400</v>
      </c>
      <c r="O398" s="7">
        <v>123000</v>
      </c>
      <c r="P398" s="7">
        <v>72000</v>
      </c>
      <c r="Q398" s="8">
        <v>256000</v>
      </c>
      <c r="R398" s="8">
        <v>204500</v>
      </c>
      <c r="S398" s="8">
        <v>329000</v>
      </c>
      <c r="T398" s="8">
        <v>27700</v>
      </c>
      <c r="U398" s="8">
        <v>107000</v>
      </c>
      <c r="V398" s="7">
        <v>304000</v>
      </c>
      <c r="W398" s="7">
        <v>22650</v>
      </c>
      <c r="X398" s="7">
        <v>316000</v>
      </c>
      <c r="Y398" s="7">
        <v>23800</v>
      </c>
      <c r="Z398" s="7">
        <v>47850</v>
      </c>
      <c r="AA398" s="8">
        <v>154500</v>
      </c>
      <c r="AB398" s="8">
        <v>353000</v>
      </c>
      <c r="AC398" s="8">
        <v>13400</v>
      </c>
      <c r="AD398" s="8">
        <v>214500</v>
      </c>
      <c r="AE398" s="8">
        <v>40150</v>
      </c>
      <c r="AF398" s="7">
        <v>36700</v>
      </c>
      <c r="AG398" s="7">
        <v>81100</v>
      </c>
      <c r="AH398" s="7">
        <v>77700</v>
      </c>
      <c r="AI398" s="7">
        <v>61800</v>
      </c>
      <c r="AJ398" s="7">
        <v>23700</v>
      </c>
      <c r="AK398" s="8">
        <v>27550</v>
      </c>
      <c r="AL398" s="8">
        <v>238000</v>
      </c>
      <c r="AM398" s="8">
        <v>319000</v>
      </c>
      <c r="AN398" s="8">
        <v>28000</v>
      </c>
      <c r="AO398" s="8">
        <v>8780</v>
      </c>
      <c r="AP398" s="7">
        <v>507000</v>
      </c>
      <c r="AQ398" s="7">
        <v>320000</v>
      </c>
      <c r="AR398" s="7">
        <v>9120</v>
      </c>
      <c r="AS398" s="7">
        <v>37400</v>
      </c>
      <c r="AT398" s="7">
        <v>63400</v>
      </c>
      <c r="AU398" s="8">
        <v>213500</v>
      </c>
      <c r="AV398" s="8">
        <v>37050</v>
      </c>
      <c r="AW398" s="8">
        <v>7020</v>
      </c>
      <c r="AX398" s="8">
        <v>161000</v>
      </c>
      <c r="AY398" s="8">
        <v>36150</v>
      </c>
    </row>
    <row r="399" spans="1:51" x14ac:dyDescent="0.4">
      <c r="A399" s="12">
        <v>40870</v>
      </c>
      <c r="B399" s="9">
        <v>71500</v>
      </c>
      <c r="C399" s="9">
        <v>21850</v>
      </c>
      <c r="D399" s="9">
        <v>62000</v>
      </c>
      <c r="E399" s="9">
        <v>216000</v>
      </c>
      <c r="F399" s="9">
        <v>62000</v>
      </c>
      <c r="G399" s="10">
        <v>42500</v>
      </c>
      <c r="H399" s="10">
        <v>56400</v>
      </c>
      <c r="I399" s="10">
        <v>131000</v>
      </c>
      <c r="J399" s="10">
        <v>92800</v>
      </c>
      <c r="K399" s="10">
        <v>215500</v>
      </c>
      <c r="L399" s="9">
        <v>355000</v>
      </c>
      <c r="M399" s="9">
        <v>935000</v>
      </c>
      <c r="N399" s="9">
        <v>88400</v>
      </c>
      <c r="O399" s="9">
        <v>120500</v>
      </c>
      <c r="P399" s="9">
        <v>73000</v>
      </c>
      <c r="Q399" s="10">
        <v>257000</v>
      </c>
      <c r="R399" s="10">
        <v>198500</v>
      </c>
      <c r="S399" s="10">
        <v>309000</v>
      </c>
      <c r="T399" s="10">
        <v>27950</v>
      </c>
      <c r="U399" s="10">
        <v>103500</v>
      </c>
      <c r="V399" s="9">
        <v>298500</v>
      </c>
      <c r="W399" s="9">
        <v>23290</v>
      </c>
      <c r="X399" s="9">
        <v>309500</v>
      </c>
      <c r="Y399" s="9">
        <v>23450</v>
      </c>
      <c r="Z399" s="9">
        <v>47900</v>
      </c>
      <c r="AA399" s="10">
        <v>149000</v>
      </c>
      <c r="AB399" s="10">
        <v>340000</v>
      </c>
      <c r="AC399" s="10">
        <v>13600</v>
      </c>
      <c r="AD399" s="10">
        <v>207500</v>
      </c>
      <c r="AE399" s="10">
        <v>39700</v>
      </c>
      <c r="AF399" s="9">
        <v>35550</v>
      </c>
      <c r="AG399" s="9">
        <v>81300</v>
      </c>
      <c r="AH399" s="9">
        <v>75400</v>
      </c>
      <c r="AI399" s="9">
        <v>62800</v>
      </c>
      <c r="AJ399" s="9">
        <v>23450</v>
      </c>
      <c r="AK399" s="10">
        <v>27500</v>
      </c>
      <c r="AL399" s="10">
        <v>234500</v>
      </c>
      <c r="AM399" s="10">
        <v>319000</v>
      </c>
      <c r="AN399" s="10">
        <v>26950</v>
      </c>
      <c r="AO399" s="10">
        <v>8740</v>
      </c>
      <c r="AP399" s="9">
        <v>517000</v>
      </c>
      <c r="AQ399" s="9">
        <v>315000</v>
      </c>
      <c r="AR399" s="9">
        <v>9100</v>
      </c>
      <c r="AS399" s="9">
        <v>37300</v>
      </c>
      <c r="AT399" s="9">
        <v>64600</v>
      </c>
      <c r="AU399" s="10">
        <v>213000</v>
      </c>
      <c r="AV399" s="10">
        <v>36650</v>
      </c>
      <c r="AW399" s="10">
        <v>7100</v>
      </c>
      <c r="AX399" s="10">
        <v>159500</v>
      </c>
      <c r="AY399" s="10">
        <v>36400</v>
      </c>
    </row>
    <row r="400" spans="1:51" x14ac:dyDescent="0.4">
      <c r="A400" s="11">
        <v>40869</v>
      </c>
      <c r="B400" s="7">
        <v>72400</v>
      </c>
      <c r="C400" s="7">
        <v>23250</v>
      </c>
      <c r="D400" s="7">
        <v>63600</v>
      </c>
      <c r="E400" s="7">
        <v>217500</v>
      </c>
      <c r="F400" s="7">
        <v>64700</v>
      </c>
      <c r="G400" s="8">
        <v>42100</v>
      </c>
      <c r="H400" s="8">
        <v>57600</v>
      </c>
      <c r="I400" s="8">
        <v>135000</v>
      </c>
      <c r="J400" s="8">
        <v>98600</v>
      </c>
      <c r="K400" s="8">
        <v>220500</v>
      </c>
      <c r="L400" s="7">
        <v>366500</v>
      </c>
      <c r="M400" s="7">
        <v>963000</v>
      </c>
      <c r="N400" s="7">
        <v>91800</v>
      </c>
      <c r="O400" s="7">
        <v>123500</v>
      </c>
      <c r="P400" s="7">
        <v>73700</v>
      </c>
      <c r="Q400" s="8">
        <v>262000</v>
      </c>
      <c r="R400" s="8">
        <v>199500</v>
      </c>
      <c r="S400" s="8">
        <v>319500</v>
      </c>
      <c r="T400" s="8">
        <v>29300</v>
      </c>
      <c r="U400" s="8">
        <v>109000</v>
      </c>
      <c r="V400" s="7">
        <v>313000</v>
      </c>
      <c r="W400" s="7">
        <v>24127</v>
      </c>
      <c r="X400" s="7">
        <v>313500</v>
      </c>
      <c r="Y400" s="7">
        <v>24050</v>
      </c>
      <c r="Z400" s="7">
        <v>49600</v>
      </c>
      <c r="AA400" s="8">
        <v>150000</v>
      </c>
      <c r="AB400" s="8">
        <v>338500</v>
      </c>
      <c r="AC400" s="8">
        <v>13750</v>
      </c>
      <c r="AD400" s="8">
        <v>214000</v>
      </c>
      <c r="AE400" s="8">
        <v>40100</v>
      </c>
      <c r="AF400" s="7">
        <v>35450</v>
      </c>
      <c r="AG400" s="7">
        <v>82000</v>
      </c>
      <c r="AH400" s="7">
        <v>76600</v>
      </c>
      <c r="AI400" s="7">
        <v>64700</v>
      </c>
      <c r="AJ400" s="7">
        <v>24350</v>
      </c>
      <c r="AK400" s="8">
        <v>27800</v>
      </c>
      <c r="AL400" s="8">
        <v>242500</v>
      </c>
      <c r="AM400" s="8">
        <v>325000</v>
      </c>
      <c r="AN400" s="8">
        <v>28450</v>
      </c>
      <c r="AO400" s="8">
        <v>8950</v>
      </c>
      <c r="AP400" s="7">
        <v>525000</v>
      </c>
      <c r="AQ400" s="7">
        <v>325000</v>
      </c>
      <c r="AR400" s="7">
        <v>9410</v>
      </c>
      <c r="AS400" s="7">
        <v>39100</v>
      </c>
      <c r="AT400" s="7">
        <v>66900</v>
      </c>
      <c r="AU400" s="8">
        <v>222000</v>
      </c>
      <c r="AV400" s="8">
        <v>37200</v>
      </c>
      <c r="AW400" s="8">
        <v>7260</v>
      </c>
      <c r="AX400" s="8">
        <v>163500</v>
      </c>
      <c r="AY400" s="8">
        <v>37700</v>
      </c>
    </row>
    <row r="401" spans="1:51" x14ac:dyDescent="0.4">
      <c r="A401" s="11">
        <v>40868</v>
      </c>
      <c r="B401" s="7">
        <v>71700</v>
      </c>
      <c r="C401" s="7">
        <v>22900</v>
      </c>
      <c r="D401" s="7">
        <v>63900</v>
      </c>
      <c r="E401" s="7">
        <v>212000</v>
      </c>
      <c r="F401" s="7">
        <v>64500</v>
      </c>
      <c r="G401" s="8">
        <v>42700</v>
      </c>
      <c r="H401" s="8">
        <v>57800</v>
      </c>
      <c r="I401" s="8">
        <v>136500</v>
      </c>
      <c r="J401" s="8">
        <v>100000</v>
      </c>
      <c r="K401" s="8">
        <v>218500</v>
      </c>
      <c r="L401" s="7">
        <v>371500</v>
      </c>
      <c r="M401" s="7">
        <v>950000</v>
      </c>
      <c r="N401" s="7">
        <v>92700</v>
      </c>
      <c r="O401" s="7">
        <v>119500</v>
      </c>
      <c r="P401" s="7">
        <v>73300</v>
      </c>
      <c r="Q401" s="8">
        <v>266000</v>
      </c>
      <c r="R401" s="8">
        <v>200500</v>
      </c>
      <c r="S401" s="8">
        <v>329500</v>
      </c>
      <c r="T401" s="8">
        <v>29500</v>
      </c>
      <c r="U401" s="8">
        <v>109000</v>
      </c>
      <c r="V401" s="7">
        <v>325000</v>
      </c>
      <c r="W401" s="7">
        <v>24028</v>
      </c>
      <c r="X401" s="7">
        <v>308500</v>
      </c>
      <c r="Y401" s="7">
        <v>24100</v>
      </c>
      <c r="Z401" s="7">
        <v>50300</v>
      </c>
      <c r="AA401" s="8">
        <v>149000</v>
      </c>
      <c r="AB401" s="8">
        <v>345000</v>
      </c>
      <c r="AC401" s="8">
        <v>13400</v>
      </c>
      <c r="AD401" s="8">
        <v>214000</v>
      </c>
      <c r="AE401" s="8">
        <v>40150</v>
      </c>
      <c r="AF401" s="7">
        <v>35450</v>
      </c>
      <c r="AG401" s="7">
        <v>82700</v>
      </c>
      <c r="AH401" s="7">
        <v>76600</v>
      </c>
      <c r="AI401" s="7">
        <v>63400</v>
      </c>
      <c r="AJ401" s="7">
        <v>24200</v>
      </c>
      <c r="AK401" s="8">
        <v>27150</v>
      </c>
      <c r="AL401" s="8">
        <v>233000</v>
      </c>
      <c r="AM401" s="8">
        <v>323500</v>
      </c>
      <c r="AN401" s="8">
        <v>27950</v>
      </c>
      <c r="AO401" s="8">
        <v>8980</v>
      </c>
      <c r="AP401" s="7">
        <v>524000</v>
      </c>
      <c r="AQ401" s="7">
        <v>321000</v>
      </c>
      <c r="AR401" s="7">
        <v>9300</v>
      </c>
      <c r="AS401" s="7">
        <v>38800</v>
      </c>
      <c r="AT401" s="7">
        <v>67700</v>
      </c>
      <c r="AU401" s="8">
        <v>220000</v>
      </c>
      <c r="AV401" s="8">
        <v>37200</v>
      </c>
      <c r="AW401" s="8">
        <v>7250</v>
      </c>
      <c r="AX401" s="8">
        <v>164500</v>
      </c>
      <c r="AY401" s="8">
        <v>37300</v>
      </c>
    </row>
    <row r="402" spans="1:51" x14ac:dyDescent="0.4">
      <c r="A402" s="11">
        <v>40865</v>
      </c>
      <c r="B402" s="7">
        <v>72700</v>
      </c>
      <c r="C402" s="7">
        <v>23300</v>
      </c>
      <c r="D402" s="7">
        <v>64200</v>
      </c>
      <c r="E402" s="7">
        <v>216500</v>
      </c>
      <c r="F402" s="7">
        <v>65100</v>
      </c>
      <c r="G402" s="8">
        <v>42750</v>
      </c>
      <c r="H402" s="8">
        <v>58500</v>
      </c>
      <c r="I402" s="8">
        <v>136500</v>
      </c>
      <c r="J402" s="8">
        <v>104000</v>
      </c>
      <c r="K402" s="8">
        <v>221500</v>
      </c>
      <c r="L402" s="7">
        <v>380500</v>
      </c>
      <c r="M402" s="7">
        <v>963000</v>
      </c>
      <c r="N402" s="7">
        <v>92300</v>
      </c>
      <c r="O402" s="7">
        <v>121500</v>
      </c>
      <c r="P402" s="7">
        <v>77000</v>
      </c>
      <c r="Q402" s="8">
        <v>271000</v>
      </c>
      <c r="R402" s="8">
        <v>206000</v>
      </c>
      <c r="S402" s="8">
        <v>322000</v>
      </c>
      <c r="T402" s="8">
        <v>29900</v>
      </c>
      <c r="U402" s="8">
        <v>115000</v>
      </c>
      <c r="V402" s="7">
        <v>339000</v>
      </c>
      <c r="W402" s="7">
        <v>24816</v>
      </c>
      <c r="X402" s="7">
        <v>305000</v>
      </c>
      <c r="Y402" s="7">
        <v>23550</v>
      </c>
      <c r="Z402" s="7">
        <v>50000</v>
      </c>
      <c r="AA402" s="8">
        <v>147000</v>
      </c>
      <c r="AB402" s="8">
        <v>340500</v>
      </c>
      <c r="AC402" s="8">
        <v>13600</v>
      </c>
      <c r="AD402" s="8">
        <v>217500</v>
      </c>
      <c r="AE402" s="8">
        <v>40650</v>
      </c>
      <c r="AF402" s="7">
        <v>35700</v>
      </c>
      <c r="AG402" s="7">
        <v>83200</v>
      </c>
      <c r="AH402" s="7">
        <v>75400</v>
      </c>
      <c r="AI402" s="7">
        <v>64800</v>
      </c>
      <c r="AJ402" s="7">
        <v>24800</v>
      </c>
      <c r="AK402" s="8">
        <v>28100</v>
      </c>
      <c r="AL402" s="8">
        <v>237500</v>
      </c>
      <c r="AM402" s="8">
        <v>319000</v>
      </c>
      <c r="AN402" s="8">
        <v>27600</v>
      </c>
      <c r="AO402" s="8">
        <v>9000</v>
      </c>
      <c r="AP402" s="7">
        <v>540000</v>
      </c>
      <c r="AQ402" s="7">
        <v>335500</v>
      </c>
      <c r="AR402" s="7">
        <v>9510</v>
      </c>
      <c r="AS402" s="7">
        <v>38950</v>
      </c>
      <c r="AT402" s="7">
        <v>67200</v>
      </c>
      <c r="AU402" s="8">
        <v>212500</v>
      </c>
      <c r="AV402" s="8">
        <v>35600</v>
      </c>
      <c r="AW402" s="8">
        <v>7220</v>
      </c>
      <c r="AX402" s="8">
        <v>169500</v>
      </c>
      <c r="AY402" s="8">
        <v>37650</v>
      </c>
    </row>
    <row r="403" spans="1:51" x14ac:dyDescent="0.4">
      <c r="A403" s="11">
        <v>40864</v>
      </c>
      <c r="B403" s="7">
        <v>73600</v>
      </c>
      <c r="C403" s="7">
        <v>23200</v>
      </c>
      <c r="D403" s="7">
        <v>66200</v>
      </c>
      <c r="E403" s="7">
        <v>222500</v>
      </c>
      <c r="F403" s="7">
        <v>67200</v>
      </c>
      <c r="G403" s="8">
        <v>43750</v>
      </c>
      <c r="H403" s="8">
        <v>61300</v>
      </c>
      <c r="I403" s="8">
        <v>139000</v>
      </c>
      <c r="J403" s="8">
        <v>107000</v>
      </c>
      <c r="K403" s="8">
        <v>226500</v>
      </c>
      <c r="L403" s="7">
        <v>391500</v>
      </c>
      <c r="M403" s="7">
        <v>980000</v>
      </c>
      <c r="N403" s="7">
        <v>95100</v>
      </c>
      <c r="O403" s="7">
        <v>125500</v>
      </c>
      <c r="P403" s="7">
        <v>79900</v>
      </c>
      <c r="Q403" s="8">
        <v>280500</v>
      </c>
      <c r="R403" s="8">
        <v>204000</v>
      </c>
      <c r="S403" s="8">
        <v>337000</v>
      </c>
      <c r="T403" s="8">
        <v>30400</v>
      </c>
      <c r="U403" s="8">
        <v>118500</v>
      </c>
      <c r="V403" s="7">
        <v>344000</v>
      </c>
      <c r="W403" s="7">
        <v>25702</v>
      </c>
      <c r="X403" s="7">
        <v>311000</v>
      </c>
      <c r="Y403" s="7">
        <v>24100</v>
      </c>
      <c r="Z403" s="7">
        <v>51700</v>
      </c>
      <c r="AA403" s="8">
        <v>149000</v>
      </c>
      <c r="AB403" s="8">
        <v>350500</v>
      </c>
      <c r="AC403" s="8">
        <v>14000</v>
      </c>
      <c r="AD403" s="8">
        <v>226000</v>
      </c>
      <c r="AE403" s="8">
        <v>41450</v>
      </c>
      <c r="AF403" s="7">
        <v>36250</v>
      </c>
      <c r="AG403" s="7">
        <v>85000</v>
      </c>
      <c r="AH403" s="7">
        <v>75400</v>
      </c>
      <c r="AI403" s="7">
        <v>65400</v>
      </c>
      <c r="AJ403" s="7">
        <v>24800</v>
      </c>
      <c r="AK403" s="8">
        <v>29550</v>
      </c>
      <c r="AL403" s="8">
        <v>247000</v>
      </c>
      <c r="AM403" s="8">
        <v>336000</v>
      </c>
      <c r="AN403" s="8">
        <v>26800</v>
      </c>
      <c r="AO403" s="8">
        <v>9260</v>
      </c>
      <c r="AP403" s="7">
        <v>545000</v>
      </c>
      <c r="AQ403" s="7">
        <v>355000</v>
      </c>
      <c r="AR403" s="7">
        <v>9740</v>
      </c>
      <c r="AS403" s="7">
        <v>39800</v>
      </c>
      <c r="AT403" s="7">
        <v>65600</v>
      </c>
      <c r="AU403" s="8">
        <v>219500</v>
      </c>
      <c r="AV403" s="8">
        <v>35950</v>
      </c>
      <c r="AW403" s="8">
        <v>7330</v>
      </c>
      <c r="AX403" s="8">
        <v>176500</v>
      </c>
      <c r="AY403" s="8">
        <v>38250</v>
      </c>
    </row>
    <row r="404" spans="1:51" x14ac:dyDescent="0.4">
      <c r="A404" s="12">
        <v>40863</v>
      </c>
      <c r="B404" s="9">
        <v>73000</v>
      </c>
      <c r="C404" s="9">
        <v>22350</v>
      </c>
      <c r="D404" s="9">
        <v>65200</v>
      </c>
      <c r="E404" s="9">
        <v>223500</v>
      </c>
      <c r="F404" s="9">
        <v>66200</v>
      </c>
      <c r="G404" s="10">
        <v>43900</v>
      </c>
      <c r="H404" s="10">
        <v>60200</v>
      </c>
      <c r="I404" s="10">
        <v>131500</v>
      </c>
      <c r="J404" s="10">
        <v>106000</v>
      </c>
      <c r="K404" s="10">
        <v>226000</v>
      </c>
      <c r="L404" s="9">
        <v>384500</v>
      </c>
      <c r="M404" s="9">
        <v>975000</v>
      </c>
      <c r="N404" s="9">
        <v>92600</v>
      </c>
      <c r="O404" s="9">
        <v>122000</v>
      </c>
      <c r="P404" s="9">
        <v>76500</v>
      </c>
      <c r="Q404" s="10">
        <v>277500</v>
      </c>
      <c r="R404" s="10">
        <v>200000</v>
      </c>
      <c r="S404" s="10">
        <v>337500</v>
      </c>
      <c r="T404" s="10">
        <v>29450</v>
      </c>
      <c r="U404" s="10">
        <v>114000</v>
      </c>
      <c r="V404" s="9">
        <v>342000</v>
      </c>
      <c r="W404" s="9">
        <v>26096</v>
      </c>
      <c r="X404" s="9">
        <v>312000</v>
      </c>
      <c r="Y404" s="9">
        <v>24000</v>
      </c>
      <c r="Z404" s="9">
        <v>52000</v>
      </c>
      <c r="AA404" s="10">
        <v>145500</v>
      </c>
      <c r="AB404" s="10">
        <v>362000</v>
      </c>
      <c r="AC404" s="10">
        <v>14050</v>
      </c>
      <c r="AD404" s="10">
        <v>224500</v>
      </c>
      <c r="AE404" s="10">
        <v>41500</v>
      </c>
      <c r="AF404" s="9">
        <v>35850</v>
      </c>
      <c r="AG404" s="9">
        <v>84900</v>
      </c>
      <c r="AH404" s="9">
        <v>76000</v>
      </c>
      <c r="AI404" s="9">
        <v>63800</v>
      </c>
      <c r="AJ404" s="9">
        <v>24050</v>
      </c>
      <c r="AK404" s="10">
        <v>29500</v>
      </c>
      <c r="AL404" s="10">
        <v>242000</v>
      </c>
      <c r="AM404" s="10">
        <v>344000</v>
      </c>
      <c r="AN404" s="10">
        <v>25350</v>
      </c>
      <c r="AO404" s="10">
        <v>9060</v>
      </c>
      <c r="AP404" s="9">
        <v>544000</v>
      </c>
      <c r="AQ404" s="9">
        <v>354500</v>
      </c>
      <c r="AR404" s="9">
        <v>9690</v>
      </c>
      <c r="AS404" s="9">
        <v>39800</v>
      </c>
      <c r="AT404" s="9">
        <v>64500</v>
      </c>
      <c r="AU404" s="10">
        <v>217000</v>
      </c>
      <c r="AV404" s="10">
        <v>34750</v>
      </c>
      <c r="AW404" s="10">
        <v>7220</v>
      </c>
      <c r="AX404" s="10">
        <v>172000</v>
      </c>
      <c r="AY404" s="10">
        <v>38000</v>
      </c>
    </row>
    <row r="405" spans="1:51" x14ac:dyDescent="0.4">
      <c r="A405" s="11">
        <v>40862</v>
      </c>
      <c r="B405" s="7">
        <v>73500</v>
      </c>
      <c r="C405" s="7">
        <v>22050</v>
      </c>
      <c r="D405" s="7">
        <v>66900</v>
      </c>
      <c r="E405" s="7">
        <v>227500</v>
      </c>
      <c r="F405" s="7">
        <v>68000</v>
      </c>
      <c r="G405" s="8">
        <v>44500</v>
      </c>
      <c r="H405" s="8">
        <v>60400</v>
      </c>
      <c r="I405" s="8">
        <v>134500</v>
      </c>
      <c r="J405" s="8">
        <v>106000</v>
      </c>
      <c r="K405" s="8">
        <v>230000</v>
      </c>
      <c r="L405" s="7">
        <v>387000</v>
      </c>
      <c r="M405" s="7">
        <v>996000</v>
      </c>
      <c r="N405" s="7">
        <v>95300</v>
      </c>
      <c r="O405" s="7">
        <v>127000</v>
      </c>
      <c r="P405" s="7">
        <v>78100</v>
      </c>
      <c r="Q405" s="8">
        <v>283500</v>
      </c>
      <c r="R405" s="8">
        <v>206500</v>
      </c>
      <c r="S405" s="8">
        <v>350000</v>
      </c>
      <c r="T405" s="8">
        <v>30350</v>
      </c>
      <c r="U405" s="8">
        <v>119500</v>
      </c>
      <c r="V405" s="7">
        <v>341000</v>
      </c>
      <c r="W405" s="7">
        <v>27130</v>
      </c>
      <c r="X405" s="7">
        <v>318000</v>
      </c>
      <c r="Y405" s="7">
        <v>24100</v>
      </c>
      <c r="Z405" s="7">
        <v>53400</v>
      </c>
      <c r="AA405" s="8">
        <v>147000</v>
      </c>
      <c r="AB405" s="8">
        <v>368000</v>
      </c>
      <c r="AC405" s="8">
        <v>14250</v>
      </c>
      <c r="AD405" s="8">
        <v>234000</v>
      </c>
      <c r="AE405" s="8">
        <v>41600</v>
      </c>
      <c r="AF405" s="7">
        <v>36150</v>
      </c>
      <c r="AG405" s="7">
        <v>85100</v>
      </c>
      <c r="AH405" s="7">
        <v>73500</v>
      </c>
      <c r="AI405" s="7">
        <v>64500</v>
      </c>
      <c r="AJ405" s="7">
        <v>24050</v>
      </c>
      <c r="AK405" s="8">
        <v>29900</v>
      </c>
      <c r="AL405" s="8">
        <v>247500</v>
      </c>
      <c r="AM405" s="8">
        <v>336000</v>
      </c>
      <c r="AN405" s="8">
        <v>25950</v>
      </c>
      <c r="AO405" s="8">
        <v>9420</v>
      </c>
      <c r="AP405" s="7">
        <v>544000</v>
      </c>
      <c r="AQ405" s="7">
        <v>360000</v>
      </c>
      <c r="AR405" s="7">
        <v>10000</v>
      </c>
      <c r="AS405" s="7">
        <v>40650</v>
      </c>
      <c r="AT405" s="7">
        <v>65477</v>
      </c>
      <c r="AU405" s="8">
        <v>214000</v>
      </c>
      <c r="AV405" s="8">
        <v>36100</v>
      </c>
      <c r="AW405" s="8">
        <v>7270</v>
      </c>
      <c r="AX405" s="8">
        <v>178500</v>
      </c>
      <c r="AY405" s="8">
        <v>39050</v>
      </c>
    </row>
    <row r="406" spans="1:51" x14ac:dyDescent="0.4">
      <c r="A406" s="11">
        <v>40861</v>
      </c>
      <c r="B406" s="7">
        <v>74800</v>
      </c>
      <c r="C406" s="7">
        <v>22300</v>
      </c>
      <c r="D406" s="7">
        <v>68800</v>
      </c>
      <c r="E406" s="7">
        <v>231500</v>
      </c>
      <c r="F406" s="7">
        <v>69700</v>
      </c>
      <c r="G406" s="8">
        <v>45300</v>
      </c>
      <c r="H406" s="8">
        <v>61800</v>
      </c>
      <c r="I406" s="8">
        <v>136000</v>
      </c>
      <c r="J406" s="8">
        <v>107000</v>
      </c>
      <c r="K406" s="8">
        <v>231500</v>
      </c>
      <c r="L406" s="7">
        <v>385000</v>
      </c>
      <c r="M406" s="7">
        <v>996000</v>
      </c>
      <c r="N406" s="7">
        <v>97500</v>
      </c>
      <c r="O406" s="7">
        <v>131000</v>
      </c>
      <c r="P406" s="7">
        <v>78900</v>
      </c>
      <c r="Q406" s="8">
        <v>282500</v>
      </c>
      <c r="R406" s="8">
        <v>213000</v>
      </c>
      <c r="S406" s="8">
        <v>355000</v>
      </c>
      <c r="T406" s="8">
        <v>31200</v>
      </c>
      <c r="U406" s="8">
        <v>122500</v>
      </c>
      <c r="V406" s="7">
        <v>344000</v>
      </c>
      <c r="W406" s="7">
        <v>27179</v>
      </c>
      <c r="X406" s="7">
        <v>322000</v>
      </c>
      <c r="Y406" s="7">
        <v>24350</v>
      </c>
      <c r="Z406" s="7">
        <v>53800</v>
      </c>
      <c r="AA406" s="8">
        <v>149000</v>
      </c>
      <c r="AB406" s="8">
        <v>375000</v>
      </c>
      <c r="AC406" s="8">
        <v>14600</v>
      </c>
      <c r="AD406" s="8">
        <v>236500</v>
      </c>
      <c r="AE406" s="8">
        <v>42000</v>
      </c>
      <c r="AF406" s="7">
        <v>36350</v>
      </c>
      <c r="AG406" s="7">
        <v>85000</v>
      </c>
      <c r="AH406" s="7">
        <v>72800</v>
      </c>
      <c r="AI406" s="7">
        <v>65000</v>
      </c>
      <c r="AJ406" s="7">
        <v>23950</v>
      </c>
      <c r="AK406" s="8">
        <v>29600</v>
      </c>
      <c r="AL406" s="8">
        <v>241000</v>
      </c>
      <c r="AM406" s="8">
        <v>342500</v>
      </c>
      <c r="AN406" s="8">
        <v>25850</v>
      </c>
      <c r="AO406" s="8">
        <v>9700</v>
      </c>
      <c r="AP406" s="7">
        <v>542000</v>
      </c>
      <c r="AQ406" s="7">
        <v>372500</v>
      </c>
      <c r="AR406" s="7">
        <v>10150</v>
      </c>
      <c r="AS406" s="7">
        <v>40800</v>
      </c>
      <c r="AT406" s="7">
        <v>66064</v>
      </c>
      <c r="AU406" s="8">
        <v>221500</v>
      </c>
      <c r="AV406" s="8">
        <v>37050</v>
      </c>
      <c r="AW406" s="8">
        <v>7250</v>
      </c>
      <c r="AX406" s="8">
        <v>181500</v>
      </c>
      <c r="AY406" s="8">
        <v>39900</v>
      </c>
    </row>
    <row r="407" spans="1:51" x14ac:dyDescent="0.4">
      <c r="A407" s="11">
        <v>40858</v>
      </c>
      <c r="B407" s="7">
        <v>74500</v>
      </c>
      <c r="C407" s="7">
        <v>21550</v>
      </c>
      <c r="D407" s="7">
        <v>67400</v>
      </c>
      <c r="E407" s="7">
        <v>232000</v>
      </c>
      <c r="F407" s="7">
        <v>68700</v>
      </c>
      <c r="G407" s="8">
        <v>44850</v>
      </c>
      <c r="H407" s="8">
        <v>59600</v>
      </c>
      <c r="I407" s="8">
        <v>133000</v>
      </c>
      <c r="J407" s="8">
        <v>100500</v>
      </c>
      <c r="K407" s="8">
        <v>228500</v>
      </c>
      <c r="L407" s="7">
        <v>368000</v>
      </c>
      <c r="M407" s="7">
        <v>983000</v>
      </c>
      <c r="N407" s="7">
        <v>92500</v>
      </c>
      <c r="O407" s="7">
        <v>130000</v>
      </c>
      <c r="P407" s="7">
        <v>78200</v>
      </c>
      <c r="Q407" s="8">
        <v>276500</v>
      </c>
      <c r="R407" s="8">
        <v>200000</v>
      </c>
      <c r="S407" s="8">
        <v>347000</v>
      </c>
      <c r="T407" s="8">
        <v>30150</v>
      </c>
      <c r="U407" s="8">
        <v>118500</v>
      </c>
      <c r="V407" s="7">
        <v>322500</v>
      </c>
      <c r="W407" s="7">
        <v>26441</v>
      </c>
      <c r="X407" s="7">
        <v>315000</v>
      </c>
      <c r="Y407" s="7">
        <v>23450</v>
      </c>
      <c r="Z407" s="7">
        <v>52200</v>
      </c>
      <c r="AA407" s="8">
        <v>149500</v>
      </c>
      <c r="AB407" s="8">
        <v>374500</v>
      </c>
      <c r="AC407" s="8">
        <v>14450</v>
      </c>
      <c r="AD407" s="8">
        <v>230500</v>
      </c>
      <c r="AE407" s="8">
        <v>41200</v>
      </c>
      <c r="AF407" s="7">
        <v>36350</v>
      </c>
      <c r="AG407" s="7">
        <v>84000</v>
      </c>
      <c r="AH407" s="7">
        <v>72300</v>
      </c>
      <c r="AI407" s="7">
        <v>62000</v>
      </c>
      <c r="AJ407" s="7">
        <v>22400</v>
      </c>
      <c r="AK407" s="8">
        <v>29750</v>
      </c>
      <c r="AL407" s="8">
        <v>237000</v>
      </c>
      <c r="AM407" s="8">
        <v>355000</v>
      </c>
      <c r="AN407" s="8">
        <v>24400</v>
      </c>
      <c r="AO407" s="8">
        <v>9470</v>
      </c>
      <c r="AP407" s="7">
        <v>524000</v>
      </c>
      <c r="AQ407" s="7">
        <v>362000</v>
      </c>
      <c r="AR407" s="7">
        <v>9900</v>
      </c>
      <c r="AS407" s="7">
        <v>40050</v>
      </c>
      <c r="AT407" s="7">
        <v>63132</v>
      </c>
      <c r="AU407" s="8">
        <v>218000</v>
      </c>
      <c r="AV407" s="8">
        <v>37050</v>
      </c>
      <c r="AW407" s="8">
        <v>7100</v>
      </c>
      <c r="AX407" s="8">
        <v>174500</v>
      </c>
      <c r="AY407" s="8">
        <v>38850</v>
      </c>
    </row>
    <row r="408" spans="1:51" x14ac:dyDescent="0.4">
      <c r="A408" s="11">
        <v>40857</v>
      </c>
      <c r="B408" s="7">
        <v>71700</v>
      </c>
      <c r="C408" s="7">
        <v>21500</v>
      </c>
      <c r="D408" s="7">
        <v>65500</v>
      </c>
      <c r="E408" s="7">
        <v>226000</v>
      </c>
      <c r="F408" s="7">
        <v>67100</v>
      </c>
      <c r="G408" s="8">
        <v>43150</v>
      </c>
      <c r="H408" s="8">
        <v>56500</v>
      </c>
      <c r="I408" s="8">
        <v>128500</v>
      </c>
      <c r="J408" s="8">
        <v>98300</v>
      </c>
      <c r="K408" s="8">
        <v>221500</v>
      </c>
      <c r="L408" s="7">
        <v>363000</v>
      </c>
      <c r="M408" s="7">
        <v>935000</v>
      </c>
      <c r="N408" s="7">
        <v>89300</v>
      </c>
      <c r="O408" s="7">
        <v>128500</v>
      </c>
      <c r="P408" s="7">
        <v>80500</v>
      </c>
      <c r="Q408" s="8">
        <v>261500</v>
      </c>
      <c r="R408" s="8">
        <v>198500</v>
      </c>
      <c r="S408" s="8">
        <v>335000</v>
      </c>
      <c r="T408" s="8">
        <v>30050</v>
      </c>
      <c r="U408" s="8">
        <v>115000</v>
      </c>
      <c r="V408" s="7">
        <v>310500</v>
      </c>
      <c r="W408" s="7">
        <v>26638</v>
      </c>
      <c r="X408" s="7">
        <v>307000</v>
      </c>
      <c r="Y408" s="7">
        <v>23300</v>
      </c>
      <c r="Z408" s="7">
        <v>51200</v>
      </c>
      <c r="AA408" s="8">
        <v>145000</v>
      </c>
      <c r="AB408" s="8">
        <v>373000</v>
      </c>
      <c r="AC408" s="8">
        <v>14050</v>
      </c>
      <c r="AD408" s="8">
        <v>224500</v>
      </c>
      <c r="AE408" s="8">
        <v>40600</v>
      </c>
      <c r="AF408" s="7">
        <v>36000</v>
      </c>
      <c r="AG408" s="7">
        <v>82600</v>
      </c>
      <c r="AH408" s="7">
        <v>71800</v>
      </c>
      <c r="AI408" s="7">
        <v>61000</v>
      </c>
      <c r="AJ408" s="7">
        <v>21600</v>
      </c>
      <c r="AK408" s="8">
        <v>29450</v>
      </c>
      <c r="AL408" s="8">
        <v>231000</v>
      </c>
      <c r="AM408" s="8">
        <v>347000</v>
      </c>
      <c r="AN408" s="8">
        <v>23600</v>
      </c>
      <c r="AO408" s="8">
        <v>9480</v>
      </c>
      <c r="AP408" s="7">
        <v>530000</v>
      </c>
      <c r="AQ408" s="7">
        <v>349500</v>
      </c>
      <c r="AR408" s="7">
        <v>9590</v>
      </c>
      <c r="AS408" s="7">
        <v>38600</v>
      </c>
      <c r="AT408" s="7">
        <v>59320</v>
      </c>
      <c r="AU408" s="8">
        <v>216000</v>
      </c>
      <c r="AV408" s="8">
        <v>36400</v>
      </c>
      <c r="AW408" s="8">
        <v>6920</v>
      </c>
      <c r="AX408" s="8">
        <v>165500</v>
      </c>
      <c r="AY408" s="8">
        <v>37800</v>
      </c>
    </row>
    <row r="409" spans="1:51" x14ac:dyDescent="0.4">
      <c r="A409" s="12">
        <v>40856</v>
      </c>
      <c r="B409" s="9">
        <v>74300</v>
      </c>
      <c r="C409" s="9">
        <v>22050</v>
      </c>
      <c r="D409" s="9">
        <v>70900</v>
      </c>
      <c r="E409" s="9">
        <v>231000</v>
      </c>
      <c r="F409" s="9">
        <v>72900</v>
      </c>
      <c r="G409" s="10">
        <v>46750</v>
      </c>
      <c r="H409" s="10">
        <v>60000</v>
      </c>
      <c r="I409" s="10">
        <v>141000</v>
      </c>
      <c r="J409" s="10">
        <v>104000</v>
      </c>
      <c r="K409" s="10">
        <v>235000</v>
      </c>
      <c r="L409" s="9">
        <v>383500</v>
      </c>
      <c r="M409" s="9">
        <v>985000</v>
      </c>
      <c r="N409" s="9">
        <v>95400</v>
      </c>
      <c r="O409" s="9">
        <v>138500</v>
      </c>
      <c r="P409" s="9">
        <v>85000</v>
      </c>
      <c r="Q409" s="10">
        <v>283500</v>
      </c>
      <c r="R409" s="10">
        <v>216000</v>
      </c>
      <c r="S409" s="10">
        <v>347000</v>
      </c>
      <c r="T409" s="10">
        <v>32150</v>
      </c>
      <c r="U409" s="10">
        <v>123500</v>
      </c>
      <c r="V409" s="9">
        <v>325000</v>
      </c>
      <c r="W409" s="9">
        <v>28804</v>
      </c>
      <c r="X409" s="9">
        <v>326500</v>
      </c>
      <c r="Y409" s="9">
        <v>24200</v>
      </c>
      <c r="Z409" s="9">
        <v>54800</v>
      </c>
      <c r="AA409" s="10">
        <v>153000</v>
      </c>
      <c r="AB409" s="10">
        <v>386500</v>
      </c>
      <c r="AC409" s="10">
        <v>14950</v>
      </c>
      <c r="AD409" s="10">
        <v>240500</v>
      </c>
      <c r="AE409" s="10">
        <v>41950</v>
      </c>
      <c r="AF409" s="9">
        <v>36950</v>
      </c>
      <c r="AG409" s="9">
        <v>86300</v>
      </c>
      <c r="AH409" s="9">
        <v>71300</v>
      </c>
      <c r="AI409" s="9">
        <v>64400</v>
      </c>
      <c r="AJ409" s="9">
        <v>23050</v>
      </c>
      <c r="AK409" s="10">
        <v>30550</v>
      </c>
      <c r="AL409" s="10">
        <v>243000</v>
      </c>
      <c r="AM409" s="10">
        <v>374000</v>
      </c>
      <c r="AN409" s="10">
        <v>25800</v>
      </c>
      <c r="AO409" s="10">
        <v>10200</v>
      </c>
      <c r="AP409" s="9">
        <v>529000</v>
      </c>
      <c r="AQ409" s="9">
        <v>365500</v>
      </c>
      <c r="AR409" s="9">
        <v>10350</v>
      </c>
      <c r="AS409" s="9">
        <v>41750</v>
      </c>
      <c r="AT409" s="9">
        <v>61764</v>
      </c>
      <c r="AU409" s="10">
        <v>216000</v>
      </c>
      <c r="AV409" s="10">
        <v>39350</v>
      </c>
      <c r="AW409" s="10">
        <v>7040</v>
      </c>
      <c r="AX409" s="10">
        <v>177500</v>
      </c>
      <c r="AY409" s="10">
        <v>41100</v>
      </c>
    </row>
    <row r="410" spans="1:51" x14ac:dyDescent="0.4">
      <c r="A410" s="11">
        <v>40855</v>
      </c>
      <c r="B410" s="7">
        <v>74900</v>
      </c>
      <c r="C410" s="7">
        <v>23000</v>
      </c>
      <c r="D410" s="7">
        <v>70700</v>
      </c>
      <c r="E410" s="7">
        <v>232000</v>
      </c>
      <c r="F410" s="7">
        <v>72000</v>
      </c>
      <c r="G410" s="8">
        <v>47100</v>
      </c>
      <c r="H410" s="8">
        <v>59800</v>
      </c>
      <c r="I410" s="8">
        <v>145000</v>
      </c>
      <c r="J410" s="8">
        <v>101500</v>
      </c>
      <c r="K410" s="8">
        <v>236500</v>
      </c>
      <c r="L410" s="7">
        <v>380500</v>
      </c>
      <c r="M410" s="7">
        <v>970000</v>
      </c>
      <c r="N410" s="7">
        <v>96200</v>
      </c>
      <c r="O410" s="7">
        <v>138000</v>
      </c>
      <c r="P410" s="7">
        <v>84200</v>
      </c>
      <c r="Q410" s="8">
        <v>282000</v>
      </c>
      <c r="R410" s="8">
        <v>223500</v>
      </c>
      <c r="S410" s="8">
        <v>344000</v>
      </c>
      <c r="T410" s="8">
        <v>32200</v>
      </c>
      <c r="U410" s="8">
        <v>123000</v>
      </c>
      <c r="V410" s="7">
        <v>328500</v>
      </c>
      <c r="W410" s="7">
        <v>28607</v>
      </c>
      <c r="X410" s="7">
        <v>323000</v>
      </c>
      <c r="Y410" s="7">
        <v>24200</v>
      </c>
      <c r="Z410" s="7">
        <v>54700</v>
      </c>
      <c r="AA410" s="8">
        <v>151500</v>
      </c>
      <c r="AB410" s="8">
        <v>393500</v>
      </c>
      <c r="AC410" s="8">
        <v>14850</v>
      </c>
      <c r="AD410" s="8">
        <v>240000</v>
      </c>
      <c r="AE410" s="8">
        <v>41000</v>
      </c>
      <c r="AF410" s="7">
        <v>36950</v>
      </c>
      <c r="AG410" s="7">
        <v>86200</v>
      </c>
      <c r="AH410" s="7">
        <v>69700</v>
      </c>
      <c r="AI410" s="7">
        <v>66300</v>
      </c>
      <c r="AJ410" s="7">
        <v>24050</v>
      </c>
      <c r="AK410" s="8">
        <v>30450</v>
      </c>
      <c r="AL410" s="8">
        <v>231500</v>
      </c>
      <c r="AM410" s="8">
        <v>357000</v>
      </c>
      <c r="AN410" s="8">
        <v>25450</v>
      </c>
      <c r="AO410" s="8">
        <v>10250</v>
      </c>
      <c r="AP410" s="7">
        <v>526000</v>
      </c>
      <c r="AQ410" s="7">
        <v>363500</v>
      </c>
      <c r="AR410" s="7">
        <v>10300</v>
      </c>
      <c r="AS410" s="7">
        <v>41600</v>
      </c>
      <c r="AT410" s="7">
        <v>62545</v>
      </c>
      <c r="AU410" s="8">
        <v>217500</v>
      </c>
      <c r="AV410" s="8">
        <v>38700</v>
      </c>
      <c r="AW410" s="8">
        <v>6970</v>
      </c>
      <c r="AX410" s="8">
        <v>176000</v>
      </c>
      <c r="AY410" s="8">
        <v>41350</v>
      </c>
    </row>
    <row r="411" spans="1:51" x14ac:dyDescent="0.4">
      <c r="A411" s="11">
        <v>40854</v>
      </c>
      <c r="B411" s="7">
        <v>76300</v>
      </c>
      <c r="C411" s="7">
        <v>24100</v>
      </c>
      <c r="D411" s="7">
        <v>71400</v>
      </c>
      <c r="E411" s="7">
        <v>234500</v>
      </c>
      <c r="F411" s="7">
        <v>73300</v>
      </c>
      <c r="G411" s="8">
        <v>49150</v>
      </c>
      <c r="H411" s="8">
        <v>59500</v>
      </c>
      <c r="I411" s="8">
        <v>146000</v>
      </c>
      <c r="J411" s="8">
        <v>99700</v>
      </c>
      <c r="K411" s="8">
        <v>237000</v>
      </c>
      <c r="L411" s="7">
        <v>378500</v>
      </c>
      <c r="M411" s="7">
        <v>993000</v>
      </c>
      <c r="N411" s="7">
        <v>94800</v>
      </c>
      <c r="O411" s="7">
        <v>141000</v>
      </c>
      <c r="P411" s="7">
        <v>87000</v>
      </c>
      <c r="Q411" s="8">
        <v>286500</v>
      </c>
      <c r="R411" s="8">
        <v>229000</v>
      </c>
      <c r="S411" s="8">
        <v>348000</v>
      </c>
      <c r="T411" s="8">
        <v>33100</v>
      </c>
      <c r="U411" s="8">
        <v>123000</v>
      </c>
      <c r="V411" s="7">
        <v>334500</v>
      </c>
      <c r="W411" s="7">
        <v>28706</v>
      </c>
      <c r="X411" s="7">
        <v>324000</v>
      </c>
      <c r="Y411" s="7">
        <v>24150</v>
      </c>
      <c r="Z411" s="7">
        <v>55800</v>
      </c>
      <c r="AA411" s="8">
        <v>152500</v>
      </c>
      <c r="AB411" s="8">
        <v>399000</v>
      </c>
      <c r="AC411" s="8">
        <v>14950</v>
      </c>
      <c r="AD411" s="8">
        <v>236000</v>
      </c>
      <c r="AE411" s="8">
        <v>41150</v>
      </c>
      <c r="AF411" s="7">
        <v>37050</v>
      </c>
      <c r="AG411" s="7">
        <v>86800</v>
      </c>
      <c r="AH411" s="7">
        <v>71200</v>
      </c>
      <c r="AI411" s="7">
        <v>66500</v>
      </c>
      <c r="AJ411" s="7">
        <v>24100</v>
      </c>
      <c r="AK411" s="8">
        <v>30050</v>
      </c>
      <c r="AL411" s="8">
        <v>229000</v>
      </c>
      <c r="AM411" s="8">
        <v>363000</v>
      </c>
      <c r="AN411" s="8">
        <v>25500</v>
      </c>
      <c r="AO411" s="8">
        <v>10150</v>
      </c>
      <c r="AP411" s="7">
        <v>525000</v>
      </c>
      <c r="AQ411" s="7">
        <v>366500</v>
      </c>
      <c r="AR411" s="7">
        <v>10550</v>
      </c>
      <c r="AS411" s="7">
        <v>43200</v>
      </c>
      <c r="AT411" s="7">
        <v>60786</v>
      </c>
      <c r="AU411" s="8">
        <v>217500</v>
      </c>
      <c r="AV411" s="8">
        <v>39700</v>
      </c>
      <c r="AW411" s="8">
        <v>6890</v>
      </c>
      <c r="AX411" s="8">
        <v>172500</v>
      </c>
      <c r="AY411" s="8">
        <v>42000</v>
      </c>
    </row>
    <row r="412" spans="1:51" x14ac:dyDescent="0.4">
      <c r="A412" s="11">
        <v>40851</v>
      </c>
      <c r="B412" s="7">
        <v>77400</v>
      </c>
      <c r="C412" s="7">
        <v>24850</v>
      </c>
      <c r="D412" s="7">
        <v>71200</v>
      </c>
      <c r="E412" s="7">
        <v>243000</v>
      </c>
      <c r="F412" s="7">
        <v>75100</v>
      </c>
      <c r="G412" s="8">
        <v>49200</v>
      </c>
      <c r="H412" s="8">
        <v>57900</v>
      </c>
      <c r="I412" s="8">
        <v>148000</v>
      </c>
      <c r="J412" s="8">
        <v>102000</v>
      </c>
      <c r="K412" s="8">
        <v>238000</v>
      </c>
      <c r="L412" s="7">
        <v>379000</v>
      </c>
      <c r="M412" s="7">
        <v>1005000</v>
      </c>
      <c r="N412" s="7">
        <v>97500</v>
      </c>
      <c r="O412" s="7">
        <v>142000</v>
      </c>
      <c r="P412" s="7">
        <v>86200</v>
      </c>
      <c r="Q412" s="8">
        <v>288500</v>
      </c>
      <c r="R412" s="8">
        <v>218000</v>
      </c>
      <c r="S412" s="8">
        <v>351500</v>
      </c>
      <c r="T412" s="8">
        <v>32800</v>
      </c>
      <c r="U412" s="8">
        <v>123500</v>
      </c>
      <c r="V412" s="7">
        <v>331500</v>
      </c>
      <c r="W412" s="7">
        <v>29050</v>
      </c>
      <c r="X412" s="7">
        <v>332500</v>
      </c>
      <c r="Y412" s="7">
        <v>24500</v>
      </c>
      <c r="Z412" s="7">
        <v>56200</v>
      </c>
      <c r="AA412" s="8">
        <v>146500</v>
      </c>
      <c r="AB412" s="8">
        <v>404500</v>
      </c>
      <c r="AC412" s="8">
        <v>14500</v>
      </c>
      <c r="AD412" s="8">
        <v>231500</v>
      </c>
      <c r="AE412" s="8">
        <v>40550</v>
      </c>
      <c r="AF412" s="7">
        <v>37100</v>
      </c>
      <c r="AG412" s="7">
        <v>87000</v>
      </c>
      <c r="AH412" s="7">
        <v>70300</v>
      </c>
      <c r="AI412" s="7">
        <v>63100</v>
      </c>
      <c r="AJ412" s="7">
        <v>23250</v>
      </c>
      <c r="AK412" s="8">
        <v>30050</v>
      </c>
      <c r="AL412" s="8">
        <v>233500</v>
      </c>
      <c r="AM412" s="8">
        <v>368500</v>
      </c>
      <c r="AN412" s="8">
        <v>25800</v>
      </c>
      <c r="AO412" s="8">
        <v>10450</v>
      </c>
      <c r="AP412" s="7">
        <v>519000</v>
      </c>
      <c r="AQ412" s="7">
        <v>372500</v>
      </c>
      <c r="AR412" s="7">
        <v>10400</v>
      </c>
      <c r="AS412" s="7">
        <v>43500</v>
      </c>
      <c r="AT412" s="7">
        <v>59711</v>
      </c>
      <c r="AU412" s="8">
        <v>227500</v>
      </c>
      <c r="AV412" s="8">
        <v>40400</v>
      </c>
      <c r="AW412" s="8">
        <v>7030</v>
      </c>
      <c r="AX412" s="8">
        <v>174500</v>
      </c>
      <c r="AY412" s="8">
        <v>41700</v>
      </c>
    </row>
    <row r="413" spans="1:51" x14ac:dyDescent="0.4">
      <c r="A413" s="11">
        <v>40850</v>
      </c>
      <c r="B413" s="7">
        <v>74900</v>
      </c>
      <c r="C413" s="7">
        <v>23300</v>
      </c>
      <c r="D413" s="7">
        <v>68900</v>
      </c>
      <c r="E413" s="7">
        <v>233000</v>
      </c>
      <c r="F413" s="7">
        <v>71300</v>
      </c>
      <c r="G413" s="8">
        <v>47800</v>
      </c>
      <c r="H413" s="8">
        <v>55600</v>
      </c>
      <c r="I413" s="8">
        <v>141000</v>
      </c>
      <c r="J413" s="8">
        <v>96700</v>
      </c>
      <c r="K413" s="8">
        <v>231000</v>
      </c>
      <c r="L413" s="7">
        <v>375500</v>
      </c>
      <c r="M413" s="7">
        <v>967000</v>
      </c>
      <c r="N413" s="7">
        <v>91500</v>
      </c>
      <c r="O413" s="7">
        <v>135000</v>
      </c>
      <c r="P413" s="7">
        <v>84100</v>
      </c>
      <c r="Q413" s="8">
        <v>280000</v>
      </c>
      <c r="R413" s="8">
        <v>209500</v>
      </c>
      <c r="S413" s="8">
        <v>328500</v>
      </c>
      <c r="T413" s="8">
        <v>31200</v>
      </c>
      <c r="U413" s="8">
        <v>116000</v>
      </c>
      <c r="V413" s="7">
        <v>302500</v>
      </c>
      <c r="W413" s="7">
        <v>28066</v>
      </c>
      <c r="X413" s="7">
        <v>319500</v>
      </c>
      <c r="Y413" s="7">
        <v>24650</v>
      </c>
      <c r="Z413" s="7">
        <v>54200</v>
      </c>
      <c r="AA413" s="8">
        <v>146500</v>
      </c>
      <c r="AB413" s="8">
        <v>402000</v>
      </c>
      <c r="AC413" s="8">
        <v>14000</v>
      </c>
      <c r="AD413" s="8">
        <v>227500</v>
      </c>
      <c r="AE413" s="8">
        <v>40400</v>
      </c>
      <c r="AF413" s="7">
        <v>36900</v>
      </c>
      <c r="AG413" s="7">
        <v>86900</v>
      </c>
      <c r="AH413" s="7">
        <v>71600</v>
      </c>
      <c r="AI413" s="7">
        <v>60300</v>
      </c>
      <c r="AJ413" s="7">
        <v>21500</v>
      </c>
      <c r="AK413" s="8">
        <v>29500</v>
      </c>
      <c r="AL413" s="8">
        <v>228000</v>
      </c>
      <c r="AM413" s="8">
        <v>362000</v>
      </c>
      <c r="AN413" s="8">
        <v>24750</v>
      </c>
      <c r="AO413" s="8">
        <v>10400</v>
      </c>
      <c r="AP413" s="7">
        <v>504000</v>
      </c>
      <c r="AQ413" s="7">
        <v>344500</v>
      </c>
      <c r="AR413" s="7">
        <v>10050</v>
      </c>
      <c r="AS413" s="7">
        <v>42650</v>
      </c>
      <c r="AT413" s="7">
        <v>60200</v>
      </c>
      <c r="AU413" s="8">
        <v>229000</v>
      </c>
      <c r="AV413" s="8">
        <v>39150</v>
      </c>
      <c r="AW413" s="8">
        <v>6890</v>
      </c>
      <c r="AX413" s="8">
        <v>161500</v>
      </c>
      <c r="AY413" s="8">
        <v>40350</v>
      </c>
    </row>
    <row r="414" spans="1:51" x14ac:dyDescent="0.4">
      <c r="A414" s="12">
        <v>40849</v>
      </c>
      <c r="B414" s="9">
        <v>76100</v>
      </c>
      <c r="C414" s="9">
        <v>24000</v>
      </c>
      <c r="D414" s="9">
        <v>70900</v>
      </c>
      <c r="E414" s="9">
        <v>230500</v>
      </c>
      <c r="F414" s="9">
        <v>72800</v>
      </c>
      <c r="G414" s="10">
        <v>48600</v>
      </c>
      <c r="H414" s="10">
        <v>61700</v>
      </c>
      <c r="I414" s="10">
        <v>145000</v>
      </c>
      <c r="J414" s="10">
        <v>98700</v>
      </c>
      <c r="K414" s="10">
        <v>232000</v>
      </c>
      <c r="L414" s="9">
        <v>377500</v>
      </c>
      <c r="M414" s="9">
        <v>971000</v>
      </c>
      <c r="N414" s="9">
        <v>96100</v>
      </c>
      <c r="O414" s="9">
        <v>136500</v>
      </c>
      <c r="P414" s="9">
        <v>86000</v>
      </c>
      <c r="Q414" s="10">
        <v>286500</v>
      </c>
      <c r="R414" s="10">
        <v>221000</v>
      </c>
      <c r="S414" s="10">
        <v>335000</v>
      </c>
      <c r="T414" s="10">
        <v>32600</v>
      </c>
      <c r="U414" s="10">
        <v>119000</v>
      </c>
      <c r="V414" s="9">
        <v>311000</v>
      </c>
      <c r="W414" s="9">
        <v>28164</v>
      </c>
      <c r="X414" s="9">
        <v>327000</v>
      </c>
      <c r="Y414" s="9">
        <v>24800</v>
      </c>
      <c r="Z414" s="9">
        <v>55200</v>
      </c>
      <c r="AA414" s="10">
        <v>149000</v>
      </c>
      <c r="AB414" s="10">
        <v>392500</v>
      </c>
      <c r="AC414" s="10">
        <v>14250</v>
      </c>
      <c r="AD414" s="10">
        <v>224000</v>
      </c>
      <c r="AE414" s="10">
        <v>41200</v>
      </c>
      <c r="AF414" s="9">
        <v>37050</v>
      </c>
      <c r="AG414" s="9">
        <v>87300</v>
      </c>
      <c r="AH414" s="9">
        <v>70000</v>
      </c>
      <c r="AI414" s="9">
        <v>59900</v>
      </c>
      <c r="AJ414" s="9">
        <v>22950</v>
      </c>
      <c r="AK414" s="10">
        <v>28700</v>
      </c>
      <c r="AL414" s="10">
        <v>233000</v>
      </c>
      <c r="AM414" s="10">
        <v>350500</v>
      </c>
      <c r="AN414" s="10">
        <v>26250</v>
      </c>
      <c r="AO414" s="10">
        <v>10450</v>
      </c>
      <c r="AP414" s="9">
        <v>513000</v>
      </c>
      <c r="AQ414" s="9">
        <v>360000</v>
      </c>
      <c r="AR414" s="9">
        <v>10400</v>
      </c>
      <c r="AS414" s="9">
        <v>43800</v>
      </c>
      <c r="AT414" s="9">
        <v>69777</v>
      </c>
      <c r="AU414" s="10">
        <v>221000</v>
      </c>
      <c r="AV414" s="10">
        <v>39150</v>
      </c>
      <c r="AW414" s="10">
        <v>6830</v>
      </c>
      <c r="AX414" s="10">
        <v>166500</v>
      </c>
      <c r="AY414" s="10">
        <v>41950</v>
      </c>
    </row>
    <row r="415" spans="1:51" x14ac:dyDescent="0.4">
      <c r="A415" s="11">
        <v>40848</v>
      </c>
      <c r="B415" s="7">
        <v>74700</v>
      </c>
      <c r="C415" s="7">
        <v>23900</v>
      </c>
      <c r="D415" s="7">
        <v>71100</v>
      </c>
      <c r="E415" s="7">
        <v>239500</v>
      </c>
      <c r="F415" s="7">
        <v>72200</v>
      </c>
      <c r="G415" s="8">
        <v>49400</v>
      </c>
      <c r="H415" s="8">
        <v>63600</v>
      </c>
      <c r="I415" s="8">
        <v>145000</v>
      </c>
      <c r="J415" s="8">
        <v>99500</v>
      </c>
      <c r="K415" s="8">
        <v>231500</v>
      </c>
      <c r="L415" s="7">
        <v>381000</v>
      </c>
      <c r="M415" s="7">
        <v>990000</v>
      </c>
      <c r="N415" s="7">
        <v>96500</v>
      </c>
      <c r="O415" s="7">
        <v>136500</v>
      </c>
      <c r="P415" s="7">
        <v>84500</v>
      </c>
      <c r="Q415" s="8">
        <v>300000</v>
      </c>
      <c r="R415" s="8">
        <v>227000</v>
      </c>
      <c r="S415" s="8">
        <v>336000</v>
      </c>
      <c r="T415" s="8">
        <v>33750</v>
      </c>
      <c r="U415" s="8">
        <v>116500</v>
      </c>
      <c r="V415" s="7">
        <v>317000</v>
      </c>
      <c r="W415" s="7">
        <v>28016</v>
      </c>
      <c r="X415" s="7">
        <v>320000</v>
      </c>
      <c r="Y415" s="7">
        <v>24900</v>
      </c>
      <c r="Z415" s="7">
        <v>57000</v>
      </c>
      <c r="AA415" s="8">
        <v>151000</v>
      </c>
      <c r="AB415" s="8">
        <v>400500</v>
      </c>
      <c r="AC415" s="8">
        <v>14450</v>
      </c>
      <c r="AD415" s="8">
        <v>222500</v>
      </c>
      <c r="AE415" s="8">
        <v>42900</v>
      </c>
      <c r="AF415" s="7">
        <v>37200</v>
      </c>
      <c r="AG415" s="7">
        <v>86800</v>
      </c>
      <c r="AH415" s="7">
        <v>70200</v>
      </c>
      <c r="AI415" s="7">
        <v>58800</v>
      </c>
      <c r="AJ415" s="7">
        <v>23300</v>
      </c>
      <c r="AK415" s="8">
        <v>28900</v>
      </c>
      <c r="AL415" s="8">
        <v>230000</v>
      </c>
      <c r="AM415" s="8">
        <v>350500</v>
      </c>
      <c r="AN415" s="8">
        <v>27550</v>
      </c>
      <c r="AO415" s="8">
        <v>10100</v>
      </c>
      <c r="AP415" s="7">
        <v>507000</v>
      </c>
      <c r="AQ415" s="7">
        <v>365500</v>
      </c>
      <c r="AR415" s="7">
        <v>10650</v>
      </c>
      <c r="AS415" s="7">
        <v>43850</v>
      </c>
      <c r="AT415" s="7">
        <v>71243</v>
      </c>
      <c r="AU415" s="8">
        <v>211500</v>
      </c>
      <c r="AV415" s="8">
        <v>40000</v>
      </c>
      <c r="AW415" s="8">
        <v>7000</v>
      </c>
      <c r="AX415" s="8">
        <v>167000</v>
      </c>
      <c r="AY415" s="8">
        <v>42700</v>
      </c>
    </row>
    <row r="416" spans="1:51" x14ac:dyDescent="0.4">
      <c r="A416" s="11">
        <v>40847</v>
      </c>
      <c r="B416" s="7">
        <v>72300</v>
      </c>
      <c r="C416" s="7">
        <v>22850</v>
      </c>
      <c r="D416" s="7">
        <v>71900</v>
      </c>
      <c r="E416" s="7">
        <v>238000</v>
      </c>
      <c r="F416" s="7">
        <v>69600</v>
      </c>
      <c r="G416" s="8">
        <v>50000</v>
      </c>
      <c r="H416" s="8">
        <v>66100</v>
      </c>
      <c r="I416" s="8">
        <v>150500</v>
      </c>
      <c r="J416" s="8">
        <v>102500</v>
      </c>
      <c r="K416" s="8">
        <v>227000</v>
      </c>
      <c r="L416" s="7">
        <v>389000</v>
      </c>
      <c r="M416" s="7">
        <v>968000</v>
      </c>
      <c r="N416" s="7">
        <v>98400</v>
      </c>
      <c r="O416" s="7">
        <v>136000</v>
      </c>
      <c r="P416" s="7">
        <v>85400</v>
      </c>
      <c r="Q416" s="8">
        <v>302500</v>
      </c>
      <c r="R416" s="8">
        <v>233000</v>
      </c>
      <c r="S416" s="8">
        <v>329000</v>
      </c>
      <c r="T416" s="8">
        <v>34650</v>
      </c>
      <c r="U416" s="8">
        <v>117500</v>
      </c>
      <c r="V416" s="7">
        <v>308000</v>
      </c>
      <c r="W416" s="7">
        <v>28558</v>
      </c>
      <c r="X416" s="7">
        <v>323000</v>
      </c>
      <c r="Y416" s="7">
        <v>25100</v>
      </c>
      <c r="Z416" s="7">
        <v>58500</v>
      </c>
      <c r="AA416" s="8">
        <v>148000</v>
      </c>
      <c r="AB416" s="8">
        <v>402000</v>
      </c>
      <c r="AC416" s="8">
        <v>14850</v>
      </c>
      <c r="AD416" s="8">
        <v>230000</v>
      </c>
      <c r="AE416" s="8">
        <v>41950</v>
      </c>
      <c r="AF416" s="7">
        <v>37450</v>
      </c>
      <c r="AG416" s="7">
        <v>86800</v>
      </c>
      <c r="AH416" s="7">
        <v>69500</v>
      </c>
      <c r="AI416" s="7">
        <v>60000</v>
      </c>
      <c r="AJ416" s="7">
        <v>22850</v>
      </c>
      <c r="AK416" s="8">
        <v>29800</v>
      </c>
      <c r="AL416" s="8">
        <v>233000</v>
      </c>
      <c r="AM416" s="8">
        <v>351500</v>
      </c>
      <c r="AN416" s="8">
        <v>27950</v>
      </c>
      <c r="AO416" s="8">
        <v>10350</v>
      </c>
      <c r="AP416" s="7">
        <v>503000</v>
      </c>
      <c r="AQ416" s="7">
        <v>364000</v>
      </c>
      <c r="AR416" s="7">
        <v>10850</v>
      </c>
      <c r="AS416" s="7">
        <v>44650</v>
      </c>
      <c r="AT416" s="7">
        <v>73002</v>
      </c>
      <c r="AU416" s="8">
        <v>210000</v>
      </c>
      <c r="AV416" s="8">
        <v>40350</v>
      </c>
      <c r="AW416" s="8">
        <v>6270</v>
      </c>
      <c r="AX416" s="8">
        <v>170500</v>
      </c>
      <c r="AY416" s="8">
        <v>43400</v>
      </c>
    </row>
    <row r="417" spans="1:51" x14ac:dyDescent="0.4">
      <c r="A417" s="11">
        <v>40844</v>
      </c>
      <c r="B417" s="7">
        <v>72600</v>
      </c>
      <c r="C417" s="7">
        <v>22900</v>
      </c>
      <c r="D417" s="7">
        <v>72800</v>
      </c>
      <c r="E417" s="7">
        <v>234000</v>
      </c>
      <c r="F417" s="7">
        <v>71100</v>
      </c>
      <c r="G417" s="8">
        <v>52100</v>
      </c>
      <c r="H417" s="8">
        <v>68100</v>
      </c>
      <c r="I417" s="8">
        <v>152500</v>
      </c>
      <c r="J417" s="8">
        <v>103500</v>
      </c>
      <c r="K417" s="8">
        <v>225000</v>
      </c>
      <c r="L417" s="7">
        <v>391000</v>
      </c>
      <c r="M417" s="7">
        <v>945000</v>
      </c>
      <c r="N417" s="7">
        <v>100000</v>
      </c>
      <c r="O417" s="7">
        <v>133500</v>
      </c>
      <c r="P417" s="7">
        <v>85000</v>
      </c>
      <c r="Q417" s="8">
        <v>308000</v>
      </c>
      <c r="R417" s="8">
        <v>233000</v>
      </c>
      <c r="S417" s="8">
        <v>350000</v>
      </c>
      <c r="T417" s="8">
        <v>34200</v>
      </c>
      <c r="U417" s="8">
        <v>119000</v>
      </c>
      <c r="V417" s="7">
        <v>323000</v>
      </c>
      <c r="W417" s="7">
        <v>29100</v>
      </c>
      <c r="X417" s="7">
        <v>344000</v>
      </c>
      <c r="Y417" s="7">
        <v>25400</v>
      </c>
      <c r="Z417" s="7">
        <v>59800</v>
      </c>
      <c r="AA417" s="8">
        <v>152500</v>
      </c>
      <c r="AB417" s="8">
        <v>424000</v>
      </c>
      <c r="AC417" s="8">
        <v>15100</v>
      </c>
      <c r="AD417" s="8">
        <v>236500</v>
      </c>
      <c r="AE417" s="8">
        <v>43050</v>
      </c>
      <c r="AF417" s="7">
        <v>37600</v>
      </c>
      <c r="AG417" s="7">
        <v>86900</v>
      </c>
      <c r="AH417" s="7">
        <v>71700</v>
      </c>
      <c r="AI417" s="7">
        <v>60300</v>
      </c>
      <c r="AJ417" s="7">
        <v>23300</v>
      </c>
      <c r="AK417" s="8">
        <v>28900</v>
      </c>
      <c r="AL417" s="8">
        <v>231500</v>
      </c>
      <c r="AM417" s="8">
        <v>365000</v>
      </c>
      <c r="AN417" s="8">
        <v>28250</v>
      </c>
      <c r="AO417" s="8">
        <v>10600</v>
      </c>
      <c r="AP417" s="7">
        <v>508000</v>
      </c>
      <c r="AQ417" s="7">
        <v>380000</v>
      </c>
      <c r="AR417" s="7">
        <v>11200</v>
      </c>
      <c r="AS417" s="7">
        <v>46250</v>
      </c>
      <c r="AT417" s="7">
        <v>75250</v>
      </c>
      <c r="AU417" s="8">
        <v>216000</v>
      </c>
      <c r="AV417" s="8">
        <v>41850</v>
      </c>
      <c r="AW417" s="8">
        <v>6120</v>
      </c>
      <c r="AX417" s="8">
        <v>177500</v>
      </c>
      <c r="AY417" s="8">
        <v>45000</v>
      </c>
    </row>
    <row r="418" spans="1:51" x14ac:dyDescent="0.4">
      <c r="A418" s="11">
        <v>40843</v>
      </c>
      <c r="B418" s="7">
        <v>72800</v>
      </c>
      <c r="C418" s="7">
        <v>23800</v>
      </c>
      <c r="D418" s="7">
        <v>72300</v>
      </c>
      <c r="E418" s="7">
        <v>227500</v>
      </c>
      <c r="F418" s="7">
        <v>71800</v>
      </c>
      <c r="G418" s="8">
        <v>52000</v>
      </c>
      <c r="H418" s="8">
        <v>67400</v>
      </c>
      <c r="I418" s="8">
        <v>159000</v>
      </c>
      <c r="J418" s="8">
        <v>102500</v>
      </c>
      <c r="K418" s="8">
        <v>223500</v>
      </c>
      <c r="L418" s="7">
        <v>385000</v>
      </c>
      <c r="M418" s="7">
        <v>924000</v>
      </c>
      <c r="N418" s="7">
        <v>101000</v>
      </c>
      <c r="O418" s="7">
        <v>135500</v>
      </c>
      <c r="P418" s="7">
        <v>87100</v>
      </c>
      <c r="Q418" s="8">
        <v>306000</v>
      </c>
      <c r="R418" s="8">
        <v>218500</v>
      </c>
      <c r="S418" s="8">
        <v>354000</v>
      </c>
      <c r="T418" s="8">
        <v>32900</v>
      </c>
      <c r="U418" s="8">
        <v>121000</v>
      </c>
      <c r="V418" s="7">
        <v>318000</v>
      </c>
      <c r="W418" s="7">
        <v>28361</v>
      </c>
      <c r="X418" s="7">
        <v>353000</v>
      </c>
      <c r="Y418" s="7">
        <v>25300</v>
      </c>
      <c r="Z418" s="7">
        <v>58000</v>
      </c>
      <c r="AA418" s="8">
        <v>159000</v>
      </c>
      <c r="AB418" s="8">
        <v>420500</v>
      </c>
      <c r="AC418" s="8">
        <v>14700</v>
      </c>
      <c r="AD418" s="8">
        <v>232500</v>
      </c>
      <c r="AE418" s="8">
        <v>42450</v>
      </c>
      <c r="AF418" s="7">
        <v>38000</v>
      </c>
      <c r="AG418" s="7">
        <v>86900</v>
      </c>
      <c r="AH418" s="7">
        <v>75200</v>
      </c>
      <c r="AI418" s="7">
        <v>58900</v>
      </c>
      <c r="AJ418" s="7">
        <v>23600</v>
      </c>
      <c r="AK418" s="8">
        <v>28700</v>
      </c>
      <c r="AL418" s="8">
        <v>237500</v>
      </c>
      <c r="AM418" s="8">
        <v>368000</v>
      </c>
      <c r="AN418" s="8">
        <v>27800</v>
      </c>
      <c r="AO418" s="8">
        <v>10350</v>
      </c>
      <c r="AP418" s="7">
        <v>532000</v>
      </c>
      <c r="AQ418" s="7">
        <v>377500</v>
      </c>
      <c r="AR418" s="7">
        <v>10600</v>
      </c>
      <c r="AS418" s="7">
        <v>45700</v>
      </c>
      <c r="AT418" s="7">
        <v>77205</v>
      </c>
      <c r="AU418" s="8">
        <v>209500</v>
      </c>
      <c r="AV418" s="8">
        <v>41100</v>
      </c>
      <c r="AW418" s="8">
        <v>5980</v>
      </c>
      <c r="AX418" s="8">
        <v>175500</v>
      </c>
      <c r="AY418" s="8">
        <v>43200</v>
      </c>
    </row>
    <row r="419" spans="1:51" x14ac:dyDescent="0.4">
      <c r="A419" s="12">
        <v>40842</v>
      </c>
      <c r="B419" s="9">
        <v>73000</v>
      </c>
      <c r="C419" s="9">
        <v>24150</v>
      </c>
      <c r="D419" s="9">
        <v>72300</v>
      </c>
      <c r="E419" s="9">
        <v>226000</v>
      </c>
      <c r="F419" s="9">
        <v>71100</v>
      </c>
      <c r="G419" s="10">
        <v>50200</v>
      </c>
      <c r="H419" s="10">
        <v>65700</v>
      </c>
      <c r="I419" s="10">
        <v>157000</v>
      </c>
      <c r="J419" s="10">
        <v>93200</v>
      </c>
      <c r="K419" s="10">
        <v>223500</v>
      </c>
      <c r="L419" s="9">
        <v>367000</v>
      </c>
      <c r="M419" s="9">
        <v>934000</v>
      </c>
      <c r="N419" s="9">
        <v>96600</v>
      </c>
      <c r="O419" s="9">
        <v>139000</v>
      </c>
      <c r="P419" s="9">
        <v>91300</v>
      </c>
      <c r="Q419" s="10">
        <v>289500</v>
      </c>
      <c r="R419" s="10">
        <v>211000</v>
      </c>
      <c r="S419" s="10">
        <v>335500</v>
      </c>
      <c r="T419" s="10">
        <v>30900</v>
      </c>
      <c r="U419" s="10">
        <v>116000</v>
      </c>
      <c r="V419" s="9">
        <v>286500</v>
      </c>
      <c r="W419" s="9">
        <v>26933</v>
      </c>
      <c r="X419" s="9">
        <v>347500</v>
      </c>
      <c r="Y419" s="9">
        <v>25100</v>
      </c>
      <c r="Z419" s="9">
        <v>56500</v>
      </c>
      <c r="AA419" s="10">
        <v>161500</v>
      </c>
      <c r="AB419" s="10">
        <v>418500</v>
      </c>
      <c r="AC419" s="10">
        <v>14650</v>
      </c>
      <c r="AD419" s="10">
        <v>226500</v>
      </c>
      <c r="AE419" s="10">
        <v>41400</v>
      </c>
      <c r="AF419" s="9">
        <v>37700</v>
      </c>
      <c r="AG419" s="9">
        <v>85000</v>
      </c>
      <c r="AH419" s="9">
        <v>76700</v>
      </c>
      <c r="AI419" s="9">
        <v>58400</v>
      </c>
      <c r="AJ419" s="9">
        <v>24200</v>
      </c>
      <c r="AK419" s="10">
        <v>29000</v>
      </c>
      <c r="AL419" s="10">
        <v>236500</v>
      </c>
      <c r="AM419" s="10">
        <v>372000</v>
      </c>
      <c r="AN419" s="10">
        <v>25350</v>
      </c>
      <c r="AO419" s="10">
        <v>10400</v>
      </c>
      <c r="AP419" s="9">
        <v>522000</v>
      </c>
      <c r="AQ419" s="9">
        <v>369000</v>
      </c>
      <c r="AR419" s="9">
        <v>10300</v>
      </c>
      <c r="AS419" s="9">
        <v>44750</v>
      </c>
      <c r="AT419" s="9">
        <v>75739</v>
      </c>
      <c r="AU419" s="10">
        <v>208500</v>
      </c>
      <c r="AV419" s="10">
        <v>39400</v>
      </c>
      <c r="AW419" s="10">
        <v>5830</v>
      </c>
      <c r="AX419" s="10">
        <v>169000</v>
      </c>
      <c r="AY419" s="10">
        <v>42150</v>
      </c>
    </row>
    <row r="420" spans="1:51" x14ac:dyDescent="0.4">
      <c r="A420" s="11">
        <v>40841</v>
      </c>
      <c r="B420" s="7">
        <v>73700</v>
      </c>
      <c r="C420" s="7">
        <v>23650</v>
      </c>
      <c r="D420" s="7">
        <v>70800</v>
      </c>
      <c r="E420" s="7">
        <v>232000</v>
      </c>
      <c r="F420" s="7">
        <v>70800</v>
      </c>
      <c r="G420" s="8">
        <v>50200</v>
      </c>
      <c r="H420" s="8">
        <v>64900</v>
      </c>
      <c r="I420" s="8">
        <v>153000</v>
      </c>
      <c r="J420" s="8">
        <v>91800</v>
      </c>
      <c r="K420" s="8">
        <v>228000</v>
      </c>
      <c r="L420" s="7">
        <v>366000</v>
      </c>
      <c r="M420" s="7">
        <v>945000</v>
      </c>
      <c r="N420" s="7">
        <v>94200</v>
      </c>
      <c r="O420" s="7">
        <v>137500</v>
      </c>
      <c r="P420" s="7">
        <v>90800</v>
      </c>
      <c r="Q420" s="8">
        <v>295000</v>
      </c>
      <c r="R420" s="8">
        <v>207000</v>
      </c>
      <c r="S420" s="8">
        <v>320500</v>
      </c>
      <c r="T420" s="8">
        <v>30850</v>
      </c>
      <c r="U420" s="8">
        <v>110000</v>
      </c>
      <c r="V420" s="7">
        <v>286000</v>
      </c>
      <c r="W420" s="7">
        <v>27032</v>
      </c>
      <c r="X420" s="7">
        <v>351500</v>
      </c>
      <c r="Y420" s="7">
        <v>24350</v>
      </c>
      <c r="Z420" s="7">
        <v>56700</v>
      </c>
      <c r="AA420" s="8">
        <v>160000</v>
      </c>
      <c r="AB420" s="8">
        <v>404000</v>
      </c>
      <c r="AC420" s="8">
        <v>14600</v>
      </c>
      <c r="AD420" s="8">
        <v>227500</v>
      </c>
      <c r="AE420" s="8">
        <v>41250</v>
      </c>
      <c r="AF420" s="7">
        <v>37350</v>
      </c>
      <c r="AG420" s="7">
        <v>85800</v>
      </c>
      <c r="AH420" s="7">
        <v>75500</v>
      </c>
      <c r="AI420" s="7">
        <v>58000</v>
      </c>
      <c r="AJ420" s="7">
        <v>24000</v>
      </c>
      <c r="AK420" s="8">
        <v>27950</v>
      </c>
      <c r="AL420" s="8">
        <v>240500</v>
      </c>
      <c r="AM420" s="8">
        <v>366500</v>
      </c>
      <c r="AN420" s="8">
        <v>25450</v>
      </c>
      <c r="AO420" s="8">
        <v>10250</v>
      </c>
      <c r="AP420" s="7">
        <v>537000</v>
      </c>
      <c r="AQ420" s="7">
        <v>350500</v>
      </c>
      <c r="AR420" s="7">
        <v>10600</v>
      </c>
      <c r="AS420" s="7">
        <v>45050</v>
      </c>
      <c r="AT420" s="7">
        <v>74077</v>
      </c>
      <c r="AU420" s="8">
        <v>207000</v>
      </c>
      <c r="AV420" s="8">
        <v>39650</v>
      </c>
      <c r="AW420" s="8">
        <v>5860</v>
      </c>
      <c r="AX420" s="8">
        <v>165000</v>
      </c>
      <c r="AY420" s="8">
        <v>43150</v>
      </c>
    </row>
    <row r="421" spans="1:51" x14ac:dyDescent="0.4">
      <c r="A421" s="11">
        <v>40840</v>
      </c>
      <c r="B421" s="7">
        <v>74500</v>
      </c>
      <c r="C421" s="7">
        <v>23900</v>
      </c>
      <c r="D421" s="7">
        <v>71500</v>
      </c>
      <c r="E421" s="7">
        <v>230000</v>
      </c>
      <c r="F421" s="7">
        <v>71800</v>
      </c>
      <c r="G421" s="8">
        <v>51100</v>
      </c>
      <c r="H421" s="8">
        <v>66900</v>
      </c>
      <c r="I421" s="8">
        <v>154000</v>
      </c>
      <c r="J421" s="8">
        <v>92000</v>
      </c>
      <c r="K421" s="8">
        <v>228000</v>
      </c>
      <c r="L421" s="7">
        <v>363500</v>
      </c>
      <c r="M421" s="7">
        <v>941000</v>
      </c>
      <c r="N421" s="7">
        <v>95400</v>
      </c>
      <c r="O421" s="7">
        <v>137500</v>
      </c>
      <c r="P421" s="7">
        <v>91000</v>
      </c>
      <c r="Q421" s="8">
        <v>301000</v>
      </c>
      <c r="R421" s="8">
        <v>220000</v>
      </c>
      <c r="S421" s="8">
        <v>319000</v>
      </c>
      <c r="T421" s="8">
        <v>30200</v>
      </c>
      <c r="U421" s="8">
        <v>112000</v>
      </c>
      <c r="V421" s="7">
        <v>302000</v>
      </c>
      <c r="W421" s="7">
        <v>27869</v>
      </c>
      <c r="X421" s="7">
        <v>359500</v>
      </c>
      <c r="Y421" s="7">
        <v>23750</v>
      </c>
      <c r="Z421" s="7">
        <v>57580</v>
      </c>
      <c r="AA421" s="8">
        <v>162500</v>
      </c>
      <c r="AB421" s="8">
        <v>394500</v>
      </c>
      <c r="AC421" s="8">
        <v>14800</v>
      </c>
      <c r="AD421" s="8">
        <v>237500</v>
      </c>
      <c r="AE421" s="8">
        <v>42100</v>
      </c>
      <c r="AF421" s="7">
        <v>37600</v>
      </c>
      <c r="AG421" s="7">
        <v>85900</v>
      </c>
      <c r="AH421" s="7">
        <v>74300</v>
      </c>
      <c r="AI421" s="7">
        <v>57300</v>
      </c>
      <c r="AJ421" s="7">
        <v>24500</v>
      </c>
      <c r="AK421" s="8">
        <v>28850</v>
      </c>
      <c r="AL421" s="8">
        <v>241000</v>
      </c>
      <c r="AM421" s="8">
        <v>377500</v>
      </c>
      <c r="AN421" s="8">
        <v>25650</v>
      </c>
      <c r="AO421" s="8">
        <v>10400</v>
      </c>
      <c r="AP421" s="7">
        <v>523000</v>
      </c>
      <c r="AQ421" s="7">
        <v>348000</v>
      </c>
      <c r="AR421" s="7">
        <v>10650</v>
      </c>
      <c r="AS421" s="7">
        <v>44150</v>
      </c>
      <c r="AT421" s="7">
        <v>75250</v>
      </c>
      <c r="AU421" s="8">
        <v>208500</v>
      </c>
      <c r="AV421" s="8">
        <v>38200</v>
      </c>
      <c r="AW421" s="8">
        <v>5780</v>
      </c>
      <c r="AX421" s="8">
        <v>169000</v>
      </c>
      <c r="AY421" s="8">
        <v>42850</v>
      </c>
    </row>
    <row r="422" spans="1:51" x14ac:dyDescent="0.4">
      <c r="A422" s="11">
        <v>40837</v>
      </c>
      <c r="B422" s="7">
        <v>72400</v>
      </c>
      <c r="C422" s="7">
        <v>23200</v>
      </c>
      <c r="D422" s="7">
        <v>68300</v>
      </c>
      <c r="E422" s="7">
        <v>222500</v>
      </c>
      <c r="F422" s="7">
        <v>67600</v>
      </c>
      <c r="G422" s="8">
        <v>47000</v>
      </c>
      <c r="H422" s="8">
        <v>65100</v>
      </c>
      <c r="I422" s="8">
        <v>147000</v>
      </c>
      <c r="J422" s="8">
        <v>91200</v>
      </c>
      <c r="K422" s="8">
        <v>216500</v>
      </c>
      <c r="L422" s="7">
        <v>360500</v>
      </c>
      <c r="M422" s="7">
        <v>917000</v>
      </c>
      <c r="N422" s="7">
        <v>87800</v>
      </c>
      <c r="O422" s="7">
        <v>136000</v>
      </c>
      <c r="P422" s="7">
        <v>89800</v>
      </c>
      <c r="Q422" s="8">
        <v>280500</v>
      </c>
      <c r="R422" s="8">
        <v>212000</v>
      </c>
      <c r="S422" s="8">
        <v>281500</v>
      </c>
      <c r="T422" s="8">
        <v>27850</v>
      </c>
      <c r="U422" s="8">
        <v>104500</v>
      </c>
      <c r="V422" s="7">
        <v>289000</v>
      </c>
      <c r="W422" s="7">
        <v>26047</v>
      </c>
      <c r="X422" s="7">
        <v>342000</v>
      </c>
      <c r="Y422" s="7">
        <v>23200</v>
      </c>
      <c r="Z422" s="7">
        <v>53865</v>
      </c>
      <c r="AA422" s="8">
        <v>160000</v>
      </c>
      <c r="AB422" s="8">
        <v>391500</v>
      </c>
      <c r="AC422" s="8">
        <v>14200</v>
      </c>
      <c r="AD422" s="8">
        <v>223500</v>
      </c>
      <c r="AE422" s="8">
        <v>42600</v>
      </c>
      <c r="AF422" s="7">
        <v>37200</v>
      </c>
      <c r="AG422" s="7">
        <v>84800</v>
      </c>
      <c r="AH422" s="7">
        <v>75500</v>
      </c>
      <c r="AI422" s="7">
        <v>55500</v>
      </c>
      <c r="AJ422" s="7">
        <v>24250</v>
      </c>
      <c r="AK422" s="8">
        <v>28750</v>
      </c>
      <c r="AL422" s="8">
        <v>234000</v>
      </c>
      <c r="AM422" s="8">
        <v>366000</v>
      </c>
      <c r="AN422" s="8">
        <v>24350</v>
      </c>
      <c r="AO422" s="8">
        <v>9860</v>
      </c>
      <c r="AP422" s="7">
        <v>522000</v>
      </c>
      <c r="AQ422" s="7">
        <v>343000</v>
      </c>
      <c r="AR422" s="7">
        <v>10300</v>
      </c>
      <c r="AS422" s="7">
        <v>42150</v>
      </c>
      <c r="AT422" s="7">
        <v>73491</v>
      </c>
      <c r="AU422" s="8">
        <v>203000</v>
      </c>
      <c r="AV422" s="8">
        <v>36800</v>
      </c>
      <c r="AW422" s="8">
        <v>5680</v>
      </c>
      <c r="AX422" s="8">
        <v>160500</v>
      </c>
      <c r="AY422" s="8">
        <v>41050</v>
      </c>
    </row>
    <row r="423" spans="1:51" x14ac:dyDescent="0.4">
      <c r="A423" s="11">
        <v>40836</v>
      </c>
      <c r="B423" s="7">
        <v>71300</v>
      </c>
      <c r="C423" s="7">
        <v>21050</v>
      </c>
      <c r="D423" s="7">
        <v>64100</v>
      </c>
      <c r="E423" s="7">
        <v>220000</v>
      </c>
      <c r="F423" s="7">
        <v>65600</v>
      </c>
      <c r="G423" s="8">
        <v>46750</v>
      </c>
      <c r="H423" s="8">
        <v>60200</v>
      </c>
      <c r="I423" s="8">
        <v>141000</v>
      </c>
      <c r="J423" s="8">
        <v>87300</v>
      </c>
      <c r="K423" s="8">
        <v>215500</v>
      </c>
      <c r="L423" s="7">
        <v>359500</v>
      </c>
      <c r="M423" s="7">
        <v>907000</v>
      </c>
      <c r="N423" s="7">
        <v>84200</v>
      </c>
      <c r="O423" s="7">
        <v>128000</v>
      </c>
      <c r="P423" s="7">
        <v>85200</v>
      </c>
      <c r="Q423" s="8">
        <v>272000</v>
      </c>
      <c r="R423" s="8">
        <v>205000</v>
      </c>
      <c r="S423" s="8">
        <v>279000</v>
      </c>
      <c r="T423" s="8">
        <v>27300</v>
      </c>
      <c r="U423" s="8">
        <v>100500</v>
      </c>
      <c r="V423" s="7">
        <v>282000</v>
      </c>
      <c r="W423" s="7">
        <v>26589</v>
      </c>
      <c r="X423" s="7">
        <v>333000</v>
      </c>
      <c r="Y423" s="7">
        <v>23100</v>
      </c>
      <c r="Z423" s="7">
        <v>53669</v>
      </c>
      <c r="AA423" s="8">
        <v>160000</v>
      </c>
      <c r="AB423" s="8">
        <v>395500</v>
      </c>
      <c r="AC423" s="8">
        <v>13800</v>
      </c>
      <c r="AD423" s="8">
        <v>218500</v>
      </c>
      <c r="AE423" s="8">
        <v>42550</v>
      </c>
      <c r="AF423" s="7">
        <v>36950</v>
      </c>
      <c r="AG423" s="7">
        <v>84200</v>
      </c>
      <c r="AH423" s="7">
        <v>78800</v>
      </c>
      <c r="AI423" s="7">
        <v>54600</v>
      </c>
      <c r="AJ423" s="7">
        <v>22500</v>
      </c>
      <c r="AK423" s="8">
        <v>28450</v>
      </c>
      <c r="AL423" s="8">
        <v>237500</v>
      </c>
      <c r="AM423" s="8">
        <v>369000</v>
      </c>
      <c r="AN423" s="8">
        <v>23950</v>
      </c>
      <c r="AO423" s="8">
        <v>9150</v>
      </c>
      <c r="AP423" s="7">
        <v>543000</v>
      </c>
      <c r="AQ423" s="7">
        <v>314500</v>
      </c>
      <c r="AR423" s="7">
        <v>10100</v>
      </c>
      <c r="AS423" s="7">
        <v>42300</v>
      </c>
      <c r="AT423" s="7">
        <v>68311</v>
      </c>
      <c r="AU423" s="8">
        <v>203500</v>
      </c>
      <c r="AV423" s="8">
        <v>35800</v>
      </c>
      <c r="AW423" s="8">
        <v>5750</v>
      </c>
      <c r="AX423" s="8">
        <v>152500</v>
      </c>
      <c r="AY423" s="8">
        <v>40400</v>
      </c>
    </row>
    <row r="424" spans="1:51" x14ac:dyDescent="0.4">
      <c r="A424" s="12">
        <v>40835</v>
      </c>
      <c r="B424" s="9">
        <v>74000</v>
      </c>
      <c r="C424" s="9">
        <v>21750</v>
      </c>
      <c r="D424" s="9">
        <v>68800</v>
      </c>
      <c r="E424" s="9">
        <v>221000</v>
      </c>
      <c r="F424" s="9">
        <v>68000</v>
      </c>
      <c r="G424" s="10">
        <v>49800</v>
      </c>
      <c r="H424" s="10">
        <v>62100</v>
      </c>
      <c r="I424" s="10">
        <v>150000</v>
      </c>
      <c r="J424" s="10">
        <v>90300</v>
      </c>
      <c r="K424" s="10">
        <v>221500</v>
      </c>
      <c r="L424" s="9">
        <v>372500</v>
      </c>
      <c r="M424" s="9">
        <v>886000</v>
      </c>
      <c r="N424" s="9">
        <v>89100</v>
      </c>
      <c r="O424" s="9">
        <v>125000</v>
      </c>
      <c r="P424" s="9">
        <v>83900</v>
      </c>
      <c r="Q424" s="10">
        <v>285500</v>
      </c>
      <c r="R424" s="10">
        <v>225500</v>
      </c>
      <c r="S424" s="10">
        <v>311500</v>
      </c>
      <c r="T424" s="10">
        <v>28650</v>
      </c>
      <c r="U424" s="10">
        <v>110500</v>
      </c>
      <c r="V424" s="9">
        <v>317000</v>
      </c>
      <c r="W424" s="9">
        <v>27721</v>
      </c>
      <c r="X424" s="9">
        <v>346500</v>
      </c>
      <c r="Y424" s="9">
        <v>23700</v>
      </c>
      <c r="Z424" s="9">
        <v>55722</v>
      </c>
      <c r="AA424" s="10">
        <v>160500</v>
      </c>
      <c r="AB424" s="10">
        <v>389000</v>
      </c>
      <c r="AC424" s="10">
        <v>14350</v>
      </c>
      <c r="AD424" s="10">
        <v>228500</v>
      </c>
      <c r="AE424" s="10">
        <v>44150</v>
      </c>
      <c r="AF424" s="9">
        <v>37400</v>
      </c>
      <c r="AG424" s="9">
        <v>85200</v>
      </c>
      <c r="AH424" s="9">
        <v>79300</v>
      </c>
      <c r="AI424" s="9">
        <v>55300</v>
      </c>
      <c r="AJ424" s="9">
        <v>22550</v>
      </c>
      <c r="AK424" s="10">
        <v>27900</v>
      </c>
      <c r="AL424" s="10">
        <v>255000</v>
      </c>
      <c r="AM424" s="10">
        <v>380500</v>
      </c>
      <c r="AN424" s="10">
        <v>25750</v>
      </c>
      <c r="AO424" s="10">
        <v>9640</v>
      </c>
      <c r="AP424" s="9">
        <v>553000</v>
      </c>
      <c r="AQ424" s="9">
        <v>340500</v>
      </c>
      <c r="AR424" s="9">
        <v>10550</v>
      </c>
      <c r="AS424" s="9">
        <v>44000</v>
      </c>
      <c r="AT424" s="9">
        <v>70657</v>
      </c>
      <c r="AU424" s="10">
        <v>204500</v>
      </c>
      <c r="AV424" s="10">
        <v>37600</v>
      </c>
      <c r="AW424" s="10">
        <v>5760</v>
      </c>
      <c r="AX424" s="10">
        <v>163000</v>
      </c>
      <c r="AY424" s="10">
        <v>42000</v>
      </c>
    </row>
    <row r="425" spans="1:51" x14ac:dyDescent="0.4">
      <c r="A425" s="11">
        <v>40834</v>
      </c>
      <c r="B425" s="7">
        <v>71400</v>
      </c>
      <c r="C425" s="7">
        <v>21800</v>
      </c>
      <c r="D425" s="7">
        <v>68500</v>
      </c>
      <c r="E425" s="7">
        <v>212500</v>
      </c>
      <c r="F425" s="7">
        <v>68500</v>
      </c>
      <c r="G425" s="8">
        <v>48500</v>
      </c>
      <c r="H425" s="8">
        <v>62400</v>
      </c>
      <c r="I425" s="8">
        <v>150500</v>
      </c>
      <c r="J425" s="8">
        <v>86300</v>
      </c>
      <c r="K425" s="8">
        <v>217500</v>
      </c>
      <c r="L425" s="7">
        <v>366000</v>
      </c>
      <c r="M425" s="7">
        <v>883000</v>
      </c>
      <c r="N425" s="7">
        <v>90700</v>
      </c>
      <c r="O425" s="7">
        <v>124000</v>
      </c>
      <c r="P425" s="7">
        <v>83800</v>
      </c>
      <c r="Q425" s="8">
        <v>290000</v>
      </c>
      <c r="R425" s="8">
        <v>232500</v>
      </c>
      <c r="S425" s="8">
        <v>311500</v>
      </c>
      <c r="T425" s="8">
        <v>29200</v>
      </c>
      <c r="U425" s="8">
        <v>111000</v>
      </c>
      <c r="V425" s="7">
        <v>315500</v>
      </c>
      <c r="W425" s="7">
        <v>26884</v>
      </c>
      <c r="X425" s="7">
        <v>340500</v>
      </c>
      <c r="Y425" s="7">
        <v>22200</v>
      </c>
      <c r="Z425" s="7">
        <v>56602</v>
      </c>
      <c r="AA425" s="8">
        <v>164500</v>
      </c>
      <c r="AB425" s="8">
        <v>382500</v>
      </c>
      <c r="AC425" s="8">
        <v>14400</v>
      </c>
      <c r="AD425" s="8">
        <v>229500</v>
      </c>
      <c r="AE425" s="8">
        <v>44100</v>
      </c>
      <c r="AF425" s="7">
        <v>37050</v>
      </c>
      <c r="AG425" s="7">
        <v>84000</v>
      </c>
      <c r="AH425" s="7">
        <v>76900</v>
      </c>
      <c r="AI425" s="7">
        <v>55900</v>
      </c>
      <c r="AJ425" s="7">
        <v>22350</v>
      </c>
      <c r="AK425" s="8">
        <v>26900</v>
      </c>
      <c r="AL425" s="8">
        <v>246000</v>
      </c>
      <c r="AM425" s="8">
        <v>370000</v>
      </c>
      <c r="AN425" s="8">
        <v>25600</v>
      </c>
      <c r="AO425" s="8">
        <v>9490</v>
      </c>
      <c r="AP425" s="7">
        <v>540000</v>
      </c>
      <c r="AQ425" s="7">
        <v>336000</v>
      </c>
      <c r="AR425" s="7">
        <v>10650</v>
      </c>
      <c r="AS425" s="7">
        <v>43650</v>
      </c>
      <c r="AT425" s="7">
        <v>71243</v>
      </c>
      <c r="AU425" s="8">
        <v>198000</v>
      </c>
      <c r="AV425" s="8">
        <v>38300</v>
      </c>
      <c r="AW425" s="8">
        <v>5660</v>
      </c>
      <c r="AX425" s="8">
        <v>162000</v>
      </c>
      <c r="AY425" s="8">
        <v>41800</v>
      </c>
    </row>
    <row r="426" spans="1:51" x14ac:dyDescent="0.4">
      <c r="A426" s="11">
        <v>40833</v>
      </c>
      <c r="B426" s="7">
        <v>72000</v>
      </c>
      <c r="C426" s="7">
        <v>21950</v>
      </c>
      <c r="D426" s="7">
        <v>68500</v>
      </c>
      <c r="E426" s="7">
        <v>220000</v>
      </c>
      <c r="F426" s="7">
        <v>70800</v>
      </c>
      <c r="G426" s="8">
        <v>50300</v>
      </c>
      <c r="H426" s="8">
        <v>63200</v>
      </c>
      <c r="I426" s="8">
        <v>151000</v>
      </c>
      <c r="J426" s="8">
        <v>90500</v>
      </c>
      <c r="K426" s="8">
        <v>219500</v>
      </c>
      <c r="L426" s="7">
        <v>376500</v>
      </c>
      <c r="M426" s="7">
        <v>890000</v>
      </c>
      <c r="N426" s="7">
        <v>94400</v>
      </c>
      <c r="O426" s="7">
        <v>127000</v>
      </c>
      <c r="P426" s="7">
        <v>83900</v>
      </c>
      <c r="Q426" s="8">
        <v>300000</v>
      </c>
      <c r="R426" s="8">
        <v>230500</v>
      </c>
      <c r="S426" s="8">
        <v>323000</v>
      </c>
      <c r="T426" s="8">
        <v>29850</v>
      </c>
      <c r="U426" s="8">
        <v>110500</v>
      </c>
      <c r="V426" s="7">
        <v>310000</v>
      </c>
      <c r="W426" s="7">
        <v>27278</v>
      </c>
      <c r="X426" s="7">
        <v>348000</v>
      </c>
      <c r="Y426" s="7">
        <v>22300</v>
      </c>
      <c r="Z426" s="7">
        <v>57580</v>
      </c>
      <c r="AA426" s="8">
        <v>165000</v>
      </c>
      <c r="AB426" s="8">
        <v>391000</v>
      </c>
      <c r="AC426" s="8">
        <v>14600</v>
      </c>
      <c r="AD426" s="8">
        <v>234500</v>
      </c>
      <c r="AE426" s="8">
        <v>45800</v>
      </c>
      <c r="AF426" s="7">
        <v>37300</v>
      </c>
      <c r="AG426" s="7">
        <v>90000</v>
      </c>
      <c r="AH426" s="7">
        <v>76300</v>
      </c>
      <c r="AI426" s="7">
        <v>57500</v>
      </c>
      <c r="AJ426" s="7">
        <v>22750</v>
      </c>
      <c r="AK426" s="8">
        <v>26700</v>
      </c>
      <c r="AL426" s="8">
        <v>249500</v>
      </c>
      <c r="AM426" s="8">
        <v>375000</v>
      </c>
      <c r="AN426" s="8">
        <v>26400</v>
      </c>
      <c r="AO426" s="8">
        <v>9660</v>
      </c>
      <c r="AP426" s="7">
        <v>530000</v>
      </c>
      <c r="AQ426" s="7">
        <v>348000</v>
      </c>
      <c r="AR426" s="7">
        <v>11100</v>
      </c>
      <c r="AS426" s="7">
        <v>45550</v>
      </c>
      <c r="AT426" s="7">
        <v>70364</v>
      </c>
      <c r="AU426" s="8">
        <v>208000</v>
      </c>
      <c r="AV426" s="8">
        <v>39000</v>
      </c>
      <c r="AW426" s="8">
        <v>5780</v>
      </c>
      <c r="AX426" s="8">
        <v>159500</v>
      </c>
      <c r="AY426" s="8">
        <v>43500</v>
      </c>
    </row>
    <row r="427" spans="1:51" x14ac:dyDescent="0.4">
      <c r="A427" s="11">
        <v>40830</v>
      </c>
      <c r="B427" s="7">
        <v>70300</v>
      </c>
      <c r="C427" s="7">
        <v>21950</v>
      </c>
      <c r="D427" s="7">
        <v>65200</v>
      </c>
      <c r="E427" s="7">
        <v>224000</v>
      </c>
      <c r="F427" s="7">
        <v>69700</v>
      </c>
      <c r="G427" s="8">
        <v>48600</v>
      </c>
      <c r="H427" s="8">
        <v>61600</v>
      </c>
      <c r="I427" s="8">
        <v>145500</v>
      </c>
      <c r="J427" s="8">
        <v>89500</v>
      </c>
      <c r="K427" s="8">
        <v>212500</v>
      </c>
      <c r="L427" s="7">
        <v>374000</v>
      </c>
      <c r="M427" s="7">
        <v>886000</v>
      </c>
      <c r="N427" s="7">
        <v>91500</v>
      </c>
      <c r="O427" s="7">
        <v>126500</v>
      </c>
      <c r="P427" s="7">
        <v>83200</v>
      </c>
      <c r="Q427" s="8">
        <v>300500</v>
      </c>
      <c r="R427" s="8">
        <v>213500</v>
      </c>
      <c r="S427" s="8">
        <v>315000</v>
      </c>
      <c r="T427" s="8">
        <v>29500</v>
      </c>
      <c r="U427" s="8">
        <v>101500</v>
      </c>
      <c r="V427" s="7">
        <v>294000</v>
      </c>
      <c r="W427" s="7">
        <v>26982</v>
      </c>
      <c r="X427" s="7">
        <v>338000</v>
      </c>
      <c r="Y427" s="7">
        <v>22150</v>
      </c>
      <c r="Z427" s="7">
        <v>57482</v>
      </c>
      <c r="AA427" s="8">
        <v>158000</v>
      </c>
      <c r="AB427" s="8">
        <v>397000</v>
      </c>
      <c r="AC427" s="8">
        <v>14550</v>
      </c>
      <c r="AD427" s="8">
        <v>229000</v>
      </c>
      <c r="AE427" s="8">
        <v>46500</v>
      </c>
      <c r="AF427" s="7">
        <v>36800</v>
      </c>
      <c r="AG427" s="7">
        <v>91000</v>
      </c>
      <c r="AH427" s="7">
        <v>75400</v>
      </c>
      <c r="AI427" s="7">
        <v>58000</v>
      </c>
      <c r="AJ427" s="7">
        <v>22200</v>
      </c>
      <c r="AK427" s="8">
        <v>26450</v>
      </c>
      <c r="AL427" s="8">
        <v>245000</v>
      </c>
      <c r="AM427" s="8">
        <v>362500</v>
      </c>
      <c r="AN427" s="8">
        <v>26000</v>
      </c>
      <c r="AO427" s="8">
        <v>9640</v>
      </c>
      <c r="AP427" s="7">
        <v>506000</v>
      </c>
      <c r="AQ427" s="7">
        <v>341500</v>
      </c>
      <c r="AR427" s="7">
        <v>11150</v>
      </c>
      <c r="AS427" s="7">
        <v>45800</v>
      </c>
      <c r="AT427" s="7">
        <v>71341</v>
      </c>
      <c r="AU427" s="8">
        <v>194000</v>
      </c>
      <c r="AV427" s="8">
        <v>38700</v>
      </c>
      <c r="AW427" s="8">
        <v>5850</v>
      </c>
      <c r="AX427" s="8">
        <v>151000</v>
      </c>
      <c r="AY427" s="8">
        <v>43650</v>
      </c>
    </row>
    <row r="428" spans="1:51" x14ac:dyDescent="0.4">
      <c r="A428" s="11">
        <v>40829</v>
      </c>
      <c r="B428" s="7">
        <v>70000</v>
      </c>
      <c r="C428" s="7">
        <v>21850</v>
      </c>
      <c r="D428" s="7">
        <v>64600</v>
      </c>
      <c r="E428" s="7">
        <v>216500</v>
      </c>
      <c r="F428" s="7">
        <v>68800</v>
      </c>
      <c r="G428" s="8">
        <v>49000</v>
      </c>
      <c r="H428" s="8">
        <v>61900</v>
      </c>
      <c r="I428" s="8">
        <v>141000</v>
      </c>
      <c r="J428" s="8">
        <v>90700</v>
      </c>
      <c r="K428" s="8">
        <v>212000</v>
      </c>
      <c r="L428" s="7">
        <v>376000</v>
      </c>
      <c r="M428" s="7">
        <v>890000</v>
      </c>
      <c r="N428" s="7">
        <v>92000</v>
      </c>
      <c r="O428" s="7">
        <v>122500</v>
      </c>
      <c r="P428" s="7">
        <v>82500</v>
      </c>
      <c r="Q428" s="8">
        <v>303500</v>
      </c>
      <c r="R428" s="8">
        <v>213500</v>
      </c>
      <c r="S428" s="8">
        <v>307000</v>
      </c>
      <c r="T428" s="8">
        <v>29600</v>
      </c>
      <c r="U428" s="8">
        <v>102000</v>
      </c>
      <c r="V428" s="7">
        <v>287000</v>
      </c>
      <c r="W428" s="7">
        <v>26982</v>
      </c>
      <c r="X428" s="7">
        <v>338000</v>
      </c>
      <c r="Y428" s="7">
        <v>21650</v>
      </c>
      <c r="Z428" s="7">
        <v>56798</v>
      </c>
      <c r="AA428" s="8">
        <v>153500</v>
      </c>
      <c r="AB428" s="8">
        <v>396000</v>
      </c>
      <c r="AC428" s="8">
        <v>14300</v>
      </c>
      <c r="AD428" s="8">
        <v>229500</v>
      </c>
      <c r="AE428" s="8">
        <v>46100</v>
      </c>
      <c r="AF428" s="7">
        <v>35900</v>
      </c>
      <c r="AG428" s="7">
        <v>91100</v>
      </c>
      <c r="AH428" s="7">
        <v>73200</v>
      </c>
      <c r="AI428" s="7">
        <v>56500</v>
      </c>
      <c r="AJ428" s="7">
        <v>22100</v>
      </c>
      <c r="AK428" s="8">
        <v>26450</v>
      </c>
      <c r="AL428" s="8">
        <v>230000</v>
      </c>
      <c r="AM428" s="8">
        <v>358500</v>
      </c>
      <c r="AN428" s="8">
        <v>25600</v>
      </c>
      <c r="AO428" s="8">
        <v>9490</v>
      </c>
      <c r="AP428" s="7">
        <v>500000</v>
      </c>
      <c r="AQ428" s="7">
        <v>338000</v>
      </c>
      <c r="AR428" s="7">
        <v>11050</v>
      </c>
      <c r="AS428" s="7">
        <v>45000</v>
      </c>
      <c r="AT428" s="7">
        <v>71341</v>
      </c>
      <c r="AU428" s="8">
        <v>192000</v>
      </c>
      <c r="AV428" s="8">
        <v>38800</v>
      </c>
      <c r="AW428" s="8">
        <v>5760</v>
      </c>
      <c r="AX428" s="8">
        <v>146500</v>
      </c>
      <c r="AY428" s="8">
        <v>43050</v>
      </c>
    </row>
    <row r="429" spans="1:51" x14ac:dyDescent="0.4">
      <c r="A429" s="12">
        <v>40828</v>
      </c>
      <c r="B429" s="9">
        <v>70000</v>
      </c>
      <c r="C429" s="9">
        <v>22550</v>
      </c>
      <c r="D429" s="9">
        <v>63100</v>
      </c>
      <c r="E429" s="9">
        <v>212500</v>
      </c>
      <c r="F429" s="9">
        <v>68100</v>
      </c>
      <c r="G429" s="10">
        <v>44300</v>
      </c>
      <c r="H429" s="10">
        <v>61700</v>
      </c>
      <c r="I429" s="10">
        <v>141500</v>
      </c>
      <c r="J429" s="10">
        <v>89000</v>
      </c>
      <c r="K429" s="10">
        <v>207500</v>
      </c>
      <c r="L429" s="9">
        <v>373500</v>
      </c>
      <c r="M429" s="9">
        <v>898000</v>
      </c>
      <c r="N429" s="9">
        <v>91400</v>
      </c>
      <c r="O429" s="9">
        <v>125500</v>
      </c>
      <c r="P429" s="9">
        <v>81500</v>
      </c>
      <c r="Q429" s="10">
        <v>306500</v>
      </c>
      <c r="R429" s="10">
        <v>210500</v>
      </c>
      <c r="S429" s="10">
        <v>299000</v>
      </c>
      <c r="T429" s="10">
        <v>30100</v>
      </c>
      <c r="U429" s="10">
        <v>104000</v>
      </c>
      <c r="V429" s="9">
        <v>285500</v>
      </c>
      <c r="W429" s="9">
        <v>26786</v>
      </c>
      <c r="X429" s="9">
        <v>337000</v>
      </c>
      <c r="Y429" s="9">
        <v>21700</v>
      </c>
      <c r="Z429" s="9">
        <v>56602</v>
      </c>
      <c r="AA429" s="10">
        <v>155000</v>
      </c>
      <c r="AB429" s="10">
        <v>385500</v>
      </c>
      <c r="AC429" s="10">
        <v>13750</v>
      </c>
      <c r="AD429" s="10">
        <v>230000</v>
      </c>
      <c r="AE429" s="10">
        <v>45400</v>
      </c>
      <c r="AF429" s="9">
        <v>35700</v>
      </c>
      <c r="AG429" s="9">
        <v>91000</v>
      </c>
      <c r="AH429" s="9">
        <v>71800</v>
      </c>
      <c r="AI429" s="9">
        <v>57000</v>
      </c>
      <c r="AJ429" s="9">
        <v>22450</v>
      </c>
      <c r="AK429" s="10">
        <v>26400</v>
      </c>
      <c r="AL429" s="10">
        <v>231500</v>
      </c>
      <c r="AM429" s="10">
        <v>345500</v>
      </c>
      <c r="AN429" s="10">
        <v>25650</v>
      </c>
      <c r="AO429" s="10">
        <v>8850</v>
      </c>
      <c r="AP429" s="9">
        <v>508000</v>
      </c>
      <c r="AQ429" s="9">
        <v>337000</v>
      </c>
      <c r="AR429" s="9">
        <v>11000</v>
      </c>
      <c r="AS429" s="9">
        <v>43750</v>
      </c>
      <c r="AT429" s="9">
        <v>71830</v>
      </c>
      <c r="AU429" s="10">
        <v>192000</v>
      </c>
      <c r="AV429" s="10">
        <v>36250</v>
      </c>
      <c r="AW429" s="10">
        <v>5640</v>
      </c>
      <c r="AX429" s="10">
        <v>148500</v>
      </c>
      <c r="AY429" s="10">
        <v>42500</v>
      </c>
    </row>
    <row r="430" spans="1:51" x14ac:dyDescent="0.4">
      <c r="A430" s="11">
        <v>40827</v>
      </c>
      <c r="B430" s="7">
        <v>69600</v>
      </c>
      <c r="C430" s="7">
        <v>22250</v>
      </c>
      <c r="D430" s="7">
        <v>62400</v>
      </c>
      <c r="E430" s="7">
        <v>214000</v>
      </c>
      <c r="F430" s="7">
        <v>66100</v>
      </c>
      <c r="G430" s="8">
        <v>45100</v>
      </c>
      <c r="H430" s="8">
        <v>62300</v>
      </c>
      <c r="I430" s="8">
        <v>142500</v>
      </c>
      <c r="J430" s="8">
        <v>91400</v>
      </c>
      <c r="K430" s="8">
        <v>204500</v>
      </c>
      <c r="L430" s="7">
        <v>385000</v>
      </c>
      <c r="M430" s="7">
        <v>881000</v>
      </c>
      <c r="N430" s="7">
        <v>88300</v>
      </c>
      <c r="O430" s="7">
        <v>126500</v>
      </c>
      <c r="P430" s="7">
        <v>79800</v>
      </c>
      <c r="Q430" s="8">
        <v>310000</v>
      </c>
      <c r="R430" s="8">
        <v>207500</v>
      </c>
      <c r="S430" s="8">
        <v>296500</v>
      </c>
      <c r="T430" s="8">
        <v>30000</v>
      </c>
      <c r="U430" s="8">
        <v>102000</v>
      </c>
      <c r="V430" s="7">
        <v>283000</v>
      </c>
      <c r="W430" s="7">
        <v>27032</v>
      </c>
      <c r="X430" s="7">
        <v>323000</v>
      </c>
      <c r="Y430" s="7">
        <v>22100</v>
      </c>
      <c r="Z430" s="7">
        <v>54354</v>
      </c>
      <c r="AA430" s="8">
        <v>155000</v>
      </c>
      <c r="AB430" s="8">
        <v>394000</v>
      </c>
      <c r="AC430" s="8">
        <v>13850</v>
      </c>
      <c r="AD430" s="8">
        <v>230000</v>
      </c>
      <c r="AE430" s="8">
        <v>45600</v>
      </c>
      <c r="AF430" s="7">
        <v>36100</v>
      </c>
      <c r="AG430" s="7">
        <v>90900</v>
      </c>
      <c r="AH430" s="7">
        <v>73400</v>
      </c>
      <c r="AI430" s="7">
        <v>56800</v>
      </c>
      <c r="AJ430" s="7">
        <v>21300</v>
      </c>
      <c r="AK430" s="8">
        <v>26800</v>
      </c>
      <c r="AL430" s="8">
        <v>225000</v>
      </c>
      <c r="AM430" s="8">
        <v>331500</v>
      </c>
      <c r="AN430" s="8">
        <v>24750</v>
      </c>
      <c r="AO430" s="8">
        <v>8880</v>
      </c>
      <c r="AP430" s="7">
        <v>510000</v>
      </c>
      <c r="AQ430" s="7">
        <v>337000</v>
      </c>
      <c r="AR430" s="7">
        <v>10650</v>
      </c>
      <c r="AS430" s="7">
        <v>44250</v>
      </c>
      <c r="AT430" s="7">
        <v>72318</v>
      </c>
      <c r="AU430" s="8">
        <v>178000</v>
      </c>
      <c r="AV430" s="8">
        <v>35200</v>
      </c>
      <c r="AW430" s="8">
        <v>5710</v>
      </c>
      <c r="AX430" s="8">
        <v>145500</v>
      </c>
      <c r="AY430" s="8">
        <v>41900</v>
      </c>
    </row>
    <row r="431" spans="1:51" x14ac:dyDescent="0.4">
      <c r="A431" s="11">
        <v>40826</v>
      </c>
      <c r="B431" s="7">
        <v>68600</v>
      </c>
      <c r="C431" s="7">
        <v>21950</v>
      </c>
      <c r="D431" s="7">
        <v>59000</v>
      </c>
      <c r="E431" s="7">
        <v>205500</v>
      </c>
      <c r="F431" s="7">
        <v>64300</v>
      </c>
      <c r="G431" s="8">
        <v>44500</v>
      </c>
      <c r="H431" s="8">
        <v>63400</v>
      </c>
      <c r="I431" s="8">
        <v>141500</v>
      </c>
      <c r="J431" s="8">
        <v>89700</v>
      </c>
      <c r="K431" s="8">
        <v>197000</v>
      </c>
      <c r="L431" s="7">
        <v>374000</v>
      </c>
      <c r="M431" s="7">
        <v>874000</v>
      </c>
      <c r="N431" s="7">
        <v>85000</v>
      </c>
      <c r="O431" s="7">
        <v>127000</v>
      </c>
      <c r="P431" s="7">
        <v>80600</v>
      </c>
      <c r="Q431" s="8">
        <v>301500</v>
      </c>
      <c r="R431" s="8">
        <v>205000</v>
      </c>
      <c r="S431" s="8">
        <v>284000</v>
      </c>
      <c r="T431" s="8">
        <v>29100</v>
      </c>
      <c r="U431" s="8">
        <v>98200</v>
      </c>
      <c r="V431" s="7">
        <v>279000</v>
      </c>
      <c r="W431" s="7">
        <v>26539</v>
      </c>
      <c r="X431" s="7">
        <v>308000</v>
      </c>
      <c r="Y431" s="7">
        <v>21900</v>
      </c>
      <c r="Z431" s="7">
        <v>51714</v>
      </c>
      <c r="AA431" s="8">
        <v>154500</v>
      </c>
      <c r="AB431" s="8">
        <v>380000</v>
      </c>
      <c r="AC431" s="8">
        <v>13750</v>
      </c>
      <c r="AD431" s="8">
        <v>220500</v>
      </c>
      <c r="AE431" s="8">
        <v>42850</v>
      </c>
      <c r="AF431" s="7">
        <v>35750</v>
      </c>
      <c r="AG431" s="7">
        <v>90700</v>
      </c>
      <c r="AH431" s="7">
        <v>75000</v>
      </c>
      <c r="AI431" s="7">
        <v>56700</v>
      </c>
      <c r="AJ431" s="7">
        <v>21250</v>
      </c>
      <c r="AK431" s="8">
        <v>26950</v>
      </c>
      <c r="AL431" s="8">
        <v>225000</v>
      </c>
      <c r="AM431" s="8">
        <v>323000</v>
      </c>
      <c r="AN431" s="8">
        <v>24050</v>
      </c>
      <c r="AO431" s="8">
        <v>8600</v>
      </c>
      <c r="AP431" s="7">
        <v>508000</v>
      </c>
      <c r="AQ431" s="7">
        <v>323500</v>
      </c>
      <c r="AR431" s="7">
        <v>10850</v>
      </c>
      <c r="AS431" s="7">
        <v>43500</v>
      </c>
      <c r="AT431" s="7">
        <v>74175</v>
      </c>
      <c r="AU431" s="8">
        <v>172000</v>
      </c>
      <c r="AV431" s="8">
        <v>35100</v>
      </c>
      <c r="AW431" s="8">
        <v>5640</v>
      </c>
      <c r="AX431" s="8">
        <v>141000</v>
      </c>
      <c r="AY431" s="8">
        <v>41200</v>
      </c>
    </row>
    <row r="432" spans="1:51" x14ac:dyDescent="0.4">
      <c r="A432" s="11">
        <v>40823</v>
      </c>
      <c r="B432" s="7">
        <v>69400</v>
      </c>
      <c r="C432" s="7">
        <v>21500</v>
      </c>
      <c r="D432" s="7">
        <v>57000</v>
      </c>
      <c r="E432" s="7">
        <v>207000</v>
      </c>
      <c r="F432" s="7">
        <v>64000</v>
      </c>
      <c r="G432" s="8">
        <v>45000</v>
      </c>
      <c r="H432" s="8">
        <v>63100</v>
      </c>
      <c r="I432" s="8">
        <v>135000</v>
      </c>
      <c r="J432" s="8">
        <v>90200</v>
      </c>
      <c r="K432" s="8">
        <v>200000</v>
      </c>
      <c r="L432" s="7">
        <v>376000</v>
      </c>
      <c r="M432" s="7">
        <v>860000</v>
      </c>
      <c r="N432" s="7">
        <v>84000</v>
      </c>
      <c r="O432" s="7">
        <v>122000</v>
      </c>
      <c r="P432" s="7">
        <v>79000</v>
      </c>
      <c r="Q432" s="8">
        <v>302000</v>
      </c>
      <c r="R432" s="8">
        <v>201500</v>
      </c>
      <c r="S432" s="8">
        <v>282500</v>
      </c>
      <c r="T432" s="8">
        <v>28350</v>
      </c>
      <c r="U432" s="8">
        <v>98900</v>
      </c>
      <c r="V432" s="7">
        <v>274500</v>
      </c>
      <c r="W432" s="7">
        <v>26441</v>
      </c>
      <c r="X432" s="7">
        <v>311500</v>
      </c>
      <c r="Y432" s="7">
        <v>21800</v>
      </c>
      <c r="Z432" s="7">
        <v>50248</v>
      </c>
      <c r="AA432" s="8">
        <v>157500</v>
      </c>
      <c r="AB432" s="8">
        <v>384000</v>
      </c>
      <c r="AC432" s="8">
        <v>13950</v>
      </c>
      <c r="AD432" s="8">
        <v>214000</v>
      </c>
      <c r="AE432" s="8">
        <v>42900</v>
      </c>
      <c r="AF432" s="7">
        <v>35900</v>
      </c>
      <c r="AG432" s="7">
        <v>91800</v>
      </c>
      <c r="AH432" s="7">
        <v>77000</v>
      </c>
      <c r="AI432" s="7">
        <v>56300</v>
      </c>
      <c r="AJ432" s="7">
        <v>20050</v>
      </c>
      <c r="AK432" s="8">
        <v>26300</v>
      </c>
      <c r="AL432" s="8">
        <v>221500</v>
      </c>
      <c r="AM432" s="8">
        <v>310000</v>
      </c>
      <c r="AN432" s="8">
        <v>23500</v>
      </c>
      <c r="AO432" s="8">
        <v>8500</v>
      </c>
      <c r="AP432" s="7">
        <v>533000</v>
      </c>
      <c r="AQ432" s="7">
        <v>322000</v>
      </c>
      <c r="AR432" s="7">
        <v>10800</v>
      </c>
      <c r="AS432" s="7">
        <v>44800</v>
      </c>
      <c r="AT432" s="7">
        <v>72318</v>
      </c>
      <c r="AU432" s="8">
        <v>168000</v>
      </c>
      <c r="AV432" s="8">
        <v>36400</v>
      </c>
      <c r="AW432" s="8">
        <v>5670</v>
      </c>
      <c r="AX432" s="8">
        <v>140000</v>
      </c>
      <c r="AY432" s="8">
        <v>41950</v>
      </c>
    </row>
    <row r="433" spans="1:51" x14ac:dyDescent="0.4">
      <c r="A433" s="11">
        <v>40822</v>
      </c>
      <c r="B433" s="7">
        <v>66500</v>
      </c>
      <c r="C433" s="7">
        <v>21200</v>
      </c>
      <c r="D433" s="7">
        <v>53600</v>
      </c>
      <c r="E433" s="7">
        <v>209000</v>
      </c>
      <c r="F433" s="7">
        <v>61300</v>
      </c>
      <c r="G433" s="8">
        <v>41850</v>
      </c>
      <c r="H433" s="8">
        <v>63400</v>
      </c>
      <c r="I433" s="8">
        <v>122000</v>
      </c>
      <c r="J433" s="8">
        <v>82700</v>
      </c>
      <c r="K433" s="8">
        <v>194500</v>
      </c>
      <c r="L433" s="7">
        <v>360000</v>
      </c>
      <c r="M433" s="7">
        <v>855000</v>
      </c>
      <c r="N433" s="7">
        <v>75300</v>
      </c>
      <c r="O433" s="7">
        <v>120500</v>
      </c>
      <c r="P433" s="7">
        <v>80200</v>
      </c>
      <c r="Q433" s="8">
        <v>280000</v>
      </c>
      <c r="R433" s="8">
        <v>188500</v>
      </c>
      <c r="S433" s="8">
        <v>246000</v>
      </c>
      <c r="T433" s="8">
        <v>27400</v>
      </c>
      <c r="U433" s="8">
        <v>91000</v>
      </c>
      <c r="V433" s="7">
        <v>243000</v>
      </c>
      <c r="W433" s="7">
        <v>26490</v>
      </c>
      <c r="X433" s="7">
        <v>293500</v>
      </c>
      <c r="Y433" s="7">
        <v>21400</v>
      </c>
      <c r="Z433" s="7">
        <v>46778</v>
      </c>
      <c r="AA433" s="8">
        <v>157500</v>
      </c>
      <c r="AB433" s="8">
        <v>376000</v>
      </c>
      <c r="AC433" s="8">
        <v>13950</v>
      </c>
      <c r="AD433" s="8">
        <v>203500</v>
      </c>
      <c r="AE433" s="8">
        <v>40050</v>
      </c>
      <c r="AF433" s="7">
        <v>36200</v>
      </c>
      <c r="AG433" s="7">
        <v>91700</v>
      </c>
      <c r="AH433" s="7">
        <v>76900</v>
      </c>
      <c r="AI433" s="7">
        <v>54000</v>
      </c>
      <c r="AJ433" s="7">
        <v>19500</v>
      </c>
      <c r="AK433" s="8">
        <v>26900</v>
      </c>
      <c r="AL433" s="8">
        <v>236500</v>
      </c>
      <c r="AM433" s="8">
        <v>312500</v>
      </c>
      <c r="AN433" s="8">
        <v>21600</v>
      </c>
      <c r="AO433" s="8">
        <v>8200</v>
      </c>
      <c r="AP433" s="7">
        <v>538000</v>
      </c>
      <c r="AQ433" s="7">
        <v>306000</v>
      </c>
      <c r="AR433" s="7">
        <v>10350</v>
      </c>
      <c r="AS433" s="7">
        <v>42500</v>
      </c>
      <c r="AT433" s="7">
        <v>72220</v>
      </c>
      <c r="AU433" s="8">
        <v>171500</v>
      </c>
      <c r="AV433" s="8">
        <v>35500</v>
      </c>
      <c r="AW433" s="8">
        <v>5620</v>
      </c>
      <c r="AX433" s="8">
        <v>133000</v>
      </c>
      <c r="AY433" s="8">
        <v>41700</v>
      </c>
    </row>
    <row r="434" spans="1:51" x14ac:dyDescent="0.4">
      <c r="A434" s="12">
        <v>40821</v>
      </c>
      <c r="B434" s="9">
        <v>67000</v>
      </c>
      <c r="C434" s="9">
        <v>20000</v>
      </c>
      <c r="D434" s="9">
        <v>52200</v>
      </c>
      <c r="E434" s="9">
        <v>206000</v>
      </c>
      <c r="F434" s="9">
        <v>59400</v>
      </c>
      <c r="G434" s="10">
        <v>38550</v>
      </c>
      <c r="H434" s="10">
        <v>57700</v>
      </c>
      <c r="I434" s="10">
        <v>115000</v>
      </c>
      <c r="J434" s="10">
        <v>77800</v>
      </c>
      <c r="K434" s="10">
        <v>197000</v>
      </c>
      <c r="L434" s="9">
        <v>351000</v>
      </c>
      <c r="M434" s="9">
        <v>842000</v>
      </c>
      <c r="N434" s="9">
        <v>74100</v>
      </c>
      <c r="O434" s="9">
        <v>105000</v>
      </c>
      <c r="P434" s="9">
        <v>70000</v>
      </c>
      <c r="Q434" s="10">
        <v>254500</v>
      </c>
      <c r="R434" s="10">
        <v>181000</v>
      </c>
      <c r="S434" s="10">
        <v>232000</v>
      </c>
      <c r="T434" s="10">
        <v>25050</v>
      </c>
      <c r="U434" s="10">
        <v>82600</v>
      </c>
      <c r="V434" s="9">
        <v>229500</v>
      </c>
      <c r="W434" s="9">
        <v>25308</v>
      </c>
      <c r="X434" s="9">
        <v>307000</v>
      </c>
      <c r="Y434" s="9">
        <v>20900</v>
      </c>
      <c r="Z434" s="9">
        <v>44431</v>
      </c>
      <c r="AA434" s="10">
        <v>156000</v>
      </c>
      <c r="AB434" s="10">
        <v>368000</v>
      </c>
      <c r="AC434" s="10">
        <v>12800</v>
      </c>
      <c r="AD434" s="10">
        <v>200000</v>
      </c>
      <c r="AE434" s="10">
        <v>39750</v>
      </c>
      <c r="AF434" s="9">
        <v>35600</v>
      </c>
      <c r="AG434" s="9">
        <v>90800</v>
      </c>
      <c r="AH434" s="9">
        <v>74800</v>
      </c>
      <c r="AI434" s="9">
        <v>51800</v>
      </c>
      <c r="AJ434" s="9">
        <v>18150</v>
      </c>
      <c r="AK434" s="10">
        <v>26700</v>
      </c>
      <c r="AL434" s="10">
        <v>232000</v>
      </c>
      <c r="AM434" s="10">
        <v>314500</v>
      </c>
      <c r="AN434" s="10">
        <v>20500</v>
      </c>
      <c r="AO434" s="10">
        <v>8030</v>
      </c>
      <c r="AP434" s="9">
        <v>525000</v>
      </c>
      <c r="AQ434" s="9">
        <v>285000</v>
      </c>
      <c r="AR434" s="9">
        <v>9390</v>
      </c>
      <c r="AS434" s="9">
        <v>39800</v>
      </c>
      <c r="AT434" s="9">
        <v>67920</v>
      </c>
      <c r="AU434" s="10">
        <v>173500</v>
      </c>
      <c r="AV434" s="10">
        <v>33500</v>
      </c>
      <c r="AW434" s="10">
        <v>5590</v>
      </c>
      <c r="AX434" s="10">
        <v>122500</v>
      </c>
      <c r="AY434" s="10">
        <v>38600</v>
      </c>
    </row>
    <row r="435" spans="1:51" x14ac:dyDescent="0.4">
      <c r="A435" s="11">
        <v>40820</v>
      </c>
      <c r="B435" s="7">
        <v>69200</v>
      </c>
      <c r="C435" s="7">
        <v>20700</v>
      </c>
      <c r="D435" s="7">
        <v>57400</v>
      </c>
      <c r="E435" s="7">
        <v>207500</v>
      </c>
      <c r="F435" s="7">
        <v>65500</v>
      </c>
      <c r="G435" s="8">
        <v>40500</v>
      </c>
      <c r="H435" s="8">
        <v>57700</v>
      </c>
      <c r="I435" s="8">
        <v>121500</v>
      </c>
      <c r="J435" s="8">
        <v>82300</v>
      </c>
      <c r="K435" s="8">
        <v>205000</v>
      </c>
      <c r="L435" s="7">
        <v>352500</v>
      </c>
      <c r="M435" s="7">
        <v>828000</v>
      </c>
      <c r="N435" s="7">
        <v>87100</v>
      </c>
      <c r="O435" s="7">
        <v>111500</v>
      </c>
      <c r="P435" s="7">
        <v>72500</v>
      </c>
      <c r="Q435" s="8">
        <v>267000</v>
      </c>
      <c r="R435" s="8">
        <v>189000</v>
      </c>
      <c r="S435" s="8">
        <v>272000</v>
      </c>
      <c r="T435" s="8">
        <v>26400</v>
      </c>
      <c r="U435" s="8">
        <v>93900</v>
      </c>
      <c r="V435" s="7">
        <v>248500</v>
      </c>
      <c r="W435" s="7">
        <v>25062</v>
      </c>
      <c r="X435" s="7">
        <v>329000</v>
      </c>
      <c r="Y435" s="7">
        <v>20650</v>
      </c>
      <c r="Z435" s="7">
        <v>48879</v>
      </c>
      <c r="AA435" s="8">
        <v>148500</v>
      </c>
      <c r="AB435" s="8">
        <v>383000</v>
      </c>
      <c r="AC435" s="8">
        <v>13000</v>
      </c>
      <c r="AD435" s="8">
        <v>222500</v>
      </c>
      <c r="AE435" s="8">
        <v>39900</v>
      </c>
      <c r="AF435" s="7">
        <v>35450</v>
      </c>
      <c r="AG435" s="7">
        <v>89300</v>
      </c>
      <c r="AH435" s="7">
        <v>74600</v>
      </c>
      <c r="AI435" s="7">
        <v>53900</v>
      </c>
      <c r="AJ435" s="7">
        <v>19100</v>
      </c>
      <c r="AK435" s="8">
        <v>26800</v>
      </c>
      <c r="AL435" s="8">
        <v>227000</v>
      </c>
      <c r="AM435" s="8">
        <v>328500</v>
      </c>
      <c r="AN435" s="8">
        <v>21350</v>
      </c>
      <c r="AO435" s="8">
        <v>8700</v>
      </c>
      <c r="AP435" s="7">
        <v>514000</v>
      </c>
      <c r="AQ435" s="7">
        <v>294000</v>
      </c>
      <c r="AR435" s="7">
        <v>9730</v>
      </c>
      <c r="AS435" s="7">
        <v>39500</v>
      </c>
      <c r="AT435" s="7">
        <v>67627</v>
      </c>
      <c r="AU435" s="8">
        <v>169500</v>
      </c>
      <c r="AV435" s="8">
        <v>34000</v>
      </c>
      <c r="AW435" s="8">
        <v>5580</v>
      </c>
      <c r="AX435" s="8">
        <v>128000</v>
      </c>
      <c r="AY435" s="8">
        <v>39100</v>
      </c>
    </row>
    <row r="436" spans="1:51" x14ac:dyDescent="0.4">
      <c r="A436" s="11">
        <v>40816</v>
      </c>
      <c r="B436" s="7">
        <v>71900</v>
      </c>
      <c r="C436" s="7">
        <v>21350</v>
      </c>
      <c r="D436" s="7">
        <v>61100</v>
      </c>
      <c r="E436" s="7">
        <v>216500</v>
      </c>
      <c r="F436" s="7">
        <v>70000</v>
      </c>
      <c r="G436" s="8">
        <v>44200</v>
      </c>
      <c r="H436" s="8">
        <v>60400</v>
      </c>
      <c r="I436" s="8">
        <v>134500</v>
      </c>
      <c r="J436" s="8">
        <v>88200</v>
      </c>
      <c r="K436" s="8">
        <v>211000</v>
      </c>
      <c r="L436" s="7">
        <v>371000</v>
      </c>
      <c r="M436" s="7">
        <v>840000</v>
      </c>
      <c r="N436" s="7">
        <v>98000</v>
      </c>
      <c r="O436" s="7">
        <v>116000</v>
      </c>
      <c r="P436" s="7">
        <v>73800</v>
      </c>
      <c r="Q436" s="8">
        <v>281000</v>
      </c>
      <c r="R436" s="8">
        <v>207500</v>
      </c>
      <c r="S436" s="8">
        <v>291500</v>
      </c>
      <c r="T436" s="8">
        <v>27750</v>
      </c>
      <c r="U436" s="8">
        <v>105000</v>
      </c>
      <c r="V436" s="7">
        <v>291000</v>
      </c>
      <c r="W436" s="7">
        <v>25358</v>
      </c>
      <c r="X436" s="7">
        <v>341500</v>
      </c>
      <c r="Y436" s="7">
        <v>21050</v>
      </c>
      <c r="Z436" s="7">
        <v>50834</v>
      </c>
      <c r="AA436" s="8">
        <v>149500</v>
      </c>
      <c r="AB436" s="8">
        <v>402000</v>
      </c>
      <c r="AC436" s="8">
        <v>14000</v>
      </c>
      <c r="AD436" s="8">
        <v>233000</v>
      </c>
      <c r="AE436" s="8">
        <v>42400</v>
      </c>
      <c r="AF436" s="7">
        <v>35850</v>
      </c>
      <c r="AG436" s="7">
        <v>90800</v>
      </c>
      <c r="AH436" s="7">
        <v>73500</v>
      </c>
      <c r="AI436" s="7">
        <v>56200</v>
      </c>
      <c r="AJ436" s="7">
        <v>19800</v>
      </c>
      <c r="AK436" s="8">
        <v>27300</v>
      </c>
      <c r="AL436" s="8">
        <v>227000</v>
      </c>
      <c r="AM436" s="8">
        <v>337000</v>
      </c>
      <c r="AN436" s="8">
        <v>22800</v>
      </c>
      <c r="AO436" s="8">
        <v>9120</v>
      </c>
      <c r="AP436" s="7">
        <v>533000</v>
      </c>
      <c r="AQ436" s="7">
        <v>321000</v>
      </c>
      <c r="AR436" s="7">
        <v>10250</v>
      </c>
      <c r="AS436" s="7">
        <v>42000</v>
      </c>
      <c r="AT436" s="7">
        <v>67334</v>
      </c>
      <c r="AU436" s="8">
        <v>176500</v>
      </c>
      <c r="AV436" s="8">
        <v>35000</v>
      </c>
      <c r="AW436" s="8">
        <v>5590</v>
      </c>
      <c r="AX436" s="8">
        <v>142000</v>
      </c>
      <c r="AY436" s="8">
        <v>40350</v>
      </c>
    </row>
    <row r="437" spans="1:51" x14ac:dyDescent="0.4">
      <c r="A437" s="11">
        <v>40815</v>
      </c>
      <c r="B437" s="7">
        <v>71900</v>
      </c>
      <c r="C437" s="7">
        <v>21850</v>
      </c>
      <c r="D437" s="7">
        <v>58700</v>
      </c>
      <c r="E437" s="7">
        <v>216500</v>
      </c>
      <c r="F437" s="7">
        <v>69100</v>
      </c>
      <c r="G437" s="8">
        <v>43750</v>
      </c>
      <c r="H437" s="8">
        <v>58300</v>
      </c>
      <c r="I437" s="8">
        <v>135500</v>
      </c>
      <c r="J437" s="8">
        <v>91000</v>
      </c>
      <c r="K437" s="8">
        <v>211000</v>
      </c>
      <c r="L437" s="7">
        <v>377000</v>
      </c>
      <c r="M437" s="7">
        <v>837000</v>
      </c>
      <c r="N437" s="7">
        <v>97700</v>
      </c>
      <c r="O437" s="7">
        <v>119000</v>
      </c>
      <c r="P437" s="7">
        <v>74000</v>
      </c>
      <c r="Q437" s="8">
        <v>278500</v>
      </c>
      <c r="R437" s="8">
        <v>202000</v>
      </c>
      <c r="S437" s="8">
        <v>298000</v>
      </c>
      <c r="T437" s="8">
        <v>27400</v>
      </c>
      <c r="U437" s="8">
        <v>106000</v>
      </c>
      <c r="V437" s="7">
        <v>309000</v>
      </c>
      <c r="W437" s="7">
        <v>25850</v>
      </c>
      <c r="X437" s="7">
        <v>341500</v>
      </c>
      <c r="Y437" s="7">
        <v>21000</v>
      </c>
      <c r="Z437" s="7">
        <v>50639</v>
      </c>
      <c r="AA437" s="8">
        <v>152000</v>
      </c>
      <c r="AB437" s="8">
        <v>403000</v>
      </c>
      <c r="AC437" s="8">
        <v>13700</v>
      </c>
      <c r="AD437" s="8">
        <v>233500</v>
      </c>
      <c r="AE437" s="8">
        <v>42850</v>
      </c>
      <c r="AF437" s="7">
        <v>36150</v>
      </c>
      <c r="AG437" s="7">
        <v>90500</v>
      </c>
      <c r="AH437" s="7">
        <v>72400</v>
      </c>
      <c r="AI437" s="7">
        <v>56100</v>
      </c>
      <c r="AJ437" s="7">
        <v>20150</v>
      </c>
      <c r="AK437" s="8">
        <v>27200</v>
      </c>
      <c r="AL437" s="8">
        <v>221000</v>
      </c>
      <c r="AM437" s="8">
        <v>327000</v>
      </c>
      <c r="AN437" s="8">
        <v>22450</v>
      </c>
      <c r="AO437" s="8">
        <v>9180</v>
      </c>
      <c r="AP437" s="7">
        <v>523000</v>
      </c>
      <c r="AQ437" s="7">
        <v>325000</v>
      </c>
      <c r="AR437" s="7">
        <v>10050</v>
      </c>
      <c r="AS437" s="7">
        <v>42050</v>
      </c>
      <c r="AT437" s="7">
        <v>67236</v>
      </c>
      <c r="AU437" s="8">
        <v>180500</v>
      </c>
      <c r="AV437" s="8">
        <v>34900</v>
      </c>
      <c r="AW437" s="8">
        <v>5610</v>
      </c>
      <c r="AX437" s="8">
        <v>143000</v>
      </c>
      <c r="AY437" s="8">
        <v>40400</v>
      </c>
    </row>
    <row r="438" spans="1:51" x14ac:dyDescent="0.4">
      <c r="A438" s="11">
        <v>40814</v>
      </c>
      <c r="B438" s="7">
        <v>70800</v>
      </c>
      <c r="C438" s="7">
        <v>20550</v>
      </c>
      <c r="D438" s="7">
        <v>56200</v>
      </c>
      <c r="E438" s="7">
        <v>214000</v>
      </c>
      <c r="F438" s="7">
        <v>67500</v>
      </c>
      <c r="G438" s="8">
        <v>43000</v>
      </c>
      <c r="H438" s="8">
        <v>53900</v>
      </c>
      <c r="I438" s="8">
        <v>129500</v>
      </c>
      <c r="J438" s="8">
        <v>87800</v>
      </c>
      <c r="K438" s="8">
        <v>205000</v>
      </c>
      <c r="L438" s="7">
        <v>368000</v>
      </c>
      <c r="M438" s="7">
        <v>807000</v>
      </c>
      <c r="N438" s="7">
        <v>93900</v>
      </c>
      <c r="O438" s="7">
        <v>114500</v>
      </c>
      <c r="P438" s="7">
        <v>71300</v>
      </c>
      <c r="Q438" s="8">
        <v>262000</v>
      </c>
      <c r="R438" s="8">
        <v>194500</v>
      </c>
      <c r="S438" s="8">
        <v>306500</v>
      </c>
      <c r="T438" s="8">
        <v>25900</v>
      </c>
      <c r="U438" s="8">
        <v>103500</v>
      </c>
      <c r="V438" s="7">
        <v>290000</v>
      </c>
      <c r="W438" s="7">
        <v>25407</v>
      </c>
      <c r="X438" s="7">
        <v>338000</v>
      </c>
      <c r="Y438" s="7">
        <v>20950</v>
      </c>
      <c r="Z438" s="7">
        <v>47999</v>
      </c>
      <c r="AA438" s="8">
        <v>153000</v>
      </c>
      <c r="AB438" s="8">
        <v>386000</v>
      </c>
      <c r="AC438" s="8">
        <v>13250</v>
      </c>
      <c r="AD438" s="8">
        <v>226500</v>
      </c>
      <c r="AE438" s="8">
        <v>41300</v>
      </c>
      <c r="AF438" s="7">
        <v>36000</v>
      </c>
      <c r="AG438" s="7">
        <v>90800</v>
      </c>
      <c r="AH438" s="7">
        <v>72800</v>
      </c>
      <c r="AI438" s="7">
        <v>53400</v>
      </c>
      <c r="AJ438" s="7">
        <v>18150</v>
      </c>
      <c r="AK438" s="8">
        <v>27050</v>
      </c>
      <c r="AL438" s="8">
        <v>217500</v>
      </c>
      <c r="AM438" s="8">
        <v>332000</v>
      </c>
      <c r="AN438" s="8">
        <v>21400</v>
      </c>
      <c r="AO438" s="8">
        <v>8930</v>
      </c>
      <c r="AP438" s="7">
        <v>509000</v>
      </c>
      <c r="AQ438" s="7">
        <v>313000</v>
      </c>
      <c r="AR438" s="7">
        <v>9610</v>
      </c>
      <c r="AS438" s="7">
        <v>41400</v>
      </c>
      <c r="AT438" s="7">
        <v>60493</v>
      </c>
      <c r="AU438" s="8">
        <v>175500</v>
      </c>
      <c r="AV438" s="8">
        <v>32700</v>
      </c>
      <c r="AW438" s="8">
        <v>5550</v>
      </c>
      <c r="AX438" s="8">
        <v>140000</v>
      </c>
      <c r="AY438" s="8">
        <v>38950</v>
      </c>
    </row>
    <row r="439" spans="1:51" x14ac:dyDescent="0.4">
      <c r="A439" s="12">
        <v>40813</v>
      </c>
      <c r="B439" s="9">
        <v>71000</v>
      </c>
      <c r="C439" s="9">
        <v>21250</v>
      </c>
      <c r="D439" s="9">
        <v>57200</v>
      </c>
      <c r="E439" s="9">
        <v>217000</v>
      </c>
      <c r="F439" s="9">
        <v>68200</v>
      </c>
      <c r="G439" s="10">
        <v>44250</v>
      </c>
      <c r="H439" s="10">
        <v>55000</v>
      </c>
      <c r="I439" s="10">
        <v>133000</v>
      </c>
      <c r="J439" s="10">
        <v>89100</v>
      </c>
      <c r="K439" s="10">
        <v>207000</v>
      </c>
      <c r="L439" s="9">
        <v>368500</v>
      </c>
      <c r="M439" s="9">
        <v>804000</v>
      </c>
      <c r="N439" s="9">
        <v>94500</v>
      </c>
      <c r="O439" s="9">
        <v>110000</v>
      </c>
      <c r="P439" s="9">
        <v>72000</v>
      </c>
      <c r="Q439" s="10">
        <v>263500</v>
      </c>
      <c r="R439" s="10">
        <v>222000</v>
      </c>
      <c r="S439" s="10">
        <v>318000</v>
      </c>
      <c r="T439" s="10">
        <v>26350</v>
      </c>
      <c r="U439" s="10">
        <v>107000</v>
      </c>
      <c r="V439" s="9">
        <v>294000</v>
      </c>
      <c r="W439" s="9">
        <v>26195</v>
      </c>
      <c r="X439" s="9">
        <v>339000</v>
      </c>
      <c r="Y439" s="9">
        <v>21150</v>
      </c>
      <c r="Z439" s="9">
        <v>48048</v>
      </c>
      <c r="AA439" s="10">
        <v>153000</v>
      </c>
      <c r="AB439" s="10">
        <v>392000</v>
      </c>
      <c r="AC439" s="10">
        <v>13100</v>
      </c>
      <c r="AD439" s="10">
        <v>228000</v>
      </c>
      <c r="AE439" s="10">
        <v>40450</v>
      </c>
      <c r="AF439" s="9">
        <v>36100</v>
      </c>
      <c r="AG439" s="9">
        <v>92800</v>
      </c>
      <c r="AH439" s="9">
        <v>72800</v>
      </c>
      <c r="AI439" s="9">
        <v>52700</v>
      </c>
      <c r="AJ439" s="9">
        <v>18300</v>
      </c>
      <c r="AK439" s="10">
        <v>27900</v>
      </c>
      <c r="AL439" s="10">
        <v>216000</v>
      </c>
      <c r="AM439" s="10">
        <v>338500</v>
      </c>
      <c r="AN439" s="10">
        <v>22500</v>
      </c>
      <c r="AO439" s="10">
        <v>9170</v>
      </c>
      <c r="AP439" s="9">
        <v>511000</v>
      </c>
      <c r="AQ439" s="9">
        <v>321500</v>
      </c>
      <c r="AR439" s="9">
        <v>9370</v>
      </c>
      <c r="AS439" s="9">
        <v>40100</v>
      </c>
      <c r="AT439" s="9">
        <v>59027</v>
      </c>
      <c r="AU439" s="10">
        <v>182500</v>
      </c>
      <c r="AV439" s="10">
        <v>31350</v>
      </c>
      <c r="AW439" s="10">
        <v>5670</v>
      </c>
      <c r="AX439" s="10">
        <v>145500</v>
      </c>
      <c r="AY439" s="10">
        <v>38100</v>
      </c>
    </row>
    <row r="440" spans="1:51" x14ac:dyDescent="0.4">
      <c r="A440" s="11">
        <v>40812</v>
      </c>
      <c r="B440" s="7">
        <v>67000</v>
      </c>
      <c r="C440" s="7">
        <v>19950</v>
      </c>
      <c r="D440" s="7">
        <v>54600</v>
      </c>
      <c r="E440" s="7">
        <v>212000</v>
      </c>
      <c r="F440" s="7">
        <v>64300</v>
      </c>
      <c r="G440" s="8">
        <v>41200</v>
      </c>
      <c r="H440" s="8">
        <v>51900</v>
      </c>
      <c r="I440" s="8">
        <v>121000</v>
      </c>
      <c r="J440" s="8">
        <v>82100</v>
      </c>
      <c r="K440" s="8">
        <v>196000</v>
      </c>
      <c r="L440" s="7">
        <v>358500</v>
      </c>
      <c r="M440" s="7">
        <v>775000</v>
      </c>
      <c r="N440" s="7">
        <v>90200</v>
      </c>
      <c r="O440" s="7">
        <v>100000</v>
      </c>
      <c r="P440" s="7">
        <v>67300</v>
      </c>
      <c r="Q440" s="8">
        <v>237000</v>
      </c>
      <c r="R440" s="8">
        <v>208000</v>
      </c>
      <c r="S440" s="8">
        <v>290000</v>
      </c>
      <c r="T440" s="8">
        <v>23000</v>
      </c>
      <c r="U440" s="8">
        <v>98500</v>
      </c>
      <c r="V440" s="7">
        <v>275000</v>
      </c>
      <c r="W440" s="7">
        <v>25407</v>
      </c>
      <c r="X440" s="7">
        <v>317000</v>
      </c>
      <c r="Y440" s="7">
        <v>20450</v>
      </c>
      <c r="Z440" s="7">
        <v>46093</v>
      </c>
      <c r="AA440" s="8">
        <v>155500</v>
      </c>
      <c r="AB440" s="8">
        <v>373000</v>
      </c>
      <c r="AC440" s="8">
        <v>12100</v>
      </c>
      <c r="AD440" s="8">
        <v>207000</v>
      </c>
      <c r="AE440" s="8">
        <v>39400</v>
      </c>
      <c r="AF440" s="7">
        <v>35300</v>
      </c>
      <c r="AG440" s="7">
        <v>89100</v>
      </c>
      <c r="AH440" s="7">
        <v>71500</v>
      </c>
      <c r="AI440" s="7">
        <v>51000</v>
      </c>
      <c r="AJ440" s="7">
        <v>17500</v>
      </c>
      <c r="AK440" s="8">
        <v>27000</v>
      </c>
      <c r="AL440" s="8">
        <v>212500</v>
      </c>
      <c r="AM440" s="8">
        <v>338000</v>
      </c>
      <c r="AN440" s="8">
        <v>20050</v>
      </c>
      <c r="AO440" s="8">
        <v>8800</v>
      </c>
      <c r="AP440" s="7">
        <v>504000</v>
      </c>
      <c r="AQ440" s="7">
        <v>299500</v>
      </c>
      <c r="AR440" s="7">
        <v>8500</v>
      </c>
      <c r="AS440" s="7">
        <v>37200</v>
      </c>
      <c r="AT440" s="7">
        <v>57073</v>
      </c>
      <c r="AU440" s="8">
        <v>182500</v>
      </c>
      <c r="AV440" s="8">
        <v>29000</v>
      </c>
      <c r="AW440" s="8">
        <v>5530</v>
      </c>
      <c r="AX440" s="8">
        <v>133500</v>
      </c>
      <c r="AY440" s="8">
        <v>34900</v>
      </c>
    </row>
    <row r="441" spans="1:51" x14ac:dyDescent="0.4">
      <c r="A441" s="11">
        <v>40809</v>
      </c>
      <c r="B441" s="7">
        <v>67700</v>
      </c>
      <c r="C441" s="7">
        <v>20250</v>
      </c>
      <c r="D441" s="7">
        <v>57300</v>
      </c>
      <c r="E441" s="7">
        <v>208000</v>
      </c>
      <c r="F441" s="7">
        <v>65400</v>
      </c>
      <c r="G441" s="8">
        <v>43250</v>
      </c>
      <c r="H441" s="8">
        <v>52000</v>
      </c>
      <c r="I441" s="8">
        <v>129000</v>
      </c>
      <c r="J441" s="8">
        <v>87500</v>
      </c>
      <c r="K441" s="8">
        <v>197000</v>
      </c>
      <c r="L441" s="7">
        <v>362000</v>
      </c>
      <c r="M441" s="7">
        <v>758000</v>
      </c>
      <c r="N441" s="7">
        <v>96100</v>
      </c>
      <c r="O441" s="7">
        <v>105000</v>
      </c>
      <c r="P441" s="7">
        <v>66000</v>
      </c>
      <c r="Q441" s="8">
        <v>266000</v>
      </c>
      <c r="R441" s="8">
        <v>241000</v>
      </c>
      <c r="S441" s="8">
        <v>341000</v>
      </c>
      <c r="T441" s="8">
        <v>25500</v>
      </c>
      <c r="U441" s="8">
        <v>107000</v>
      </c>
      <c r="V441" s="7">
        <v>320000</v>
      </c>
      <c r="W441" s="7">
        <v>24865</v>
      </c>
      <c r="X441" s="7">
        <v>315500</v>
      </c>
      <c r="Y441" s="7">
        <v>20500</v>
      </c>
      <c r="Z441" s="7">
        <v>49075</v>
      </c>
      <c r="AA441" s="8">
        <v>147500</v>
      </c>
      <c r="AB441" s="8">
        <v>367000</v>
      </c>
      <c r="AC441" s="8">
        <v>12550</v>
      </c>
      <c r="AD441" s="8">
        <v>222500</v>
      </c>
      <c r="AE441" s="8">
        <v>40500</v>
      </c>
      <c r="AF441" s="7">
        <v>35200</v>
      </c>
      <c r="AG441" s="7">
        <v>89200</v>
      </c>
      <c r="AH441" s="7">
        <v>75300</v>
      </c>
      <c r="AI441" s="7">
        <v>52100</v>
      </c>
      <c r="AJ441" s="7">
        <v>18350</v>
      </c>
      <c r="AK441" s="8">
        <v>26650</v>
      </c>
      <c r="AL441" s="8">
        <v>215500</v>
      </c>
      <c r="AM441" s="8">
        <v>340500</v>
      </c>
      <c r="AN441" s="8">
        <v>21350</v>
      </c>
      <c r="AO441" s="8">
        <v>9230</v>
      </c>
      <c r="AP441" s="7">
        <v>490000</v>
      </c>
      <c r="AQ441" s="7">
        <v>316500</v>
      </c>
      <c r="AR441" s="7">
        <v>8650</v>
      </c>
      <c r="AS441" s="7">
        <v>36150</v>
      </c>
      <c r="AT441" s="7">
        <v>56877</v>
      </c>
      <c r="AU441" s="8">
        <v>183000</v>
      </c>
      <c r="AV441" s="8">
        <v>29100</v>
      </c>
      <c r="AW441" s="8">
        <v>5430</v>
      </c>
      <c r="AX441" s="8">
        <v>144500</v>
      </c>
      <c r="AY441" s="8">
        <v>34600</v>
      </c>
    </row>
    <row r="442" spans="1:51" x14ac:dyDescent="0.4">
      <c r="A442" s="11">
        <v>40808</v>
      </c>
      <c r="B442" s="7">
        <v>71600</v>
      </c>
      <c r="C442" s="7">
        <v>21550</v>
      </c>
      <c r="D442" s="7">
        <v>62000</v>
      </c>
      <c r="E442" s="7">
        <v>216000</v>
      </c>
      <c r="F442" s="7">
        <v>71500</v>
      </c>
      <c r="G442" s="8">
        <v>49750</v>
      </c>
      <c r="H442" s="8">
        <v>56500</v>
      </c>
      <c r="I442" s="8">
        <v>141000</v>
      </c>
      <c r="J442" s="8">
        <v>97100</v>
      </c>
      <c r="K442" s="8">
        <v>207000</v>
      </c>
      <c r="L442" s="7">
        <v>386000</v>
      </c>
      <c r="M442" s="7">
        <v>790000</v>
      </c>
      <c r="N442" s="7">
        <v>105500</v>
      </c>
      <c r="O442" s="7">
        <v>115000</v>
      </c>
      <c r="P442" s="7">
        <v>68100</v>
      </c>
      <c r="Q442" s="8">
        <v>289500</v>
      </c>
      <c r="R442" s="8">
        <v>263000</v>
      </c>
      <c r="S442" s="8">
        <v>399000</v>
      </c>
      <c r="T442" s="8">
        <v>28000</v>
      </c>
      <c r="U442" s="8">
        <v>113000</v>
      </c>
      <c r="V442" s="7">
        <v>347500</v>
      </c>
      <c r="W442" s="7">
        <v>25702</v>
      </c>
      <c r="X442" s="7">
        <v>330000</v>
      </c>
      <c r="Y442" s="7">
        <v>21550</v>
      </c>
      <c r="Z442" s="7">
        <v>52399</v>
      </c>
      <c r="AA442" s="8">
        <v>145500</v>
      </c>
      <c r="AB442" s="8">
        <v>384000</v>
      </c>
      <c r="AC442" s="8">
        <v>13350</v>
      </c>
      <c r="AD442" s="8">
        <v>236500</v>
      </c>
      <c r="AE442" s="8">
        <v>45550</v>
      </c>
      <c r="AF442" s="7">
        <v>36400</v>
      </c>
      <c r="AG442" s="7">
        <v>93500</v>
      </c>
      <c r="AH442" s="7">
        <v>76600</v>
      </c>
      <c r="AI442" s="7">
        <v>56000</v>
      </c>
      <c r="AJ442" s="7">
        <v>20100</v>
      </c>
      <c r="AK442" s="8">
        <v>27800</v>
      </c>
      <c r="AL442" s="8">
        <v>225000</v>
      </c>
      <c r="AM442" s="8">
        <v>340000</v>
      </c>
      <c r="AN442" s="8">
        <v>23850</v>
      </c>
      <c r="AO442" s="8">
        <v>9930</v>
      </c>
      <c r="AP442" s="7">
        <v>510000</v>
      </c>
      <c r="AQ442" s="7">
        <v>335500</v>
      </c>
      <c r="AR442" s="7">
        <v>9530</v>
      </c>
      <c r="AS442" s="7">
        <v>39750</v>
      </c>
      <c r="AT442" s="7">
        <v>59614</v>
      </c>
      <c r="AU442" s="8">
        <v>191500</v>
      </c>
      <c r="AV442" s="8">
        <v>32300</v>
      </c>
      <c r="AW442" s="8">
        <v>5790</v>
      </c>
      <c r="AX442" s="8">
        <v>158000</v>
      </c>
      <c r="AY442" s="8">
        <v>37300</v>
      </c>
    </row>
    <row r="443" spans="1:51" x14ac:dyDescent="0.4">
      <c r="A443" s="11">
        <v>40807</v>
      </c>
      <c r="B443" s="7">
        <v>72200</v>
      </c>
      <c r="C443" s="7">
        <v>21600</v>
      </c>
      <c r="D443" s="7">
        <v>65200</v>
      </c>
      <c r="E443" s="7">
        <v>223000</v>
      </c>
      <c r="F443" s="7">
        <v>72800</v>
      </c>
      <c r="G443" s="8">
        <v>53600</v>
      </c>
      <c r="H443" s="8">
        <v>58300</v>
      </c>
      <c r="I443" s="8">
        <v>150000</v>
      </c>
      <c r="J443" s="8">
        <v>102000</v>
      </c>
      <c r="K443" s="8">
        <v>211000</v>
      </c>
      <c r="L443" s="7">
        <v>403500</v>
      </c>
      <c r="M443" s="7">
        <v>813000</v>
      </c>
      <c r="N443" s="7">
        <v>107500</v>
      </c>
      <c r="O443" s="7">
        <v>121500</v>
      </c>
      <c r="P443" s="7">
        <v>70400</v>
      </c>
      <c r="Q443" s="8">
        <v>308500</v>
      </c>
      <c r="R443" s="8">
        <v>285500</v>
      </c>
      <c r="S443" s="8">
        <v>406500</v>
      </c>
      <c r="T443" s="8">
        <v>29900</v>
      </c>
      <c r="U443" s="8">
        <v>122000</v>
      </c>
      <c r="V443" s="7">
        <v>367000</v>
      </c>
      <c r="W443" s="7">
        <v>27130</v>
      </c>
      <c r="X443" s="7">
        <v>338000</v>
      </c>
      <c r="Y443" s="7">
        <v>22100</v>
      </c>
      <c r="Z443" s="7">
        <v>54256</v>
      </c>
      <c r="AA443" s="8">
        <v>149000</v>
      </c>
      <c r="AB443" s="8">
        <v>397000</v>
      </c>
      <c r="AC443" s="8">
        <v>14050</v>
      </c>
      <c r="AD443" s="8">
        <v>242500</v>
      </c>
      <c r="AE443" s="8">
        <v>47150</v>
      </c>
      <c r="AF443" s="7">
        <v>36650</v>
      </c>
      <c r="AG443" s="7">
        <v>94200</v>
      </c>
      <c r="AH443" s="7">
        <v>75200</v>
      </c>
      <c r="AI443" s="7">
        <v>56100</v>
      </c>
      <c r="AJ443" s="7">
        <v>21300</v>
      </c>
      <c r="AK443" s="8">
        <v>28250</v>
      </c>
      <c r="AL443" s="8">
        <v>225000</v>
      </c>
      <c r="AM443" s="8">
        <v>339000</v>
      </c>
      <c r="AN443" s="8">
        <v>25500</v>
      </c>
      <c r="AO443" s="8">
        <v>10300</v>
      </c>
      <c r="AP443" s="7">
        <v>500000</v>
      </c>
      <c r="AQ443" s="7">
        <v>351500</v>
      </c>
      <c r="AR443" s="7">
        <v>10000</v>
      </c>
      <c r="AS443" s="7">
        <v>41200</v>
      </c>
      <c r="AT443" s="7">
        <v>62936</v>
      </c>
      <c r="AU443" s="8">
        <v>192500</v>
      </c>
      <c r="AV443" s="8">
        <v>34050</v>
      </c>
      <c r="AW443" s="8">
        <v>5970</v>
      </c>
      <c r="AX443" s="8">
        <v>170000</v>
      </c>
      <c r="AY443" s="8">
        <v>39500</v>
      </c>
    </row>
    <row r="444" spans="1:51" x14ac:dyDescent="0.4">
      <c r="A444" s="12">
        <v>40806</v>
      </c>
      <c r="B444" s="9">
        <v>71500</v>
      </c>
      <c r="C444" s="9">
        <v>21650</v>
      </c>
      <c r="D444" s="9">
        <v>65100</v>
      </c>
      <c r="E444" s="9">
        <v>222500</v>
      </c>
      <c r="F444" s="9">
        <v>71400</v>
      </c>
      <c r="G444" s="10">
        <v>53600</v>
      </c>
      <c r="H444" s="10">
        <v>57300</v>
      </c>
      <c r="I444" s="10">
        <v>145500</v>
      </c>
      <c r="J444" s="10">
        <v>105000</v>
      </c>
      <c r="K444" s="10">
        <v>208500</v>
      </c>
      <c r="L444" s="9">
        <v>413000</v>
      </c>
      <c r="M444" s="9">
        <v>811000</v>
      </c>
      <c r="N444" s="9">
        <v>105500</v>
      </c>
      <c r="O444" s="9">
        <v>122000</v>
      </c>
      <c r="P444" s="9">
        <v>69600</v>
      </c>
      <c r="Q444" s="10">
        <v>307000</v>
      </c>
      <c r="R444" s="10">
        <v>282500</v>
      </c>
      <c r="S444" s="10">
        <v>396000</v>
      </c>
      <c r="T444" s="10">
        <v>28850</v>
      </c>
      <c r="U444" s="10">
        <v>120500</v>
      </c>
      <c r="V444" s="9">
        <v>362000</v>
      </c>
      <c r="W444" s="9">
        <v>26687</v>
      </c>
      <c r="X444" s="9">
        <v>334000</v>
      </c>
      <c r="Y444" s="9">
        <v>21900</v>
      </c>
      <c r="Z444" s="9">
        <v>54256</v>
      </c>
      <c r="AA444" s="10">
        <v>150500</v>
      </c>
      <c r="AB444" s="10">
        <v>389500</v>
      </c>
      <c r="AC444" s="10">
        <v>13950</v>
      </c>
      <c r="AD444" s="10">
        <v>246000</v>
      </c>
      <c r="AE444" s="10">
        <v>47000</v>
      </c>
      <c r="AF444" s="9">
        <v>37100</v>
      </c>
      <c r="AG444" s="9">
        <v>93700</v>
      </c>
      <c r="AH444" s="9">
        <v>73500</v>
      </c>
      <c r="AI444" s="9">
        <v>55000</v>
      </c>
      <c r="AJ444" s="9">
        <v>21550</v>
      </c>
      <c r="AK444" s="10">
        <v>28200</v>
      </c>
      <c r="AL444" s="10">
        <v>217500</v>
      </c>
      <c r="AM444" s="10">
        <v>338500</v>
      </c>
      <c r="AN444" s="10">
        <v>25100</v>
      </c>
      <c r="AO444" s="10">
        <v>10300</v>
      </c>
      <c r="AP444" s="9">
        <v>493000</v>
      </c>
      <c r="AQ444" s="9">
        <v>328000</v>
      </c>
      <c r="AR444" s="9">
        <v>9840</v>
      </c>
      <c r="AS444" s="9">
        <v>41350</v>
      </c>
      <c r="AT444" s="9">
        <v>63034</v>
      </c>
      <c r="AU444" s="10">
        <v>185500</v>
      </c>
      <c r="AV444" s="10">
        <v>33300</v>
      </c>
      <c r="AW444" s="10">
        <v>5950</v>
      </c>
      <c r="AX444" s="10">
        <v>166500</v>
      </c>
      <c r="AY444" s="10">
        <v>39100</v>
      </c>
    </row>
    <row r="445" spans="1:51" x14ac:dyDescent="0.4">
      <c r="A445" s="11">
        <v>40805</v>
      </c>
      <c r="B445" s="7">
        <v>69600</v>
      </c>
      <c r="C445" s="7">
        <v>21000</v>
      </c>
      <c r="D445" s="7">
        <v>64200</v>
      </c>
      <c r="E445" s="7">
        <v>215000</v>
      </c>
      <c r="F445" s="7">
        <v>70700</v>
      </c>
      <c r="G445" s="8">
        <v>54400</v>
      </c>
      <c r="H445" s="8">
        <v>55900</v>
      </c>
      <c r="I445" s="8">
        <v>146000</v>
      </c>
      <c r="J445" s="8">
        <v>106500</v>
      </c>
      <c r="K445" s="8">
        <v>206000</v>
      </c>
      <c r="L445" s="7">
        <v>414000</v>
      </c>
      <c r="M445" s="7">
        <v>808000</v>
      </c>
      <c r="N445" s="7">
        <v>102500</v>
      </c>
      <c r="O445" s="7">
        <v>114000</v>
      </c>
      <c r="P445" s="7">
        <v>63900</v>
      </c>
      <c r="Q445" s="8">
        <v>303000</v>
      </c>
      <c r="R445" s="8">
        <v>272000</v>
      </c>
      <c r="S445" s="8">
        <v>406000</v>
      </c>
      <c r="T445" s="8">
        <v>28350</v>
      </c>
      <c r="U445" s="8">
        <v>120000</v>
      </c>
      <c r="V445" s="7">
        <v>365500</v>
      </c>
      <c r="W445" s="7">
        <v>26441</v>
      </c>
      <c r="X445" s="7">
        <v>335000</v>
      </c>
      <c r="Y445" s="7">
        <v>21900</v>
      </c>
      <c r="Z445" s="7">
        <v>53083</v>
      </c>
      <c r="AA445" s="8">
        <v>154000</v>
      </c>
      <c r="AB445" s="8">
        <v>393000</v>
      </c>
      <c r="AC445" s="8">
        <v>13950</v>
      </c>
      <c r="AD445" s="8">
        <v>240500</v>
      </c>
      <c r="AE445" s="8">
        <v>47400</v>
      </c>
      <c r="AF445" s="7">
        <v>37300</v>
      </c>
      <c r="AG445" s="7">
        <v>92900</v>
      </c>
      <c r="AH445" s="7">
        <v>73100</v>
      </c>
      <c r="AI445" s="7">
        <v>54000</v>
      </c>
      <c r="AJ445" s="7">
        <v>20400</v>
      </c>
      <c r="AK445" s="8">
        <v>28000</v>
      </c>
      <c r="AL445" s="8">
        <v>210500</v>
      </c>
      <c r="AM445" s="8">
        <v>337500</v>
      </c>
      <c r="AN445" s="8">
        <v>24650</v>
      </c>
      <c r="AO445" s="8">
        <v>10300</v>
      </c>
      <c r="AP445" s="7">
        <v>482000</v>
      </c>
      <c r="AQ445" s="7">
        <v>328500</v>
      </c>
      <c r="AR445" s="7">
        <v>9970</v>
      </c>
      <c r="AS445" s="7">
        <v>41000</v>
      </c>
      <c r="AT445" s="7">
        <v>60786</v>
      </c>
      <c r="AU445" s="8">
        <v>185500</v>
      </c>
      <c r="AV445" s="8">
        <v>34250</v>
      </c>
      <c r="AW445" s="8">
        <v>5860</v>
      </c>
      <c r="AX445" s="8">
        <v>165000</v>
      </c>
      <c r="AY445" s="8">
        <v>39200</v>
      </c>
    </row>
    <row r="446" spans="1:51" x14ac:dyDescent="0.4">
      <c r="A446" s="11">
        <v>40802</v>
      </c>
      <c r="B446" s="7">
        <v>70000</v>
      </c>
      <c r="C446" s="7">
        <v>21900</v>
      </c>
      <c r="D446" s="7">
        <v>64200</v>
      </c>
      <c r="E446" s="7">
        <v>218500</v>
      </c>
      <c r="F446" s="7">
        <v>71800</v>
      </c>
      <c r="G446" s="8">
        <v>55900</v>
      </c>
      <c r="H446" s="8">
        <v>56700</v>
      </c>
      <c r="I446" s="8">
        <v>148000</v>
      </c>
      <c r="J446" s="8">
        <v>111000</v>
      </c>
      <c r="K446" s="8">
        <v>208000</v>
      </c>
      <c r="L446" s="7">
        <v>424500</v>
      </c>
      <c r="M446" s="7">
        <v>798000</v>
      </c>
      <c r="N446" s="7">
        <v>104000</v>
      </c>
      <c r="O446" s="7">
        <v>116000</v>
      </c>
      <c r="P446" s="7">
        <v>65000</v>
      </c>
      <c r="Q446" s="8">
        <v>306000</v>
      </c>
      <c r="R446" s="8">
        <v>274000</v>
      </c>
      <c r="S446" s="8">
        <v>420000</v>
      </c>
      <c r="T446" s="8">
        <v>29500</v>
      </c>
      <c r="U446" s="8">
        <v>125000</v>
      </c>
      <c r="V446" s="7">
        <v>380000</v>
      </c>
      <c r="W446" s="7">
        <v>26096</v>
      </c>
      <c r="X446" s="7">
        <v>334500</v>
      </c>
      <c r="Y446" s="7">
        <v>22100</v>
      </c>
      <c r="Z446" s="7">
        <v>53474</v>
      </c>
      <c r="AA446" s="8">
        <v>159500</v>
      </c>
      <c r="AB446" s="8">
        <v>407000</v>
      </c>
      <c r="AC446" s="8">
        <v>14950</v>
      </c>
      <c r="AD446" s="8">
        <v>240000</v>
      </c>
      <c r="AE446" s="8">
        <v>46800</v>
      </c>
      <c r="AF446" s="7">
        <v>38100</v>
      </c>
      <c r="AG446" s="7">
        <v>92100</v>
      </c>
      <c r="AH446" s="7">
        <v>73000</v>
      </c>
      <c r="AI446" s="7">
        <v>53700</v>
      </c>
      <c r="AJ446" s="7">
        <v>20450</v>
      </c>
      <c r="AK446" s="8">
        <v>28600</v>
      </c>
      <c r="AL446" s="8">
        <v>206000</v>
      </c>
      <c r="AM446" s="8">
        <v>342500</v>
      </c>
      <c r="AN446" s="8">
        <v>25650</v>
      </c>
      <c r="AO446" s="8">
        <v>10700</v>
      </c>
      <c r="AP446" s="7">
        <v>490000</v>
      </c>
      <c r="AQ446" s="7">
        <v>343000</v>
      </c>
      <c r="AR446" s="7">
        <v>9850</v>
      </c>
      <c r="AS446" s="7">
        <v>40250</v>
      </c>
      <c r="AT446" s="7">
        <v>60982</v>
      </c>
      <c r="AU446" s="8">
        <v>189500</v>
      </c>
      <c r="AV446" s="8">
        <v>34600</v>
      </c>
      <c r="AW446" s="8">
        <v>6060</v>
      </c>
      <c r="AX446" s="8">
        <v>168500</v>
      </c>
      <c r="AY446" s="8">
        <v>38550</v>
      </c>
    </row>
    <row r="447" spans="1:51" x14ac:dyDescent="0.4">
      <c r="A447" s="11">
        <v>40801</v>
      </c>
      <c r="B447" s="7">
        <v>67500</v>
      </c>
      <c r="C447" s="7">
        <v>21100</v>
      </c>
      <c r="D447" s="7">
        <v>60600</v>
      </c>
      <c r="E447" s="7">
        <v>219000</v>
      </c>
      <c r="F447" s="7">
        <v>69000</v>
      </c>
      <c r="G447" s="8">
        <v>55400</v>
      </c>
      <c r="H447" s="8">
        <v>53300</v>
      </c>
      <c r="I447" s="8">
        <v>137000</v>
      </c>
      <c r="J447" s="8">
        <v>109500</v>
      </c>
      <c r="K447" s="8">
        <v>198500</v>
      </c>
      <c r="L447" s="7">
        <v>411500</v>
      </c>
      <c r="M447" s="7">
        <v>771000</v>
      </c>
      <c r="N447" s="7">
        <v>96200</v>
      </c>
      <c r="O447" s="7">
        <v>113000</v>
      </c>
      <c r="P447" s="7">
        <v>63000</v>
      </c>
      <c r="Q447" s="8">
        <v>289500</v>
      </c>
      <c r="R447" s="8">
        <v>249500</v>
      </c>
      <c r="S447" s="8">
        <v>418000</v>
      </c>
      <c r="T447" s="8">
        <v>27850</v>
      </c>
      <c r="U447" s="8">
        <v>121500</v>
      </c>
      <c r="V447" s="7">
        <v>365500</v>
      </c>
      <c r="W447" s="7">
        <v>25407</v>
      </c>
      <c r="X447" s="7">
        <v>312000</v>
      </c>
      <c r="Y447" s="7">
        <v>21450</v>
      </c>
      <c r="Z447" s="7">
        <v>50346</v>
      </c>
      <c r="AA447" s="8">
        <v>153000</v>
      </c>
      <c r="AB447" s="8">
        <v>405000</v>
      </c>
      <c r="AC447" s="8">
        <v>14000</v>
      </c>
      <c r="AD447" s="8">
        <v>227000</v>
      </c>
      <c r="AE447" s="8">
        <v>46100</v>
      </c>
      <c r="AF447" s="7">
        <v>37400</v>
      </c>
      <c r="AG447" s="7">
        <v>90100</v>
      </c>
      <c r="AH447" s="7">
        <v>74900</v>
      </c>
      <c r="AI447" s="7">
        <v>50700</v>
      </c>
      <c r="AJ447" s="7">
        <v>19000</v>
      </c>
      <c r="AK447" s="8">
        <v>28050</v>
      </c>
      <c r="AL447" s="8">
        <v>205000</v>
      </c>
      <c r="AM447" s="8">
        <v>336500</v>
      </c>
      <c r="AN447" s="8">
        <v>23700</v>
      </c>
      <c r="AO447" s="8">
        <v>10300</v>
      </c>
      <c r="AP447" s="7">
        <v>477000</v>
      </c>
      <c r="AQ447" s="7">
        <v>329500</v>
      </c>
      <c r="AR447" s="7">
        <v>9170</v>
      </c>
      <c r="AS447" s="7">
        <v>38450</v>
      </c>
      <c r="AT447" s="7">
        <v>59027</v>
      </c>
      <c r="AU447" s="8">
        <v>185000</v>
      </c>
      <c r="AV447" s="8">
        <v>32650</v>
      </c>
      <c r="AW447" s="8">
        <v>6000</v>
      </c>
      <c r="AX447" s="8">
        <v>164000</v>
      </c>
      <c r="AY447" s="8">
        <v>36500</v>
      </c>
    </row>
    <row r="448" spans="1:51" x14ac:dyDescent="0.4">
      <c r="A448" s="11">
        <v>40800</v>
      </c>
      <c r="B448" s="7">
        <v>65900</v>
      </c>
      <c r="C448" s="7">
        <v>19850</v>
      </c>
      <c r="D448" s="7">
        <v>59300</v>
      </c>
      <c r="E448" s="7">
        <v>222500</v>
      </c>
      <c r="F448" s="7">
        <v>66700</v>
      </c>
      <c r="G448" s="8">
        <v>56200</v>
      </c>
      <c r="H448" s="8">
        <v>53200</v>
      </c>
      <c r="I448" s="8">
        <v>137500</v>
      </c>
      <c r="J448" s="8">
        <v>105500</v>
      </c>
      <c r="K448" s="8">
        <v>191000</v>
      </c>
      <c r="L448" s="7">
        <v>404000</v>
      </c>
      <c r="M448" s="7">
        <v>753000</v>
      </c>
      <c r="N448" s="7">
        <v>93000</v>
      </c>
      <c r="O448" s="7">
        <v>110500</v>
      </c>
      <c r="P448" s="7">
        <v>60000</v>
      </c>
      <c r="Q448" s="8">
        <v>288000</v>
      </c>
      <c r="R448" s="8">
        <v>246000</v>
      </c>
      <c r="S448" s="8">
        <v>404000</v>
      </c>
      <c r="T448" s="8">
        <v>28800</v>
      </c>
      <c r="U448" s="8">
        <v>109000</v>
      </c>
      <c r="V448" s="7">
        <v>352500</v>
      </c>
      <c r="W448" s="7">
        <v>25210</v>
      </c>
      <c r="X448" s="7">
        <v>310000</v>
      </c>
      <c r="Y448" s="7">
        <v>21450</v>
      </c>
      <c r="Z448" s="7">
        <v>51030</v>
      </c>
      <c r="AA448" s="8">
        <v>146000</v>
      </c>
      <c r="AB448" s="8">
        <v>413500</v>
      </c>
      <c r="AC448" s="8">
        <v>14000</v>
      </c>
      <c r="AD448" s="8">
        <v>222000</v>
      </c>
      <c r="AE448" s="8">
        <v>46350</v>
      </c>
      <c r="AF448" s="7">
        <v>36550</v>
      </c>
      <c r="AG448" s="7">
        <v>88200</v>
      </c>
      <c r="AH448" s="7">
        <v>72800</v>
      </c>
      <c r="AI448" s="7">
        <v>50700</v>
      </c>
      <c r="AJ448" s="7">
        <v>18550</v>
      </c>
      <c r="AK448" s="8">
        <v>27650</v>
      </c>
      <c r="AL448" s="8">
        <v>203500</v>
      </c>
      <c r="AM448" s="8">
        <v>315500</v>
      </c>
      <c r="AN448" s="8">
        <v>23650</v>
      </c>
      <c r="AO448" s="8">
        <v>9840</v>
      </c>
      <c r="AP448" s="7">
        <v>470000</v>
      </c>
      <c r="AQ448" s="7">
        <v>323000</v>
      </c>
      <c r="AR448" s="7">
        <v>9170</v>
      </c>
      <c r="AS448" s="7">
        <v>40200</v>
      </c>
      <c r="AT448" s="7">
        <v>58343</v>
      </c>
      <c r="AU448" s="8">
        <v>181500</v>
      </c>
      <c r="AV448" s="8">
        <v>33300</v>
      </c>
      <c r="AW448" s="8">
        <v>5850</v>
      </c>
      <c r="AX448" s="8">
        <v>155000</v>
      </c>
      <c r="AY448" s="8">
        <v>37250</v>
      </c>
    </row>
    <row r="449" spans="1:51" x14ac:dyDescent="0.4">
      <c r="A449" s="12">
        <v>40795</v>
      </c>
      <c r="B449" s="9">
        <v>68500</v>
      </c>
      <c r="C449" s="9">
        <v>19900</v>
      </c>
      <c r="D449" s="9">
        <v>61100</v>
      </c>
      <c r="E449" s="9">
        <v>226500</v>
      </c>
      <c r="F449" s="9">
        <v>69000</v>
      </c>
      <c r="G449" s="10">
        <v>58600</v>
      </c>
      <c r="H449" s="10">
        <v>56100</v>
      </c>
      <c r="I449" s="10">
        <v>145000</v>
      </c>
      <c r="J449" s="10">
        <v>109000</v>
      </c>
      <c r="K449" s="10">
        <v>197500</v>
      </c>
      <c r="L449" s="9">
        <v>416000</v>
      </c>
      <c r="M449" s="9">
        <v>780000</v>
      </c>
      <c r="N449" s="9">
        <v>95000</v>
      </c>
      <c r="O449" s="9">
        <v>117000</v>
      </c>
      <c r="P449" s="9">
        <v>60700</v>
      </c>
      <c r="Q449" s="10">
        <v>304500</v>
      </c>
      <c r="R449" s="10">
        <v>257500</v>
      </c>
      <c r="S449" s="10">
        <v>415000</v>
      </c>
      <c r="T449" s="10">
        <v>30700</v>
      </c>
      <c r="U449" s="10">
        <v>112000</v>
      </c>
      <c r="V449" s="9">
        <v>378000</v>
      </c>
      <c r="W449" s="9">
        <v>26736</v>
      </c>
      <c r="X449" s="9">
        <v>324000</v>
      </c>
      <c r="Y449" s="9">
        <v>22100</v>
      </c>
      <c r="Z449" s="9">
        <v>54061</v>
      </c>
      <c r="AA449" s="10">
        <v>148000</v>
      </c>
      <c r="AB449" s="10">
        <v>421000</v>
      </c>
      <c r="AC449" s="10">
        <v>14900</v>
      </c>
      <c r="AD449" s="10">
        <v>224000</v>
      </c>
      <c r="AE449" s="10">
        <v>47550</v>
      </c>
      <c r="AF449" s="9">
        <v>37400</v>
      </c>
      <c r="AG449" s="9">
        <v>88600</v>
      </c>
      <c r="AH449" s="9">
        <v>72200</v>
      </c>
      <c r="AI449" s="9">
        <v>52300</v>
      </c>
      <c r="AJ449" s="9">
        <v>19150</v>
      </c>
      <c r="AK449" s="10">
        <v>28850</v>
      </c>
      <c r="AL449" s="10">
        <v>207500</v>
      </c>
      <c r="AM449" s="10">
        <v>325000</v>
      </c>
      <c r="AN449" s="10">
        <v>25550</v>
      </c>
      <c r="AO449" s="10">
        <v>10250</v>
      </c>
      <c r="AP449" s="9">
        <v>469500</v>
      </c>
      <c r="AQ449" s="9">
        <v>346000</v>
      </c>
      <c r="AR449" s="9">
        <v>10050</v>
      </c>
      <c r="AS449" s="9">
        <v>41450</v>
      </c>
      <c r="AT449" s="9">
        <v>60591</v>
      </c>
      <c r="AU449" s="10">
        <v>186000</v>
      </c>
      <c r="AV449" s="10">
        <v>34600</v>
      </c>
      <c r="AW449" s="10">
        <v>5860</v>
      </c>
      <c r="AX449" s="10">
        <v>162000</v>
      </c>
      <c r="AY449" s="10">
        <v>40150</v>
      </c>
    </row>
    <row r="450" spans="1:51" x14ac:dyDescent="0.4">
      <c r="A450" s="11">
        <v>40794</v>
      </c>
      <c r="B450" s="7">
        <v>69700</v>
      </c>
      <c r="C450" s="7">
        <v>19300</v>
      </c>
      <c r="D450" s="7">
        <v>60700</v>
      </c>
      <c r="E450" s="7">
        <v>229000</v>
      </c>
      <c r="F450" s="7">
        <v>71200</v>
      </c>
      <c r="G450" s="8">
        <v>59200</v>
      </c>
      <c r="H450" s="8">
        <v>56900</v>
      </c>
      <c r="I450" s="8">
        <v>150500</v>
      </c>
      <c r="J450" s="8">
        <v>112500</v>
      </c>
      <c r="K450" s="8">
        <v>201500</v>
      </c>
      <c r="L450" s="7">
        <v>429500</v>
      </c>
      <c r="M450" s="7">
        <v>798000</v>
      </c>
      <c r="N450" s="7">
        <v>98500</v>
      </c>
      <c r="O450" s="7">
        <v>122500</v>
      </c>
      <c r="P450" s="7">
        <v>61600</v>
      </c>
      <c r="Q450" s="8">
        <v>315000</v>
      </c>
      <c r="R450" s="8">
        <v>267000</v>
      </c>
      <c r="S450" s="8">
        <v>417000</v>
      </c>
      <c r="T450" s="8">
        <v>32150</v>
      </c>
      <c r="U450" s="8">
        <v>111000</v>
      </c>
      <c r="V450" s="7">
        <v>384000</v>
      </c>
      <c r="W450" s="7">
        <v>27376</v>
      </c>
      <c r="X450" s="7">
        <v>334000</v>
      </c>
      <c r="Y450" s="7">
        <v>22700</v>
      </c>
      <c r="Z450" s="7">
        <v>54256</v>
      </c>
      <c r="AA450" s="8">
        <v>151000</v>
      </c>
      <c r="AB450" s="8">
        <v>422500</v>
      </c>
      <c r="AC450" s="8">
        <v>15500</v>
      </c>
      <c r="AD450" s="8">
        <v>229000</v>
      </c>
      <c r="AE450" s="8">
        <v>48850</v>
      </c>
      <c r="AF450" s="7">
        <v>38150</v>
      </c>
      <c r="AG450" s="7">
        <v>88500</v>
      </c>
      <c r="AH450" s="7">
        <v>71500</v>
      </c>
      <c r="AI450" s="7">
        <v>53600</v>
      </c>
      <c r="AJ450" s="7">
        <v>19100</v>
      </c>
      <c r="AK450" s="8">
        <v>30000</v>
      </c>
      <c r="AL450" s="8">
        <v>212000</v>
      </c>
      <c r="AM450" s="8">
        <v>339500</v>
      </c>
      <c r="AN450" s="8">
        <v>26700</v>
      </c>
      <c r="AO450" s="8">
        <v>10500</v>
      </c>
      <c r="AP450" s="7">
        <v>465500</v>
      </c>
      <c r="AQ450" s="7">
        <v>354500</v>
      </c>
      <c r="AR450" s="7">
        <v>10450</v>
      </c>
      <c r="AS450" s="7">
        <v>43000</v>
      </c>
      <c r="AT450" s="7">
        <v>63523</v>
      </c>
      <c r="AU450" s="8">
        <v>191000</v>
      </c>
      <c r="AV450" s="8">
        <v>35350</v>
      </c>
      <c r="AW450" s="8">
        <v>6020</v>
      </c>
      <c r="AX450" s="8">
        <v>157500</v>
      </c>
      <c r="AY450" s="8">
        <v>42100</v>
      </c>
    </row>
    <row r="451" spans="1:51" x14ac:dyDescent="0.4">
      <c r="A451" s="11">
        <v>40793</v>
      </c>
      <c r="B451" s="7">
        <v>69400</v>
      </c>
      <c r="C451" s="7">
        <v>19500</v>
      </c>
      <c r="D451" s="7">
        <v>62600</v>
      </c>
      <c r="E451" s="7">
        <v>226500</v>
      </c>
      <c r="F451" s="7">
        <v>70600</v>
      </c>
      <c r="G451" s="8">
        <v>59000</v>
      </c>
      <c r="H451" s="8">
        <v>57500</v>
      </c>
      <c r="I451" s="8">
        <v>152000</v>
      </c>
      <c r="J451" s="8">
        <v>111000</v>
      </c>
      <c r="K451" s="8">
        <v>199000</v>
      </c>
      <c r="L451" s="7">
        <v>418000</v>
      </c>
      <c r="M451" s="7">
        <v>773000</v>
      </c>
      <c r="N451" s="7">
        <v>99100</v>
      </c>
      <c r="O451" s="7">
        <v>125000</v>
      </c>
      <c r="P451" s="7">
        <v>63300</v>
      </c>
      <c r="Q451" s="8">
        <v>315500</v>
      </c>
      <c r="R451" s="8">
        <v>273000</v>
      </c>
      <c r="S451" s="8">
        <v>425500</v>
      </c>
      <c r="T451" s="8">
        <v>31900</v>
      </c>
      <c r="U451" s="8">
        <v>112000</v>
      </c>
      <c r="V451" s="7">
        <v>370000</v>
      </c>
      <c r="W451" s="7">
        <v>26589</v>
      </c>
      <c r="X451" s="7">
        <v>325000</v>
      </c>
      <c r="Y451" s="7">
        <v>22350</v>
      </c>
      <c r="Z451" s="7">
        <v>57678</v>
      </c>
      <c r="AA451" s="8">
        <v>154500</v>
      </c>
      <c r="AB451" s="8">
        <v>410000</v>
      </c>
      <c r="AC451" s="8">
        <v>15200</v>
      </c>
      <c r="AD451" s="8">
        <v>227500</v>
      </c>
      <c r="AE451" s="8">
        <v>47100</v>
      </c>
      <c r="AF451" s="7">
        <v>37600</v>
      </c>
      <c r="AG451" s="7">
        <v>90300</v>
      </c>
      <c r="AH451" s="7">
        <v>70000</v>
      </c>
      <c r="AI451" s="7">
        <v>54100</v>
      </c>
      <c r="AJ451" s="7">
        <v>19500</v>
      </c>
      <c r="AK451" s="8">
        <v>29900</v>
      </c>
      <c r="AL451" s="8">
        <v>219500</v>
      </c>
      <c r="AM451" s="8">
        <v>332500</v>
      </c>
      <c r="AN451" s="8">
        <v>26200</v>
      </c>
      <c r="AO451" s="8">
        <v>10150</v>
      </c>
      <c r="AP451" s="7">
        <v>455000</v>
      </c>
      <c r="AQ451" s="7">
        <v>343000</v>
      </c>
      <c r="AR451" s="7">
        <v>10600</v>
      </c>
      <c r="AS451" s="7">
        <v>41800</v>
      </c>
      <c r="AT451" s="7">
        <v>63034</v>
      </c>
      <c r="AU451" s="8">
        <v>187000</v>
      </c>
      <c r="AV451" s="8">
        <v>34600</v>
      </c>
      <c r="AW451" s="8">
        <v>6010</v>
      </c>
      <c r="AX451" s="8">
        <v>156500</v>
      </c>
      <c r="AY451" s="8">
        <v>40900</v>
      </c>
    </row>
    <row r="452" spans="1:51" x14ac:dyDescent="0.4">
      <c r="A452" s="11">
        <v>40792</v>
      </c>
      <c r="B452" s="7">
        <v>67200</v>
      </c>
      <c r="C452" s="7">
        <v>17000</v>
      </c>
      <c r="D452" s="7">
        <v>61200</v>
      </c>
      <c r="E452" s="7">
        <v>217500</v>
      </c>
      <c r="F452" s="7">
        <v>68100</v>
      </c>
      <c r="G452" s="8">
        <v>54900</v>
      </c>
      <c r="H452" s="8">
        <v>55300</v>
      </c>
      <c r="I452" s="8">
        <v>142000</v>
      </c>
      <c r="J452" s="8">
        <v>104500</v>
      </c>
      <c r="K452" s="8">
        <v>192000</v>
      </c>
      <c r="L452" s="7">
        <v>403000</v>
      </c>
      <c r="M452" s="7">
        <v>727000</v>
      </c>
      <c r="N452" s="7">
        <v>93800</v>
      </c>
      <c r="O452" s="7">
        <v>120000</v>
      </c>
      <c r="P452" s="7">
        <v>59800</v>
      </c>
      <c r="Q452" s="8">
        <v>302000</v>
      </c>
      <c r="R452" s="8">
        <v>266000</v>
      </c>
      <c r="S452" s="8">
        <v>425000</v>
      </c>
      <c r="T452" s="8">
        <v>30100</v>
      </c>
      <c r="U452" s="8">
        <v>105500</v>
      </c>
      <c r="V452" s="7">
        <v>353500</v>
      </c>
      <c r="W452" s="7">
        <v>26293</v>
      </c>
      <c r="X452" s="7">
        <v>311000</v>
      </c>
      <c r="Y452" s="7">
        <v>22000</v>
      </c>
      <c r="Z452" s="7">
        <v>55918</v>
      </c>
      <c r="AA452" s="8">
        <v>154000</v>
      </c>
      <c r="AB452" s="8">
        <v>418500</v>
      </c>
      <c r="AC452" s="8">
        <v>14650</v>
      </c>
      <c r="AD452" s="8">
        <v>221500</v>
      </c>
      <c r="AE452" s="8">
        <v>46700</v>
      </c>
      <c r="AF452" s="7">
        <v>36600</v>
      </c>
      <c r="AG452" s="7">
        <v>89500</v>
      </c>
      <c r="AH452" s="7">
        <v>68700</v>
      </c>
      <c r="AI452" s="7">
        <v>51300</v>
      </c>
      <c r="AJ452" s="7">
        <v>18000</v>
      </c>
      <c r="AK452" s="8">
        <v>27850</v>
      </c>
      <c r="AL452" s="8">
        <v>216000</v>
      </c>
      <c r="AM452" s="8">
        <v>338500</v>
      </c>
      <c r="AN452" s="8">
        <v>24700</v>
      </c>
      <c r="AO452" s="8">
        <v>9810</v>
      </c>
      <c r="AP452" s="7">
        <v>457500</v>
      </c>
      <c r="AQ452" s="7">
        <v>329000</v>
      </c>
      <c r="AR452" s="7">
        <v>10250</v>
      </c>
      <c r="AS452" s="7">
        <v>40200</v>
      </c>
      <c r="AT452" s="7">
        <v>57757</v>
      </c>
      <c r="AU452" s="8">
        <v>188500</v>
      </c>
      <c r="AV452" s="8">
        <v>33350</v>
      </c>
      <c r="AW452" s="8">
        <v>5860</v>
      </c>
      <c r="AX452" s="8">
        <v>145500</v>
      </c>
      <c r="AY452" s="8">
        <v>39650</v>
      </c>
    </row>
    <row r="453" spans="1:51" x14ac:dyDescent="0.4">
      <c r="A453" s="11">
        <v>40791</v>
      </c>
      <c r="B453" s="7">
        <v>66000</v>
      </c>
      <c r="C453" s="7">
        <v>17550</v>
      </c>
      <c r="D453" s="7">
        <v>62600</v>
      </c>
      <c r="E453" s="7">
        <v>223500</v>
      </c>
      <c r="F453" s="7">
        <v>69500</v>
      </c>
      <c r="G453" s="8">
        <v>53100</v>
      </c>
      <c r="H453" s="8">
        <v>56300</v>
      </c>
      <c r="I453" s="8">
        <v>147000</v>
      </c>
      <c r="J453" s="8">
        <v>100000</v>
      </c>
      <c r="K453" s="8">
        <v>189500</v>
      </c>
      <c r="L453" s="7">
        <v>396000</v>
      </c>
      <c r="M453" s="7">
        <v>731000</v>
      </c>
      <c r="N453" s="7">
        <v>95600</v>
      </c>
      <c r="O453" s="7">
        <v>129000</v>
      </c>
      <c r="P453" s="7">
        <v>61900</v>
      </c>
      <c r="Q453" s="8">
        <v>312000</v>
      </c>
      <c r="R453" s="8">
        <v>280000</v>
      </c>
      <c r="S453" s="8">
        <v>430500</v>
      </c>
      <c r="T453" s="8">
        <v>31800</v>
      </c>
      <c r="U453" s="8">
        <v>105500</v>
      </c>
      <c r="V453" s="7">
        <v>345500</v>
      </c>
      <c r="W453" s="7">
        <v>25358</v>
      </c>
      <c r="X453" s="7">
        <v>313000</v>
      </c>
      <c r="Y453" s="7">
        <v>22000</v>
      </c>
      <c r="Z453" s="7">
        <v>56798</v>
      </c>
      <c r="AA453" s="8">
        <v>154500</v>
      </c>
      <c r="AB453" s="8">
        <v>432500</v>
      </c>
      <c r="AC453" s="8">
        <v>15000</v>
      </c>
      <c r="AD453" s="8">
        <v>224500</v>
      </c>
      <c r="AE453" s="8">
        <v>48850</v>
      </c>
      <c r="AF453" s="7">
        <v>36500</v>
      </c>
      <c r="AG453" s="7">
        <v>90000</v>
      </c>
      <c r="AH453" s="7">
        <v>68900</v>
      </c>
      <c r="AI453" s="7">
        <v>52800</v>
      </c>
      <c r="AJ453" s="7">
        <v>18750</v>
      </c>
      <c r="AK453" s="8">
        <v>27600</v>
      </c>
      <c r="AL453" s="8">
        <v>212500</v>
      </c>
      <c r="AM453" s="8">
        <v>338500</v>
      </c>
      <c r="AN453" s="8">
        <v>25300</v>
      </c>
      <c r="AO453" s="8">
        <v>9990</v>
      </c>
      <c r="AP453" s="7">
        <v>461000</v>
      </c>
      <c r="AQ453" s="7">
        <v>329000</v>
      </c>
      <c r="AR453" s="7">
        <v>10400</v>
      </c>
      <c r="AS453" s="7">
        <v>41150</v>
      </c>
      <c r="AT453" s="7">
        <v>58636</v>
      </c>
      <c r="AU453" s="8">
        <v>203500</v>
      </c>
      <c r="AV453" s="8">
        <v>34400</v>
      </c>
      <c r="AW453" s="8">
        <v>6060</v>
      </c>
      <c r="AX453" s="8">
        <v>146000</v>
      </c>
      <c r="AY453" s="8">
        <v>40450</v>
      </c>
    </row>
    <row r="454" spans="1:51" x14ac:dyDescent="0.4">
      <c r="A454" s="12">
        <v>40788</v>
      </c>
      <c r="B454" s="9">
        <v>69100</v>
      </c>
      <c r="C454" s="9">
        <v>19100</v>
      </c>
      <c r="D454" s="9">
        <v>67400</v>
      </c>
      <c r="E454" s="9">
        <v>226500</v>
      </c>
      <c r="F454" s="9">
        <v>74000</v>
      </c>
      <c r="G454" s="10">
        <v>55500</v>
      </c>
      <c r="H454" s="10">
        <v>60700</v>
      </c>
      <c r="I454" s="10">
        <v>161500</v>
      </c>
      <c r="J454" s="10">
        <v>104500</v>
      </c>
      <c r="K454" s="10">
        <v>200000</v>
      </c>
      <c r="L454" s="9">
        <v>407500</v>
      </c>
      <c r="M454" s="9">
        <v>769000</v>
      </c>
      <c r="N454" s="9">
        <v>103000</v>
      </c>
      <c r="O454" s="9">
        <v>137500</v>
      </c>
      <c r="P454" s="9">
        <v>65800</v>
      </c>
      <c r="Q454" s="10">
        <v>335500</v>
      </c>
      <c r="R454" s="10">
        <v>308000</v>
      </c>
      <c r="S454" s="10">
        <v>440000</v>
      </c>
      <c r="T454" s="10">
        <v>34000</v>
      </c>
      <c r="U454" s="10">
        <v>118000</v>
      </c>
      <c r="V454" s="9">
        <v>375000</v>
      </c>
      <c r="W454" s="9">
        <v>26638</v>
      </c>
      <c r="X454" s="9">
        <v>328500</v>
      </c>
      <c r="Y454" s="9">
        <v>22450</v>
      </c>
      <c r="Z454" s="9">
        <v>60904</v>
      </c>
      <c r="AA454" s="10">
        <v>151000</v>
      </c>
      <c r="AB454" s="10">
        <v>441500</v>
      </c>
      <c r="AC454" s="10">
        <v>15650</v>
      </c>
      <c r="AD454" s="10">
        <v>236500</v>
      </c>
      <c r="AE454" s="10">
        <v>51500</v>
      </c>
      <c r="AF454" s="9">
        <v>36650</v>
      </c>
      <c r="AG454" s="9">
        <v>92000</v>
      </c>
      <c r="AH454" s="9">
        <v>68800</v>
      </c>
      <c r="AI454" s="9">
        <v>55300</v>
      </c>
      <c r="AJ454" s="9">
        <v>19950</v>
      </c>
      <c r="AK454" s="10">
        <v>27250</v>
      </c>
      <c r="AL454" s="10">
        <v>210500</v>
      </c>
      <c r="AM454" s="10">
        <v>342000</v>
      </c>
      <c r="AN454" s="10">
        <v>27800</v>
      </c>
      <c r="AO454" s="10">
        <v>10500</v>
      </c>
      <c r="AP454" s="9">
        <v>464500</v>
      </c>
      <c r="AQ454" s="9">
        <v>367500</v>
      </c>
      <c r="AR454" s="9">
        <v>11100</v>
      </c>
      <c r="AS454" s="9">
        <v>42750</v>
      </c>
      <c r="AT454" s="9">
        <v>61666</v>
      </c>
      <c r="AU454" s="10">
        <v>203000</v>
      </c>
      <c r="AV454" s="10">
        <v>36200</v>
      </c>
      <c r="AW454" s="10">
        <v>6200</v>
      </c>
      <c r="AX454" s="10">
        <v>164000</v>
      </c>
      <c r="AY454" s="10">
        <v>42600</v>
      </c>
    </row>
    <row r="455" spans="1:51" x14ac:dyDescent="0.4">
      <c r="A455" s="11">
        <v>40787</v>
      </c>
      <c r="B455" s="7">
        <v>69500</v>
      </c>
      <c r="C455" s="7">
        <v>19200</v>
      </c>
      <c r="D455" s="7">
        <v>69900</v>
      </c>
      <c r="E455" s="7">
        <v>229500</v>
      </c>
      <c r="F455" s="7">
        <v>75400</v>
      </c>
      <c r="G455" s="8">
        <v>56800</v>
      </c>
      <c r="H455" s="8">
        <v>61400</v>
      </c>
      <c r="I455" s="8">
        <v>163500</v>
      </c>
      <c r="J455" s="8">
        <v>108500</v>
      </c>
      <c r="K455" s="8">
        <v>202500</v>
      </c>
      <c r="L455" s="7">
        <v>407500</v>
      </c>
      <c r="M455" s="7">
        <v>771000</v>
      </c>
      <c r="N455" s="7">
        <v>105000</v>
      </c>
      <c r="O455" s="7">
        <v>138000</v>
      </c>
      <c r="P455" s="7">
        <v>67400</v>
      </c>
      <c r="Q455" s="8">
        <v>344500</v>
      </c>
      <c r="R455" s="8">
        <v>303500</v>
      </c>
      <c r="S455" s="8">
        <v>431500</v>
      </c>
      <c r="T455" s="8">
        <v>34950</v>
      </c>
      <c r="U455" s="8">
        <v>122500</v>
      </c>
      <c r="V455" s="7">
        <v>368000</v>
      </c>
      <c r="W455" s="7">
        <v>26589</v>
      </c>
      <c r="X455" s="7">
        <v>336500</v>
      </c>
      <c r="Y455" s="7">
        <v>22500</v>
      </c>
      <c r="Z455" s="7">
        <v>61588</v>
      </c>
      <c r="AA455" s="8">
        <v>151500</v>
      </c>
      <c r="AB455" s="8">
        <v>430000</v>
      </c>
      <c r="AC455" s="8">
        <v>15900</v>
      </c>
      <c r="AD455" s="8">
        <v>240000</v>
      </c>
      <c r="AE455" s="8">
        <v>51800</v>
      </c>
      <c r="AF455" s="7">
        <v>36200</v>
      </c>
      <c r="AG455" s="7">
        <v>89700</v>
      </c>
      <c r="AH455" s="7">
        <v>68400</v>
      </c>
      <c r="AI455" s="7">
        <v>55000</v>
      </c>
      <c r="AJ455" s="7">
        <v>20450</v>
      </c>
      <c r="AK455" s="8">
        <v>26800</v>
      </c>
      <c r="AL455" s="8">
        <v>207500</v>
      </c>
      <c r="AM455" s="8">
        <v>338500</v>
      </c>
      <c r="AN455" s="8">
        <v>29000</v>
      </c>
      <c r="AO455" s="8">
        <v>10800</v>
      </c>
      <c r="AP455" s="7">
        <v>469000</v>
      </c>
      <c r="AQ455" s="7">
        <v>380000</v>
      </c>
      <c r="AR455" s="7">
        <v>11500</v>
      </c>
      <c r="AS455" s="7">
        <v>43800</v>
      </c>
      <c r="AT455" s="7">
        <v>63425</v>
      </c>
      <c r="AU455" s="8">
        <v>202000</v>
      </c>
      <c r="AV455" s="8">
        <v>36550</v>
      </c>
      <c r="AW455" s="8">
        <v>6270</v>
      </c>
      <c r="AX455" s="8">
        <v>168500</v>
      </c>
      <c r="AY455" s="8">
        <v>43400</v>
      </c>
    </row>
    <row r="456" spans="1:51" x14ac:dyDescent="0.4">
      <c r="A456" s="11">
        <v>40786</v>
      </c>
      <c r="B456" s="7">
        <v>70600</v>
      </c>
      <c r="C456" s="7">
        <v>19100</v>
      </c>
      <c r="D456" s="7">
        <v>71000</v>
      </c>
      <c r="E456" s="7">
        <v>230000</v>
      </c>
      <c r="F456" s="7">
        <v>76400</v>
      </c>
      <c r="G456" s="8">
        <v>58100</v>
      </c>
      <c r="H456" s="8">
        <v>62700</v>
      </c>
      <c r="I456" s="8">
        <v>164500</v>
      </c>
      <c r="J456" s="8">
        <v>108500</v>
      </c>
      <c r="K456" s="8">
        <v>203000</v>
      </c>
      <c r="L456" s="7">
        <v>404500</v>
      </c>
      <c r="M456" s="7">
        <v>744000</v>
      </c>
      <c r="N456" s="7">
        <v>104000</v>
      </c>
      <c r="O456" s="7">
        <v>140000</v>
      </c>
      <c r="P456" s="7">
        <v>67500</v>
      </c>
      <c r="Q456" s="8">
        <v>346500</v>
      </c>
      <c r="R456" s="8">
        <v>310500</v>
      </c>
      <c r="S456" s="8">
        <v>420000</v>
      </c>
      <c r="T456" s="8">
        <v>34750</v>
      </c>
      <c r="U456" s="8">
        <v>122000</v>
      </c>
      <c r="V456" s="7">
        <v>357000</v>
      </c>
      <c r="W456" s="7">
        <v>26687</v>
      </c>
      <c r="X456" s="7">
        <v>337000</v>
      </c>
      <c r="Y456" s="7">
        <v>22550</v>
      </c>
      <c r="Z456" s="7">
        <v>61979</v>
      </c>
      <c r="AA456" s="8">
        <v>155000</v>
      </c>
      <c r="AB456" s="8">
        <v>436500</v>
      </c>
      <c r="AC456" s="8">
        <v>16000</v>
      </c>
      <c r="AD456" s="8">
        <v>241000</v>
      </c>
      <c r="AE456" s="8">
        <v>51600</v>
      </c>
      <c r="AF456" s="7">
        <v>36750</v>
      </c>
      <c r="AG456" s="7">
        <v>85000</v>
      </c>
      <c r="AH456" s="7">
        <v>68800</v>
      </c>
      <c r="AI456" s="7">
        <v>54800</v>
      </c>
      <c r="AJ456" s="7">
        <v>20900</v>
      </c>
      <c r="AK456" s="8">
        <v>27900</v>
      </c>
      <c r="AL456" s="8">
        <v>208000</v>
      </c>
      <c r="AM456" s="8">
        <v>349500</v>
      </c>
      <c r="AN456" s="8">
        <v>29000</v>
      </c>
      <c r="AO456" s="8">
        <v>11100</v>
      </c>
      <c r="AP456" s="7">
        <v>470000</v>
      </c>
      <c r="AQ456" s="7">
        <v>378500</v>
      </c>
      <c r="AR456" s="7">
        <v>11850</v>
      </c>
      <c r="AS456" s="7">
        <v>44900</v>
      </c>
      <c r="AT456" s="7">
        <v>65086</v>
      </c>
      <c r="AU456" s="8">
        <v>194500</v>
      </c>
      <c r="AV456" s="8">
        <v>35950</v>
      </c>
      <c r="AW456" s="8">
        <v>6280</v>
      </c>
      <c r="AX456" s="8">
        <v>169000</v>
      </c>
      <c r="AY456" s="8">
        <v>44100</v>
      </c>
    </row>
    <row r="457" spans="1:51" x14ac:dyDescent="0.4">
      <c r="A457" s="11">
        <v>40785</v>
      </c>
      <c r="B457" s="7">
        <v>68900</v>
      </c>
      <c r="C457" s="7">
        <v>19000</v>
      </c>
      <c r="D457" s="7">
        <v>69600</v>
      </c>
      <c r="E457" s="7">
        <v>213500</v>
      </c>
      <c r="F457" s="7">
        <v>73900</v>
      </c>
      <c r="G457" s="8">
        <v>57700</v>
      </c>
      <c r="H457" s="8">
        <v>61100</v>
      </c>
      <c r="I457" s="8">
        <v>157500</v>
      </c>
      <c r="J457" s="8">
        <v>105000</v>
      </c>
      <c r="K457" s="8">
        <v>196500</v>
      </c>
      <c r="L457" s="7">
        <v>401000</v>
      </c>
      <c r="M457" s="7">
        <v>742000</v>
      </c>
      <c r="N457" s="7">
        <v>103000</v>
      </c>
      <c r="O457" s="7">
        <v>138500</v>
      </c>
      <c r="P457" s="7">
        <v>67500</v>
      </c>
      <c r="Q457" s="8">
        <v>346000</v>
      </c>
      <c r="R457" s="8">
        <v>315500</v>
      </c>
      <c r="S457" s="8">
        <v>405500</v>
      </c>
      <c r="T457" s="8">
        <v>34350</v>
      </c>
      <c r="U457" s="8">
        <v>117500</v>
      </c>
      <c r="V457" s="7">
        <v>347000</v>
      </c>
      <c r="W457" s="7">
        <v>26293</v>
      </c>
      <c r="X457" s="7">
        <v>324500</v>
      </c>
      <c r="Y457" s="7">
        <v>22450</v>
      </c>
      <c r="Z457" s="7">
        <v>60904</v>
      </c>
      <c r="AA457" s="8">
        <v>152000</v>
      </c>
      <c r="AB457" s="8">
        <v>430000</v>
      </c>
      <c r="AC457" s="8">
        <v>15750</v>
      </c>
      <c r="AD457" s="8">
        <v>237000</v>
      </c>
      <c r="AE457" s="8">
        <v>50900</v>
      </c>
      <c r="AF457" s="7">
        <v>36700</v>
      </c>
      <c r="AG457" s="7">
        <v>84200</v>
      </c>
      <c r="AH457" s="7">
        <v>67400</v>
      </c>
      <c r="AI457" s="7">
        <v>54800</v>
      </c>
      <c r="AJ457" s="7">
        <v>20600</v>
      </c>
      <c r="AK457" s="8">
        <v>27350</v>
      </c>
      <c r="AL457" s="8">
        <v>195000</v>
      </c>
      <c r="AM457" s="8">
        <v>340000</v>
      </c>
      <c r="AN457" s="8">
        <v>28700</v>
      </c>
      <c r="AO457" s="8">
        <v>10850</v>
      </c>
      <c r="AP457" s="7">
        <v>466000</v>
      </c>
      <c r="AQ457" s="7">
        <v>369000</v>
      </c>
      <c r="AR457" s="7">
        <v>11800</v>
      </c>
      <c r="AS457" s="7">
        <v>44050</v>
      </c>
      <c r="AT457" s="7">
        <v>62545</v>
      </c>
      <c r="AU457" s="8">
        <v>187000</v>
      </c>
      <c r="AV457" s="8">
        <v>35500</v>
      </c>
      <c r="AW457" s="8">
        <v>6250</v>
      </c>
      <c r="AX457" s="8">
        <v>164500</v>
      </c>
      <c r="AY457" s="8">
        <v>43300</v>
      </c>
    </row>
    <row r="458" spans="1:51" x14ac:dyDescent="0.4">
      <c r="A458" s="11">
        <v>40784</v>
      </c>
      <c r="B458" s="7">
        <v>68300</v>
      </c>
      <c r="C458" s="7">
        <v>19450</v>
      </c>
      <c r="D458" s="7">
        <v>69100</v>
      </c>
      <c r="E458" s="7">
        <v>213000</v>
      </c>
      <c r="F458" s="7">
        <v>73500</v>
      </c>
      <c r="G458" s="8">
        <v>57900</v>
      </c>
      <c r="H458" s="8">
        <v>62000</v>
      </c>
      <c r="I458" s="8">
        <v>156500</v>
      </c>
      <c r="J458" s="8">
        <v>103000</v>
      </c>
      <c r="K458" s="8">
        <v>195000</v>
      </c>
      <c r="L458" s="7">
        <v>394500</v>
      </c>
      <c r="M458" s="7">
        <v>733000</v>
      </c>
      <c r="N458" s="7">
        <v>102500</v>
      </c>
      <c r="O458" s="7">
        <v>141500</v>
      </c>
      <c r="P458" s="7">
        <v>65700</v>
      </c>
      <c r="Q458" s="8">
        <v>349000</v>
      </c>
      <c r="R458" s="8">
        <v>325000</v>
      </c>
      <c r="S458" s="8">
        <v>417500</v>
      </c>
      <c r="T458" s="8">
        <v>34100</v>
      </c>
      <c r="U458" s="8">
        <v>121000</v>
      </c>
      <c r="V458" s="7">
        <v>351500</v>
      </c>
      <c r="W458" s="7">
        <v>25555</v>
      </c>
      <c r="X458" s="7">
        <v>317500</v>
      </c>
      <c r="Y458" s="7">
        <v>22500</v>
      </c>
      <c r="Z458" s="7">
        <v>60904</v>
      </c>
      <c r="AA458" s="8">
        <v>150000</v>
      </c>
      <c r="AB458" s="8">
        <v>418500</v>
      </c>
      <c r="AC458" s="8">
        <v>15700</v>
      </c>
      <c r="AD458" s="8">
        <v>239500</v>
      </c>
      <c r="AE458" s="8">
        <v>49850</v>
      </c>
      <c r="AF458" s="7">
        <v>37000</v>
      </c>
      <c r="AG458" s="7">
        <v>84000</v>
      </c>
      <c r="AH458" s="7">
        <v>69300</v>
      </c>
      <c r="AI458" s="7">
        <v>55300</v>
      </c>
      <c r="AJ458" s="7">
        <v>21100</v>
      </c>
      <c r="AK458" s="8">
        <v>27350</v>
      </c>
      <c r="AL458" s="8">
        <v>190000</v>
      </c>
      <c r="AM458" s="8">
        <v>331000</v>
      </c>
      <c r="AN458" s="8">
        <v>28350</v>
      </c>
      <c r="AO458" s="8">
        <v>10800</v>
      </c>
      <c r="AP458" s="7">
        <v>451000</v>
      </c>
      <c r="AQ458" s="7">
        <v>375500</v>
      </c>
      <c r="AR458" s="7">
        <v>11400</v>
      </c>
      <c r="AS458" s="7">
        <v>43500</v>
      </c>
      <c r="AT458" s="7">
        <v>60102</v>
      </c>
      <c r="AU458" s="8">
        <v>186500</v>
      </c>
      <c r="AV458" s="8">
        <v>34850</v>
      </c>
      <c r="AW458" s="8">
        <v>6190</v>
      </c>
      <c r="AX458" s="8">
        <v>165500</v>
      </c>
      <c r="AY458" s="8">
        <v>42100</v>
      </c>
    </row>
    <row r="459" spans="1:51" x14ac:dyDescent="0.4">
      <c r="A459" s="12">
        <v>40781</v>
      </c>
      <c r="B459" s="9">
        <v>67000</v>
      </c>
      <c r="C459" s="9">
        <v>17950</v>
      </c>
      <c r="D459" s="9">
        <v>68500</v>
      </c>
      <c r="E459" s="9">
        <v>217500</v>
      </c>
      <c r="F459" s="9">
        <v>72000</v>
      </c>
      <c r="G459" s="10">
        <v>56200</v>
      </c>
      <c r="H459" s="10">
        <v>57200</v>
      </c>
      <c r="I459" s="10">
        <v>145000</v>
      </c>
      <c r="J459" s="10">
        <v>99000</v>
      </c>
      <c r="K459" s="10">
        <v>192500</v>
      </c>
      <c r="L459" s="9">
        <v>385500</v>
      </c>
      <c r="M459" s="9">
        <v>726000</v>
      </c>
      <c r="N459" s="9">
        <v>100000</v>
      </c>
      <c r="O459" s="9">
        <v>131000</v>
      </c>
      <c r="P459" s="9">
        <v>62800</v>
      </c>
      <c r="Q459" s="10">
        <v>320000</v>
      </c>
      <c r="R459" s="10">
        <v>303000</v>
      </c>
      <c r="S459" s="10">
        <v>396000</v>
      </c>
      <c r="T459" s="10">
        <v>32400</v>
      </c>
      <c r="U459" s="10">
        <v>113500</v>
      </c>
      <c r="V459" s="9">
        <v>318500</v>
      </c>
      <c r="W459" s="9">
        <v>24668</v>
      </c>
      <c r="X459" s="9">
        <v>307500</v>
      </c>
      <c r="Y459" s="9">
        <v>22400</v>
      </c>
      <c r="Z459" s="9">
        <v>57678</v>
      </c>
      <c r="AA459" s="10">
        <v>144500</v>
      </c>
      <c r="AB459" s="10">
        <v>410000</v>
      </c>
      <c r="AC459" s="10">
        <v>15350</v>
      </c>
      <c r="AD459" s="10">
        <v>233500</v>
      </c>
      <c r="AE459" s="10">
        <v>50400</v>
      </c>
      <c r="AF459" s="9">
        <v>35650</v>
      </c>
      <c r="AG459" s="9">
        <v>84000</v>
      </c>
      <c r="AH459" s="9">
        <v>68500</v>
      </c>
      <c r="AI459" s="9">
        <v>52900</v>
      </c>
      <c r="AJ459" s="9">
        <v>20000</v>
      </c>
      <c r="AK459" s="10">
        <v>26500</v>
      </c>
      <c r="AL459" s="10">
        <v>193000</v>
      </c>
      <c r="AM459" s="10">
        <v>325000</v>
      </c>
      <c r="AN459" s="10">
        <v>26450</v>
      </c>
      <c r="AO459" s="10">
        <v>10900</v>
      </c>
      <c r="AP459" s="9">
        <v>437500</v>
      </c>
      <c r="AQ459" s="9">
        <v>358000</v>
      </c>
      <c r="AR459" s="9">
        <v>11150</v>
      </c>
      <c r="AS459" s="9">
        <v>42950</v>
      </c>
      <c r="AT459" s="9">
        <v>56193</v>
      </c>
      <c r="AU459" s="10">
        <v>190000</v>
      </c>
      <c r="AV459" s="10">
        <v>33500</v>
      </c>
      <c r="AW459" s="10">
        <v>6120</v>
      </c>
      <c r="AX459" s="10">
        <v>154500</v>
      </c>
      <c r="AY459" s="10">
        <v>41400</v>
      </c>
    </row>
    <row r="460" spans="1:51" x14ac:dyDescent="0.4">
      <c r="A460" s="11">
        <v>40780</v>
      </c>
      <c r="B460" s="7">
        <v>65200</v>
      </c>
      <c r="C460" s="7">
        <v>17300</v>
      </c>
      <c r="D460" s="7">
        <v>67900</v>
      </c>
      <c r="E460" s="7">
        <v>213500</v>
      </c>
      <c r="F460" s="7">
        <v>71500</v>
      </c>
      <c r="G460" s="8">
        <v>55400</v>
      </c>
      <c r="H460" s="8">
        <v>56000</v>
      </c>
      <c r="I460" s="8">
        <v>141000</v>
      </c>
      <c r="J460" s="8">
        <v>99000</v>
      </c>
      <c r="K460" s="8">
        <v>188500</v>
      </c>
      <c r="L460" s="7">
        <v>387000</v>
      </c>
      <c r="M460" s="7">
        <v>725000</v>
      </c>
      <c r="N460" s="7">
        <v>101000</v>
      </c>
      <c r="O460" s="7">
        <v>130500</v>
      </c>
      <c r="P460" s="7">
        <v>63000</v>
      </c>
      <c r="Q460" s="8">
        <v>313500</v>
      </c>
      <c r="R460" s="8">
        <v>283500</v>
      </c>
      <c r="S460" s="8">
        <v>411000</v>
      </c>
      <c r="T460" s="8">
        <v>32350</v>
      </c>
      <c r="U460" s="8">
        <v>109000</v>
      </c>
      <c r="V460" s="7">
        <v>313000</v>
      </c>
      <c r="W460" s="7">
        <v>24767</v>
      </c>
      <c r="X460" s="7">
        <v>293500</v>
      </c>
      <c r="Y460" s="7">
        <v>22150</v>
      </c>
      <c r="Z460" s="7">
        <v>56993</v>
      </c>
      <c r="AA460" s="8">
        <v>152500</v>
      </c>
      <c r="AB460" s="8">
        <v>423000</v>
      </c>
      <c r="AC460" s="8">
        <v>14650</v>
      </c>
      <c r="AD460" s="8">
        <v>229000</v>
      </c>
      <c r="AE460" s="8">
        <v>50300</v>
      </c>
      <c r="AF460" s="7">
        <v>36800</v>
      </c>
      <c r="AG460" s="7">
        <v>84100</v>
      </c>
      <c r="AH460" s="7">
        <v>69800</v>
      </c>
      <c r="AI460" s="7">
        <v>52500</v>
      </c>
      <c r="AJ460" s="7">
        <v>19550</v>
      </c>
      <c r="AK460" s="8">
        <v>26050</v>
      </c>
      <c r="AL460" s="8">
        <v>198000</v>
      </c>
      <c r="AM460" s="8">
        <v>326000</v>
      </c>
      <c r="AN460" s="8">
        <v>26050</v>
      </c>
      <c r="AO460" s="8">
        <v>10550</v>
      </c>
      <c r="AP460" s="7">
        <v>453500</v>
      </c>
      <c r="AQ460" s="7">
        <v>347500</v>
      </c>
      <c r="AR460" s="7">
        <v>11100</v>
      </c>
      <c r="AS460" s="7">
        <v>42200</v>
      </c>
      <c r="AT460" s="7">
        <v>54434</v>
      </c>
      <c r="AU460" s="8">
        <v>194000</v>
      </c>
      <c r="AV460" s="8">
        <v>32800</v>
      </c>
      <c r="AW460" s="8">
        <v>6200</v>
      </c>
      <c r="AX460" s="8">
        <v>148000</v>
      </c>
      <c r="AY460" s="8">
        <v>40700</v>
      </c>
    </row>
    <row r="461" spans="1:51" x14ac:dyDescent="0.4">
      <c r="A461" s="11">
        <v>40779</v>
      </c>
      <c r="B461" s="7">
        <v>64000</v>
      </c>
      <c r="C461" s="7">
        <v>16250</v>
      </c>
      <c r="D461" s="7">
        <v>67900</v>
      </c>
      <c r="E461" s="7">
        <v>207000</v>
      </c>
      <c r="F461" s="7">
        <v>70200</v>
      </c>
      <c r="G461" s="8">
        <v>56400</v>
      </c>
      <c r="H461" s="8">
        <v>53800</v>
      </c>
      <c r="I461" s="8">
        <v>139000</v>
      </c>
      <c r="J461" s="8">
        <v>97200</v>
      </c>
      <c r="K461" s="8">
        <v>180500</v>
      </c>
      <c r="L461" s="7">
        <v>382500</v>
      </c>
      <c r="M461" s="7">
        <v>708000</v>
      </c>
      <c r="N461" s="7">
        <v>102000</v>
      </c>
      <c r="O461" s="7">
        <v>131500</v>
      </c>
      <c r="P461" s="7">
        <v>62200</v>
      </c>
      <c r="Q461" s="8">
        <v>303500</v>
      </c>
      <c r="R461" s="8">
        <v>287500</v>
      </c>
      <c r="S461" s="8">
        <v>430000</v>
      </c>
      <c r="T461" s="8">
        <v>30850</v>
      </c>
      <c r="U461" s="8">
        <v>106000</v>
      </c>
      <c r="V461" s="7">
        <v>323000</v>
      </c>
      <c r="W461" s="7">
        <v>25111</v>
      </c>
      <c r="X461" s="7">
        <v>293500</v>
      </c>
      <c r="Y461" s="7">
        <v>22000</v>
      </c>
      <c r="Z461" s="7">
        <v>57287</v>
      </c>
      <c r="AA461" s="8">
        <v>151500</v>
      </c>
      <c r="AB461" s="8">
        <v>437500</v>
      </c>
      <c r="AC461" s="8">
        <v>14500</v>
      </c>
      <c r="AD461" s="8">
        <v>233000</v>
      </c>
      <c r="AE461" s="8">
        <v>49550</v>
      </c>
      <c r="AF461" s="7">
        <v>37400</v>
      </c>
      <c r="AG461" s="7">
        <v>85200</v>
      </c>
      <c r="AH461" s="7">
        <v>70100</v>
      </c>
      <c r="AI461" s="7">
        <v>52000</v>
      </c>
      <c r="AJ461" s="7">
        <v>19350</v>
      </c>
      <c r="AK461" s="8">
        <v>27450</v>
      </c>
      <c r="AL461" s="8">
        <v>200000</v>
      </c>
      <c r="AM461" s="8">
        <v>337000</v>
      </c>
      <c r="AN461" s="8">
        <v>25350</v>
      </c>
      <c r="AO461" s="8">
        <v>11100</v>
      </c>
      <c r="AP461" s="7">
        <v>448500</v>
      </c>
      <c r="AQ461" s="7">
        <v>341500</v>
      </c>
      <c r="AR461" s="7">
        <v>11200</v>
      </c>
      <c r="AS461" s="7">
        <v>42800</v>
      </c>
      <c r="AT461" s="7">
        <v>53750</v>
      </c>
      <c r="AU461" s="8">
        <v>189000</v>
      </c>
      <c r="AV461" s="8">
        <v>32100</v>
      </c>
      <c r="AW461" s="8">
        <v>6350</v>
      </c>
      <c r="AX461" s="8">
        <v>146000</v>
      </c>
      <c r="AY461" s="8">
        <v>40700</v>
      </c>
    </row>
    <row r="462" spans="1:51" x14ac:dyDescent="0.4">
      <c r="A462" s="11">
        <v>40778</v>
      </c>
      <c r="B462" s="7">
        <v>64500</v>
      </c>
      <c r="C462" s="7">
        <v>17050</v>
      </c>
      <c r="D462" s="7">
        <v>66000</v>
      </c>
      <c r="E462" s="7">
        <v>209000</v>
      </c>
      <c r="F462" s="7">
        <v>71100</v>
      </c>
      <c r="G462" s="8">
        <v>57600</v>
      </c>
      <c r="H462" s="8">
        <v>54200</v>
      </c>
      <c r="I462" s="8">
        <v>143000</v>
      </c>
      <c r="J462" s="8">
        <v>98000</v>
      </c>
      <c r="K462" s="8">
        <v>178000</v>
      </c>
      <c r="L462" s="7">
        <v>391000</v>
      </c>
      <c r="M462" s="7">
        <v>723000</v>
      </c>
      <c r="N462" s="7">
        <v>101500</v>
      </c>
      <c r="O462" s="7">
        <v>141000</v>
      </c>
      <c r="P462" s="7">
        <v>62600</v>
      </c>
      <c r="Q462" s="8">
        <v>308000</v>
      </c>
      <c r="R462" s="8">
        <v>283000</v>
      </c>
      <c r="S462" s="8">
        <v>427000</v>
      </c>
      <c r="T462" s="8">
        <v>30700</v>
      </c>
      <c r="U462" s="8">
        <v>107500</v>
      </c>
      <c r="V462" s="7">
        <v>322500</v>
      </c>
      <c r="W462" s="7">
        <v>25702</v>
      </c>
      <c r="X462" s="7">
        <v>292000</v>
      </c>
      <c r="Y462" s="7">
        <v>22450</v>
      </c>
      <c r="Z462" s="7">
        <v>59437</v>
      </c>
      <c r="AA462" s="8">
        <v>157500</v>
      </c>
      <c r="AB462" s="8">
        <v>438000</v>
      </c>
      <c r="AC462" s="8">
        <v>15100</v>
      </c>
      <c r="AD462" s="8">
        <v>223000</v>
      </c>
      <c r="AE462" s="8">
        <v>50000</v>
      </c>
      <c r="AF462" s="7">
        <v>38350</v>
      </c>
      <c r="AG462" s="7">
        <v>87100</v>
      </c>
      <c r="AH462" s="7">
        <v>68200</v>
      </c>
      <c r="AI462" s="7">
        <v>52800</v>
      </c>
      <c r="AJ462" s="7">
        <v>19850</v>
      </c>
      <c r="AK462" s="8">
        <v>27450</v>
      </c>
      <c r="AL462" s="8">
        <v>194000</v>
      </c>
      <c r="AM462" s="8">
        <v>333500</v>
      </c>
      <c r="AN462" s="8">
        <v>25350</v>
      </c>
      <c r="AO462" s="8">
        <v>10600</v>
      </c>
      <c r="AP462" s="7">
        <v>464500</v>
      </c>
      <c r="AQ462" s="7">
        <v>343000</v>
      </c>
      <c r="AR462" s="7">
        <v>11500</v>
      </c>
      <c r="AS462" s="7">
        <v>45000</v>
      </c>
      <c r="AT462" s="7">
        <v>54825</v>
      </c>
      <c r="AU462" s="8">
        <v>185500</v>
      </c>
      <c r="AV462" s="8">
        <v>33000</v>
      </c>
      <c r="AW462" s="8">
        <v>6570</v>
      </c>
      <c r="AX462" s="8">
        <v>147000</v>
      </c>
      <c r="AY462" s="8">
        <v>42450</v>
      </c>
    </row>
    <row r="463" spans="1:51" x14ac:dyDescent="0.4">
      <c r="A463" s="11">
        <v>40777</v>
      </c>
      <c r="B463" s="7">
        <v>59000</v>
      </c>
      <c r="C463" s="7">
        <v>15750</v>
      </c>
      <c r="D463" s="7">
        <v>60100</v>
      </c>
      <c r="E463" s="7">
        <v>216000</v>
      </c>
      <c r="F463" s="7">
        <v>69900</v>
      </c>
      <c r="G463" s="8">
        <v>55700</v>
      </c>
      <c r="H463" s="8">
        <v>51400</v>
      </c>
      <c r="I463" s="8">
        <v>128500</v>
      </c>
      <c r="J463" s="8">
        <v>90300</v>
      </c>
      <c r="K463" s="8">
        <v>161500</v>
      </c>
      <c r="L463" s="7">
        <v>387500</v>
      </c>
      <c r="M463" s="7">
        <v>691000</v>
      </c>
      <c r="N463" s="7">
        <v>96500</v>
      </c>
      <c r="O463" s="7">
        <v>133000</v>
      </c>
      <c r="P463" s="7">
        <v>59500</v>
      </c>
      <c r="Q463" s="8">
        <v>290500</v>
      </c>
      <c r="R463" s="8">
        <v>251000</v>
      </c>
      <c r="S463" s="8">
        <v>408000</v>
      </c>
      <c r="T463" s="8">
        <v>29150</v>
      </c>
      <c r="U463" s="8">
        <v>94500</v>
      </c>
      <c r="V463" s="7">
        <v>300500</v>
      </c>
      <c r="W463" s="7">
        <v>25259</v>
      </c>
      <c r="X463" s="7">
        <v>270000</v>
      </c>
      <c r="Y463" s="7">
        <v>22300</v>
      </c>
      <c r="Z463" s="7">
        <v>57091</v>
      </c>
      <c r="AA463" s="8">
        <v>152500</v>
      </c>
      <c r="AB463" s="8">
        <v>445000</v>
      </c>
      <c r="AC463" s="8">
        <v>14600</v>
      </c>
      <c r="AD463" s="8">
        <v>215500</v>
      </c>
      <c r="AE463" s="8">
        <v>50900</v>
      </c>
      <c r="AF463" s="7">
        <v>38100</v>
      </c>
      <c r="AG463" s="7">
        <v>86800</v>
      </c>
      <c r="AH463" s="7">
        <v>70200</v>
      </c>
      <c r="AI463" s="7">
        <v>50700</v>
      </c>
      <c r="AJ463" s="7">
        <v>18950</v>
      </c>
      <c r="AK463" s="8">
        <v>29000</v>
      </c>
      <c r="AL463" s="8">
        <v>191000</v>
      </c>
      <c r="AM463" s="8">
        <v>323500</v>
      </c>
      <c r="AN463" s="8">
        <v>23500</v>
      </c>
      <c r="AO463" s="8">
        <v>9670</v>
      </c>
      <c r="AP463" s="7">
        <v>470000</v>
      </c>
      <c r="AQ463" s="7">
        <v>302500</v>
      </c>
      <c r="AR463" s="7">
        <v>11300</v>
      </c>
      <c r="AS463" s="7">
        <v>45900</v>
      </c>
      <c r="AT463" s="7">
        <v>53359</v>
      </c>
      <c r="AU463" s="8">
        <v>184000</v>
      </c>
      <c r="AV463" s="8">
        <v>32350</v>
      </c>
      <c r="AW463" s="8">
        <v>6220</v>
      </c>
      <c r="AX463" s="8">
        <v>132000</v>
      </c>
      <c r="AY463" s="8">
        <v>42200</v>
      </c>
    </row>
    <row r="464" spans="1:51" x14ac:dyDescent="0.4">
      <c r="A464" s="12">
        <v>40774</v>
      </c>
      <c r="B464" s="9">
        <v>62500</v>
      </c>
      <c r="C464" s="9">
        <v>15600</v>
      </c>
      <c r="D464" s="9">
        <v>62800</v>
      </c>
      <c r="E464" s="9">
        <v>215500</v>
      </c>
      <c r="F464" s="9">
        <v>71300</v>
      </c>
      <c r="G464" s="10">
        <v>55200</v>
      </c>
      <c r="H464" s="10">
        <v>51200</v>
      </c>
      <c r="I464" s="10">
        <v>135500</v>
      </c>
      <c r="J464" s="10">
        <v>96400</v>
      </c>
      <c r="K464" s="10">
        <v>170500</v>
      </c>
      <c r="L464" s="9">
        <v>382000</v>
      </c>
      <c r="M464" s="9">
        <v>680000</v>
      </c>
      <c r="N464" s="9">
        <v>98800</v>
      </c>
      <c r="O464" s="9">
        <v>139000</v>
      </c>
      <c r="P464" s="9">
        <v>60000</v>
      </c>
      <c r="Q464" s="10">
        <v>304000</v>
      </c>
      <c r="R464" s="10">
        <v>247000</v>
      </c>
      <c r="S464" s="10">
        <v>431000</v>
      </c>
      <c r="T464" s="10">
        <v>30050</v>
      </c>
      <c r="U464" s="10">
        <v>103000</v>
      </c>
      <c r="V464" s="9">
        <v>353000</v>
      </c>
      <c r="W464" s="9">
        <v>24619</v>
      </c>
      <c r="X464" s="9">
        <v>288500</v>
      </c>
      <c r="Y464" s="9">
        <v>20850</v>
      </c>
      <c r="Z464" s="9">
        <v>58655</v>
      </c>
      <c r="AA464" s="10">
        <v>151500</v>
      </c>
      <c r="AB464" s="10">
        <v>470000</v>
      </c>
      <c r="AC464" s="10">
        <v>14450</v>
      </c>
      <c r="AD464" s="10">
        <v>225000</v>
      </c>
      <c r="AE464" s="10">
        <v>50900</v>
      </c>
      <c r="AF464" s="9">
        <v>38300</v>
      </c>
      <c r="AG464" s="9">
        <v>85600</v>
      </c>
      <c r="AH464" s="9">
        <v>71000</v>
      </c>
      <c r="AI464" s="9">
        <v>50400</v>
      </c>
      <c r="AJ464" s="9">
        <v>18500</v>
      </c>
      <c r="AK464" s="10">
        <v>29450</v>
      </c>
      <c r="AL464" s="10">
        <v>186500</v>
      </c>
      <c r="AM464" s="10">
        <v>350000</v>
      </c>
      <c r="AN464" s="10">
        <v>24700</v>
      </c>
      <c r="AO464" s="10">
        <v>9660</v>
      </c>
      <c r="AP464" s="9">
        <v>480000</v>
      </c>
      <c r="AQ464" s="9">
        <v>313500</v>
      </c>
      <c r="AR464" s="9">
        <v>11200</v>
      </c>
      <c r="AS464" s="9">
        <v>45200</v>
      </c>
      <c r="AT464" s="9">
        <v>53750</v>
      </c>
      <c r="AU464" s="10">
        <v>192000</v>
      </c>
      <c r="AV464" s="10">
        <v>32350</v>
      </c>
      <c r="AW464" s="10">
        <v>6120</v>
      </c>
      <c r="AX464" s="10">
        <v>143000</v>
      </c>
      <c r="AY464" s="10">
        <v>41350</v>
      </c>
    </row>
    <row r="465" spans="1:51" x14ac:dyDescent="0.4">
      <c r="A465" s="11">
        <v>40773</v>
      </c>
      <c r="B465" s="7">
        <v>67600</v>
      </c>
      <c r="C465" s="7">
        <v>17200</v>
      </c>
      <c r="D465" s="7">
        <v>69600</v>
      </c>
      <c r="E465" s="7">
        <v>224000</v>
      </c>
      <c r="F465" s="7">
        <v>75000</v>
      </c>
      <c r="G465" s="8">
        <v>59000</v>
      </c>
      <c r="H465" s="8">
        <v>57000</v>
      </c>
      <c r="I465" s="8">
        <v>148000</v>
      </c>
      <c r="J465" s="8">
        <v>106500</v>
      </c>
      <c r="K465" s="8">
        <v>191500</v>
      </c>
      <c r="L465" s="7">
        <v>398500</v>
      </c>
      <c r="M465" s="7">
        <v>709000</v>
      </c>
      <c r="N465" s="7">
        <v>104500</v>
      </c>
      <c r="O465" s="7">
        <v>158000</v>
      </c>
      <c r="P465" s="7">
        <v>66600</v>
      </c>
      <c r="Q465" s="8">
        <v>341000</v>
      </c>
      <c r="R465" s="8">
        <v>288000</v>
      </c>
      <c r="S465" s="8">
        <v>441000</v>
      </c>
      <c r="T465" s="8">
        <v>33800</v>
      </c>
      <c r="U465" s="8">
        <v>119500</v>
      </c>
      <c r="V465" s="7">
        <v>383000</v>
      </c>
      <c r="W465" s="7">
        <v>24914</v>
      </c>
      <c r="X465" s="7">
        <v>333500</v>
      </c>
      <c r="Y465" s="7">
        <v>21000</v>
      </c>
      <c r="Z465" s="7">
        <v>64130</v>
      </c>
      <c r="AA465" s="8">
        <v>156000</v>
      </c>
      <c r="AB465" s="8">
        <v>485000</v>
      </c>
      <c r="AC465" s="8">
        <v>15600</v>
      </c>
      <c r="AD465" s="8">
        <v>237500</v>
      </c>
      <c r="AE465" s="8">
        <v>51900</v>
      </c>
      <c r="AF465" s="7">
        <v>38750</v>
      </c>
      <c r="AG465" s="7">
        <v>87200</v>
      </c>
      <c r="AH465" s="7">
        <v>68900</v>
      </c>
      <c r="AI465" s="7">
        <v>53600</v>
      </c>
      <c r="AJ465" s="7">
        <v>19350</v>
      </c>
      <c r="AK465" s="8">
        <v>29100</v>
      </c>
      <c r="AL465" s="8">
        <v>190500</v>
      </c>
      <c r="AM465" s="8">
        <v>357000</v>
      </c>
      <c r="AN465" s="8">
        <v>28700</v>
      </c>
      <c r="AO465" s="8">
        <v>10050</v>
      </c>
      <c r="AP465" s="7">
        <v>500000</v>
      </c>
      <c r="AQ465" s="7">
        <v>367500</v>
      </c>
      <c r="AR465" s="7">
        <v>12150</v>
      </c>
      <c r="AS465" s="7">
        <v>46500</v>
      </c>
      <c r="AT465" s="7">
        <v>57073</v>
      </c>
      <c r="AU465" s="8">
        <v>197500</v>
      </c>
      <c r="AV465" s="8">
        <v>34000</v>
      </c>
      <c r="AW465" s="8">
        <v>6130</v>
      </c>
      <c r="AX465" s="8">
        <v>165000</v>
      </c>
      <c r="AY465" s="8">
        <v>43250</v>
      </c>
    </row>
    <row r="466" spans="1:51" x14ac:dyDescent="0.4">
      <c r="A466" s="11">
        <v>40772</v>
      </c>
      <c r="B466" s="7">
        <v>69800</v>
      </c>
      <c r="C466" s="7">
        <v>19600</v>
      </c>
      <c r="D466" s="7">
        <v>70800</v>
      </c>
      <c r="E466" s="7">
        <v>221500</v>
      </c>
      <c r="F466" s="7">
        <v>73500</v>
      </c>
      <c r="G466" s="8">
        <v>61800</v>
      </c>
      <c r="H466" s="8">
        <v>61700</v>
      </c>
      <c r="I466" s="8">
        <v>143000</v>
      </c>
      <c r="J466" s="8">
        <v>115000</v>
      </c>
      <c r="K466" s="8">
        <v>200500</v>
      </c>
      <c r="L466" s="7">
        <v>410000</v>
      </c>
      <c r="M466" s="7">
        <v>752000</v>
      </c>
      <c r="N466" s="7">
        <v>103500</v>
      </c>
      <c r="O466" s="7">
        <v>161000</v>
      </c>
      <c r="P466" s="7">
        <v>70400</v>
      </c>
      <c r="Q466" s="8">
        <v>364500</v>
      </c>
      <c r="R466" s="8">
        <v>313000</v>
      </c>
      <c r="S466" s="8">
        <v>423000</v>
      </c>
      <c r="T466" s="8">
        <v>35900</v>
      </c>
      <c r="U466" s="8">
        <v>122000</v>
      </c>
      <c r="V466" s="7">
        <v>387000</v>
      </c>
      <c r="W466" s="7">
        <v>25899</v>
      </c>
      <c r="X466" s="7">
        <v>337500</v>
      </c>
      <c r="Y466" s="7">
        <v>21650</v>
      </c>
      <c r="Z466" s="7">
        <v>66378</v>
      </c>
      <c r="AA466" s="8">
        <v>146500</v>
      </c>
      <c r="AB466" s="8">
        <v>475000</v>
      </c>
      <c r="AC466" s="8">
        <v>15900</v>
      </c>
      <c r="AD466" s="8">
        <v>234500</v>
      </c>
      <c r="AE466" s="8">
        <v>53100</v>
      </c>
      <c r="AF466" s="7">
        <v>36500</v>
      </c>
      <c r="AG466" s="7">
        <v>88200</v>
      </c>
      <c r="AH466" s="7">
        <v>66200</v>
      </c>
      <c r="AI466" s="7">
        <v>56200</v>
      </c>
      <c r="AJ466" s="7">
        <v>21150</v>
      </c>
      <c r="AK466" s="8">
        <v>28650</v>
      </c>
      <c r="AL466" s="8">
        <v>178000</v>
      </c>
      <c r="AM466" s="8">
        <v>329500</v>
      </c>
      <c r="AN466" s="8">
        <v>31000</v>
      </c>
      <c r="AO466" s="8">
        <v>10400</v>
      </c>
      <c r="AP466" s="7">
        <v>468500</v>
      </c>
      <c r="AQ466" s="7">
        <v>380500</v>
      </c>
      <c r="AR466" s="7">
        <v>12100</v>
      </c>
      <c r="AS466" s="7">
        <v>46200</v>
      </c>
      <c r="AT466" s="7">
        <v>60786</v>
      </c>
      <c r="AU466" s="8">
        <v>197000</v>
      </c>
      <c r="AV466" s="8">
        <v>34650</v>
      </c>
      <c r="AW466" s="8">
        <v>6210</v>
      </c>
      <c r="AX466" s="8">
        <v>167000</v>
      </c>
      <c r="AY466" s="8">
        <v>44100</v>
      </c>
    </row>
    <row r="467" spans="1:51" x14ac:dyDescent="0.4">
      <c r="A467" s="11">
        <v>40771</v>
      </c>
      <c r="B467" s="7">
        <v>69700</v>
      </c>
      <c r="C467" s="7">
        <v>20500</v>
      </c>
      <c r="D467" s="7">
        <v>70700</v>
      </c>
      <c r="E467" s="7">
        <v>214000</v>
      </c>
      <c r="F467" s="7">
        <v>72800</v>
      </c>
      <c r="G467" s="8">
        <v>62100</v>
      </c>
      <c r="H467" s="8">
        <v>64000</v>
      </c>
      <c r="I467" s="8">
        <v>140500</v>
      </c>
      <c r="J467" s="8">
        <v>116000</v>
      </c>
      <c r="K467" s="8">
        <v>203000</v>
      </c>
      <c r="L467" s="7">
        <v>416000</v>
      </c>
      <c r="M467" s="7">
        <v>750000</v>
      </c>
      <c r="N467" s="7">
        <v>101000</v>
      </c>
      <c r="O467" s="7">
        <v>158000</v>
      </c>
      <c r="P467" s="7">
        <v>69000</v>
      </c>
      <c r="Q467" s="8">
        <v>366500</v>
      </c>
      <c r="R467" s="8">
        <v>320500</v>
      </c>
      <c r="S467" s="8">
        <v>415000</v>
      </c>
      <c r="T467" s="8">
        <v>35200</v>
      </c>
      <c r="U467" s="8">
        <v>121500</v>
      </c>
      <c r="V467" s="7">
        <v>391000</v>
      </c>
      <c r="W467" s="7">
        <v>26441</v>
      </c>
      <c r="X467" s="7">
        <v>333000</v>
      </c>
      <c r="Y467" s="7">
        <v>21550</v>
      </c>
      <c r="Z467" s="7">
        <v>66280</v>
      </c>
      <c r="AA467" s="8">
        <v>139500</v>
      </c>
      <c r="AB467" s="8">
        <v>467000</v>
      </c>
      <c r="AC467" s="8">
        <v>15900</v>
      </c>
      <c r="AD467" s="8">
        <v>232000</v>
      </c>
      <c r="AE467" s="8">
        <v>54100</v>
      </c>
      <c r="AF467" s="7">
        <v>35400</v>
      </c>
      <c r="AG467" s="7">
        <v>86700</v>
      </c>
      <c r="AH467" s="7">
        <v>66600</v>
      </c>
      <c r="AI467" s="7">
        <v>56000</v>
      </c>
      <c r="AJ467" s="7">
        <v>21600</v>
      </c>
      <c r="AK467" s="8">
        <v>27500</v>
      </c>
      <c r="AL467" s="8">
        <v>177500</v>
      </c>
      <c r="AM467" s="8">
        <v>315500</v>
      </c>
      <c r="AN467" s="8">
        <v>30200</v>
      </c>
      <c r="AO467" s="8">
        <v>10200</v>
      </c>
      <c r="AP467" s="7">
        <v>461500</v>
      </c>
      <c r="AQ467" s="7">
        <v>387000</v>
      </c>
      <c r="AR467" s="7">
        <v>11950</v>
      </c>
      <c r="AS467" s="7">
        <v>45650</v>
      </c>
      <c r="AT467" s="7">
        <v>63523</v>
      </c>
      <c r="AU467" s="8">
        <v>182000</v>
      </c>
      <c r="AV467" s="8">
        <v>34150</v>
      </c>
      <c r="AW467" s="8">
        <v>6200</v>
      </c>
      <c r="AX467" s="8">
        <v>164000</v>
      </c>
      <c r="AY467" s="8">
        <v>44200</v>
      </c>
    </row>
    <row r="468" spans="1:51" x14ac:dyDescent="0.4">
      <c r="A468" s="11">
        <v>40767</v>
      </c>
      <c r="B468" s="7">
        <v>66600</v>
      </c>
      <c r="C468" s="7">
        <v>19750</v>
      </c>
      <c r="D468" s="7">
        <v>66800</v>
      </c>
      <c r="E468" s="7">
        <v>203500</v>
      </c>
      <c r="F468" s="7">
        <v>68800</v>
      </c>
      <c r="G468" s="8">
        <v>61300</v>
      </c>
      <c r="H468" s="8">
        <v>61800</v>
      </c>
      <c r="I468" s="8">
        <v>127000</v>
      </c>
      <c r="J468" s="8">
        <v>109500</v>
      </c>
      <c r="K468" s="8">
        <v>188000</v>
      </c>
      <c r="L468" s="7">
        <v>387500</v>
      </c>
      <c r="M468" s="7">
        <v>707000</v>
      </c>
      <c r="N468" s="7">
        <v>92500</v>
      </c>
      <c r="O468" s="7">
        <v>152000</v>
      </c>
      <c r="P468" s="7">
        <v>67200</v>
      </c>
      <c r="Q468" s="8">
        <v>350500</v>
      </c>
      <c r="R468" s="8">
        <v>302000</v>
      </c>
      <c r="S468" s="8">
        <v>394500</v>
      </c>
      <c r="T468" s="8">
        <v>33100</v>
      </c>
      <c r="U468" s="8">
        <v>110000</v>
      </c>
      <c r="V468" s="7">
        <v>364000</v>
      </c>
      <c r="W468" s="7">
        <v>24718</v>
      </c>
      <c r="X468" s="7">
        <v>319500</v>
      </c>
      <c r="Y468" s="7">
        <v>20800</v>
      </c>
      <c r="Z468" s="7">
        <v>63054</v>
      </c>
      <c r="AA468" s="8">
        <v>134000</v>
      </c>
      <c r="AB468" s="8">
        <v>465000</v>
      </c>
      <c r="AC468" s="8">
        <v>15100</v>
      </c>
      <c r="AD468" s="8">
        <v>230000</v>
      </c>
      <c r="AE468" s="8">
        <v>50900</v>
      </c>
      <c r="AF468" s="7">
        <v>34200</v>
      </c>
      <c r="AG468" s="7">
        <v>85200</v>
      </c>
      <c r="AH468" s="7">
        <v>67000</v>
      </c>
      <c r="AI468" s="7">
        <v>54800</v>
      </c>
      <c r="AJ468" s="7">
        <v>20850</v>
      </c>
      <c r="AK468" s="8">
        <v>26600</v>
      </c>
      <c r="AL468" s="8">
        <v>177500</v>
      </c>
      <c r="AM468" s="8">
        <v>308000</v>
      </c>
      <c r="AN468" s="8">
        <v>29000</v>
      </c>
      <c r="AO468" s="8">
        <v>9830</v>
      </c>
      <c r="AP468" s="7">
        <v>455000</v>
      </c>
      <c r="AQ468" s="7">
        <v>354000</v>
      </c>
      <c r="AR468" s="7">
        <v>11300</v>
      </c>
      <c r="AS468" s="7">
        <v>42850</v>
      </c>
      <c r="AT468" s="7">
        <v>63327</v>
      </c>
      <c r="AU468" s="8">
        <v>168000</v>
      </c>
      <c r="AV468" s="8">
        <v>33000</v>
      </c>
      <c r="AW468" s="8">
        <v>6040</v>
      </c>
      <c r="AX468" s="8">
        <v>153500</v>
      </c>
      <c r="AY468" s="8">
        <v>40100</v>
      </c>
    </row>
    <row r="469" spans="1:51" x14ac:dyDescent="0.4">
      <c r="A469" s="12">
        <v>40766</v>
      </c>
      <c r="B469" s="9">
        <v>70300</v>
      </c>
      <c r="C469" s="9">
        <v>21850</v>
      </c>
      <c r="D469" s="9">
        <v>68000</v>
      </c>
      <c r="E469" s="9">
        <v>198000</v>
      </c>
      <c r="F469" s="9">
        <v>69900</v>
      </c>
      <c r="G469" s="10">
        <v>63300</v>
      </c>
      <c r="H469" s="10">
        <v>63900</v>
      </c>
      <c r="I469" s="10">
        <v>132000</v>
      </c>
      <c r="J469" s="10">
        <v>113000</v>
      </c>
      <c r="K469" s="10">
        <v>197000</v>
      </c>
      <c r="L469" s="9">
        <v>389500</v>
      </c>
      <c r="M469" s="9">
        <v>708000</v>
      </c>
      <c r="N469" s="9">
        <v>92100</v>
      </c>
      <c r="O469" s="9">
        <v>155000</v>
      </c>
      <c r="P469" s="9">
        <v>69500</v>
      </c>
      <c r="Q469" s="10">
        <v>358500</v>
      </c>
      <c r="R469" s="10">
        <v>312500</v>
      </c>
      <c r="S469" s="10">
        <v>404000</v>
      </c>
      <c r="T469" s="10">
        <v>33100</v>
      </c>
      <c r="U469" s="10">
        <v>119000</v>
      </c>
      <c r="V469" s="9">
        <v>380000</v>
      </c>
      <c r="W469" s="9">
        <v>24028</v>
      </c>
      <c r="X469" s="9">
        <v>329500</v>
      </c>
      <c r="Y469" s="9">
        <v>20550</v>
      </c>
      <c r="Z469" s="9">
        <v>63543</v>
      </c>
      <c r="AA469" s="10">
        <v>135000</v>
      </c>
      <c r="AB469" s="10">
        <v>458000</v>
      </c>
      <c r="AC469" s="10">
        <v>14650</v>
      </c>
      <c r="AD469" s="10">
        <v>227000</v>
      </c>
      <c r="AE469" s="10">
        <v>51400</v>
      </c>
      <c r="AF469" s="9">
        <v>34200</v>
      </c>
      <c r="AG469" s="9">
        <v>84500</v>
      </c>
      <c r="AH469" s="9">
        <v>66200</v>
      </c>
      <c r="AI469" s="9">
        <v>54200</v>
      </c>
      <c r="AJ469" s="9">
        <v>21700</v>
      </c>
      <c r="AK469" s="10">
        <v>25000</v>
      </c>
      <c r="AL469" s="10">
        <v>189500</v>
      </c>
      <c r="AM469" s="10">
        <v>310000</v>
      </c>
      <c r="AN469" s="10">
        <v>28900</v>
      </c>
      <c r="AO469" s="10">
        <v>10150</v>
      </c>
      <c r="AP469" s="9">
        <v>446000</v>
      </c>
      <c r="AQ469" s="9">
        <v>390000</v>
      </c>
      <c r="AR469" s="9">
        <v>11200</v>
      </c>
      <c r="AS469" s="9">
        <v>43100</v>
      </c>
      <c r="AT469" s="9">
        <v>63523</v>
      </c>
      <c r="AU469" s="10">
        <v>171000</v>
      </c>
      <c r="AV469" s="10">
        <v>33700</v>
      </c>
      <c r="AW469" s="10">
        <v>5940</v>
      </c>
      <c r="AX469" s="10">
        <v>162000</v>
      </c>
      <c r="AY469" s="10">
        <v>40000</v>
      </c>
    </row>
    <row r="470" spans="1:51" x14ac:dyDescent="0.4">
      <c r="A470" s="11">
        <v>40765</v>
      </c>
      <c r="B470" s="7">
        <v>70000</v>
      </c>
      <c r="C470" s="7">
        <v>21000</v>
      </c>
      <c r="D470" s="7">
        <v>66700</v>
      </c>
      <c r="E470" s="7">
        <v>203000</v>
      </c>
      <c r="F470" s="7">
        <v>70400</v>
      </c>
      <c r="G470" s="8">
        <v>64200</v>
      </c>
      <c r="H470" s="8">
        <v>61800</v>
      </c>
      <c r="I470" s="8">
        <v>132500</v>
      </c>
      <c r="J470" s="8">
        <v>112000</v>
      </c>
      <c r="K470" s="8">
        <v>192500</v>
      </c>
      <c r="L470" s="7">
        <v>399000</v>
      </c>
      <c r="M470" s="7">
        <v>720000</v>
      </c>
      <c r="N470" s="7">
        <v>93300</v>
      </c>
      <c r="O470" s="7">
        <v>145500</v>
      </c>
      <c r="P470" s="7">
        <v>67000</v>
      </c>
      <c r="Q470" s="8">
        <v>350000</v>
      </c>
      <c r="R470" s="8">
        <v>307500</v>
      </c>
      <c r="S470" s="8">
        <v>394000</v>
      </c>
      <c r="T470" s="8">
        <v>33450</v>
      </c>
      <c r="U470" s="8">
        <v>117500</v>
      </c>
      <c r="V470" s="7">
        <v>377000</v>
      </c>
      <c r="W470" s="7">
        <v>23043</v>
      </c>
      <c r="X470" s="7">
        <v>328500</v>
      </c>
      <c r="Y470" s="7">
        <v>21000</v>
      </c>
      <c r="Z470" s="7">
        <v>63836</v>
      </c>
      <c r="AA470" s="8">
        <v>131000</v>
      </c>
      <c r="AB470" s="8">
        <v>446500</v>
      </c>
      <c r="AC470" s="8">
        <v>14900</v>
      </c>
      <c r="AD470" s="8">
        <v>224500</v>
      </c>
      <c r="AE470" s="8">
        <v>52300</v>
      </c>
      <c r="AF470" s="7">
        <v>35050</v>
      </c>
      <c r="AG470" s="7">
        <v>84500</v>
      </c>
      <c r="AH470" s="7">
        <v>65500</v>
      </c>
      <c r="AI470" s="7">
        <v>55200</v>
      </c>
      <c r="AJ470" s="7">
        <v>21600</v>
      </c>
      <c r="AK470" s="8">
        <v>24950</v>
      </c>
      <c r="AL470" s="8">
        <v>191500</v>
      </c>
      <c r="AM470" s="8">
        <v>305000</v>
      </c>
      <c r="AN470" s="8">
        <v>28550</v>
      </c>
      <c r="AO470" s="8">
        <v>9900</v>
      </c>
      <c r="AP470" s="7">
        <v>450000</v>
      </c>
      <c r="AQ470" s="7">
        <v>388000</v>
      </c>
      <c r="AR470" s="7">
        <v>11300</v>
      </c>
      <c r="AS470" s="7">
        <v>43900</v>
      </c>
      <c r="AT470" s="7">
        <v>60591</v>
      </c>
      <c r="AU470" s="8">
        <v>168000</v>
      </c>
      <c r="AV470" s="8">
        <v>34150</v>
      </c>
      <c r="AW470" s="8">
        <v>6020</v>
      </c>
      <c r="AX470" s="8">
        <v>159500</v>
      </c>
      <c r="AY470" s="8">
        <v>41200</v>
      </c>
    </row>
    <row r="471" spans="1:51" x14ac:dyDescent="0.4">
      <c r="A471" s="11">
        <v>40764</v>
      </c>
      <c r="B471" s="7">
        <v>69000</v>
      </c>
      <c r="C471" s="7">
        <v>20200</v>
      </c>
      <c r="D471" s="7">
        <v>64700</v>
      </c>
      <c r="E471" s="7">
        <v>205000</v>
      </c>
      <c r="F471" s="7">
        <v>71100</v>
      </c>
      <c r="G471" s="8">
        <v>64300</v>
      </c>
      <c r="H471" s="8">
        <v>59700</v>
      </c>
      <c r="I471" s="8">
        <v>144500</v>
      </c>
      <c r="J471" s="8">
        <v>107500</v>
      </c>
      <c r="K471" s="8">
        <v>194000</v>
      </c>
      <c r="L471" s="7">
        <v>408000</v>
      </c>
      <c r="M471" s="7">
        <v>724000</v>
      </c>
      <c r="N471" s="7">
        <v>94000</v>
      </c>
      <c r="O471" s="7">
        <v>141500</v>
      </c>
      <c r="P471" s="7">
        <v>67400</v>
      </c>
      <c r="Q471" s="8">
        <v>342000</v>
      </c>
      <c r="R471" s="8">
        <v>307000</v>
      </c>
      <c r="S471" s="8">
        <v>375000</v>
      </c>
      <c r="T471" s="8">
        <v>33600</v>
      </c>
      <c r="U471" s="8">
        <v>127500</v>
      </c>
      <c r="V471" s="7">
        <v>395500</v>
      </c>
      <c r="W471" s="7">
        <v>22797</v>
      </c>
      <c r="X471" s="7">
        <v>329500</v>
      </c>
      <c r="Y471" s="7">
        <v>21250</v>
      </c>
      <c r="Z471" s="7">
        <v>63836</v>
      </c>
      <c r="AA471" s="8">
        <v>131500</v>
      </c>
      <c r="AB471" s="8">
        <v>446000</v>
      </c>
      <c r="AC471" s="8">
        <v>15300</v>
      </c>
      <c r="AD471" s="8">
        <v>215000</v>
      </c>
      <c r="AE471" s="8">
        <v>51400</v>
      </c>
      <c r="AF471" s="7">
        <v>36400</v>
      </c>
      <c r="AG471" s="7">
        <v>84900</v>
      </c>
      <c r="AH471" s="7">
        <v>65500</v>
      </c>
      <c r="AI471" s="7">
        <v>55400</v>
      </c>
      <c r="AJ471" s="7">
        <v>20400</v>
      </c>
      <c r="AK471" s="8">
        <v>25000</v>
      </c>
      <c r="AL471" s="8">
        <v>175000</v>
      </c>
      <c r="AM471" s="8">
        <v>293500</v>
      </c>
      <c r="AN471" s="8">
        <v>28500</v>
      </c>
      <c r="AO471" s="8">
        <v>9840</v>
      </c>
      <c r="AP471" s="7">
        <v>447500</v>
      </c>
      <c r="AQ471" s="7">
        <v>395000</v>
      </c>
      <c r="AR471" s="7">
        <v>11600</v>
      </c>
      <c r="AS471" s="7">
        <v>44750</v>
      </c>
      <c r="AT471" s="7">
        <v>59516</v>
      </c>
      <c r="AU471" s="8">
        <v>169500</v>
      </c>
      <c r="AV471" s="8">
        <v>34550</v>
      </c>
      <c r="AW471" s="8">
        <v>6070</v>
      </c>
      <c r="AX471" s="8">
        <v>174500</v>
      </c>
      <c r="AY471" s="8">
        <v>41700</v>
      </c>
    </row>
    <row r="472" spans="1:51" x14ac:dyDescent="0.4">
      <c r="A472" s="11">
        <v>40763</v>
      </c>
      <c r="B472" s="7">
        <v>70000</v>
      </c>
      <c r="C472" s="7">
        <v>21850</v>
      </c>
      <c r="D472" s="7">
        <v>68800</v>
      </c>
      <c r="E472" s="7">
        <v>214000</v>
      </c>
      <c r="F472" s="7">
        <v>73500</v>
      </c>
      <c r="G472" s="8">
        <v>65200</v>
      </c>
      <c r="H472" s="8">
        <v>62100</v>
      </c>
      <c r="I472" s="8">
        <v>152500</v>
      </c>
      <c r="J472" s="8">
        <v>111500</v>
      </c>
      <c r="K472" s="8">
        <v>199500</v>
      </c>
      <c r="L472" s="7">
        <v>432500</v>
      </c>
      <c r="M472" s="7">
        <v>760000</v>
      </c>
      <c r="N472" s="7">
        <v>97400</v>
      </c>
      <c r="O472" s="7">
        <v>148500</v>
      </c>
      <c r="P472" s="7">
        <v>70900</v>
      </c>
      <c r="Q472" s="8">
        <v>339500</v>
      </c>
      <c r="R472" s="8">
        <v>308500</v>
      </c>
      <c r="S472" s="8">
        <v>398000</v>
      </c>
      <c r="T472" s="8">
        <v>34250</v>
      </c>
      <c r="U472" s="8">
        <v>129500</v>
      </c>
      <c r="V472" s="7">
        <v>389500</v>
      </c>
      <c r="W472" s="7">
        <v>24964</v>
      </c>
      <c r="X472" s="7">
        <v>328500</v>
      </c>
      <c r="Y472" s="7">
        <v>22700</v>
      </c>
      <c r="Z472" s="7">
        <v>67649</v>
      </c>
      <c r="AA472" s="8">
        <v>135500</v>
      </c>
      <c r="AB472" s="8">
        <v>469000</v>
      </c>
      <c r="AC472" s="8">
        <v>16050</v>
      </c>
      <c r="AD472" s="8">
        <v>215000</v>
      </c>
      <c r="AE472" s="8">
        <v>53600</v>
      </c>
      <c r="AF472" s="7">
        <v>37550</v>
      </c>
      <c r="AG472" s="7">
        <v>91100</v>
      </c>
      <c r="AH472" s="7">
        <v>66800</v>
      </c>
      <c r="AI472" s="7">
        <v>57700</v>
      </c>
      <c r="AJ472" s="7">
        <v>21550</v>
      </c>
      <c r="AK472" s="8">
        <v>27000</v>
      </c>
      <c r="AL472" s="8">
        <v>190000</v>
      </c>
      <c r="AM472" s="8">
        <v>312500</v>
      </c>
      <c r="AN472" s="8">
        <v>28000</v>
      </c>
      <c r="AO472" s="8">
        <v>9920</v>
      </c>
      <c r="AP472" s="7">
        <v>458500</v>
      </c>
      <c r="AQ472" s="7">
        <v>387000</v>
      </c>
      <c r="AR472" s="7">
        <v>12500</v>
      </c>
      <c r="AS472" s="7">
        <v>46250</v>
      </c>
      <c r="AT472" s="7">
        <v>64793</v>
      </c>
      <c r="AU472" s="8">
        <v>173000</v>
      </c>
      <c r="AV472" s="8">
        <v>36950</v>
      </c>
      <c r="AW472" s="8">
        <v>6640</v>
      </c>
      <c r="AX472" s="8">
        <v>178500</v>
      </c>
      <c r="AY472" s="8">
        <v>43600</v>
      </c>
    </row>
    <row r="473" spans="1:51" x14ac:dyDescent="0.4">
      <c r="A473" s="11">
        <v>40760</v>
      </c>
      <c r="B473" s="7">
        <v>72800</v>
      </c>
      <c r="C473" s="7">
        <v>23550</v>
      </c>
      <c r="D473" s="7">
        <v>72000</v>
      </c>
      <c r="E473" s="7">
        <v>220000</v>
      </c>
      <c r="F473" s="7">
        <v>75700</v>
      </c>
      <c r="G473" s="8">
        <v>65900</v>
      </c>
      <c r="H473" s="8">
        <v>63500</v>
      </c>
      <c r="I473" s="8">
        <v>158000</v>
      </c>
      <c r="J473" s="8">
        <v>117000</v>
      </c>
      <c r="K473" s="8">
        <v>204000</v>
      </c>
      <c r="L473" s="7">
        <v>443000</v>
      </c>
      <c r="M473" s="7">
        <v>789000</v>
      </c>
      <c r="N473" s="7">
        <v>103500</v>
      </c>
      <c r="O473" s="7">
        <v>156000</v>
      </c>
      <c r="P473" s="7">
        <v>74800</v>
      </c>
      <c r="Q473" s="8">
        <v>352500</v>
      </c>
      <c r="R473" s="8">
        <v>336500</v>
      </c>
      <c r="S473" s="8">
        <v>398500</v>
      </c>
      <c r="T473" s="8">
        <v>35150</v>
      </c>
      <c r="U473" s="8">
        <v>130500</v>
      </c>
      <c r="V473" s="7">
        <v>393000</v>
      </c>
      <c r="W473" s="7">
        <v>25948</v>
      </c>
      <c r="X473" s="7">
        <v>331500</v>
      </c>
      <c r="Y473" s="7">
        <v>23700</v>
      </c>
      <c r="Z473" s="7">
        <v>70679</v>
      </c>
      <c r="AA473" s="8">
        <v>141000</v>
      </c>
      <c r="AB473" s="8">
        <v>474000</v>
      </c>
      <c r="AC473" s="8">
        <v>17050</v>
      </c>
      <c r="AD473" s="8">
        <v>220000</v>
      </c>
      <c r="AE473" s="8">
        <v>55600</v>
      </c>
      <c r="AF473" s="7">
        <v>38800</v>
      </c>
      <c r="AG473" s="7">
        <v>95500</v>
      </c>
      <c r="AH473" s="7">
        <v>66900</v>
      </c>
      <c r="AI473" s="7">
        <v>59800</v>
      </c>
      <c r="AJ473" s="7">
        <v>23600</v>
      </c>
      <c r="AK473" s="8">
        <v>27850</v>
      </c>
      <c r="AL473" s="8">
        <v>199500</v>
      </c>
      <c r="AM473" s="8">
        <v>318500</v>
      </c>
      <c r="AN473" s="8">
        <v>30450</v>
      </c>
      <c r="AO473" s="8">
        <v>10450</v>
      </c>
      <c r="AP473" s="7">
        <v>467000</v>
      </c>
      <c r="AQ473" s="7">
        <v>407000</v>
      </c>
      <c r="AR473" s="7">
        <v>13050</v>
      </c>
      <c r="AS473" s="7">
        <v>48050</v>
      </c>
      <c r="AT473" s="7">
        <v>67334</v>
      </c>
      <c r="AU473" s="8">
        <v>179000</v>
      </c>
      <c r="AV473" s="8">
        <v>38300</v>
      </c>
      <c r="AW473" s="8">
        <v>7090</v>
      </c>
      <c r="AX473" s="8">
        <v>185000</v>
      </c>
      <c r="AY473" s="8">
        <v>47150</v>
      </c>
    </row>
    <row r="474" spans="1:51" x14ac:dyDescent="0.4">
      <c r="A474" s="12">
        <v>40759</v>
      </c>
      <c r="B474" s="9">
        <v>73400</v>
      </c>
      <c r="C474" s="9">
        <v>24100</v>
      </c>
      <c r="D474" s="9">
        <v>77200</v>
      </c>
      <c r="E474" s="9">
        <v>225500</v>
      </c>
      <c r="F474" s="9">
        <v>79800</v>
      </c>
      <c r="G474" s="10">
        <v>67200</v>
      </c>
      <c r="H474" s="10">
        <v>69800</v>
      </c>
      <c r="I474" s="10">
        <v>164000</v>
      </c>
      <c r="J474" s="10">
        <v>120500</v>
      </c>
      <c r="K474" s="10">
        <v>209000</v>
      </c>
      <c r="L474" s="9">
        <v>453000</v>
      </c>
      <c r="M474" s="9">
        <v>821000</v>
      </c>
      <c r="N474" s="9">
        <v>109000</v>
      </c>
      <c r="O474" s="9">
        <v>160000</v>
      </c>
      <c r="P474" s="9">
        <v>79800</v>
      </c>
      <c r="Q474" s="10">
        <v>374000</v>
      </c>
      <c r="R474" s="10">
        <v>375000</v>
      </c>
      <c r="S474" s="10">
        <v>414500</v>
      </c>
      <c r="T474" s="10">
        <v>37650</v>
      </c>
      <c r="U474" s="10">
        <v>141500</v>
      </c>
      <c r="V474" s="9">
        <v>410000</v>
      </c>
      <c r="W474" s="9">
        <v>27229</v>
      </c>
      <c r="X474" s="9">
        <v>334500</v>
      </c>
      <c r="Y474" s="9">
        <v>24750</v>
      </c>
      <c r="Z474" s="9">
        <v>73221</v>
      </c>
      <c r="AA474" s="10">
        <v>145000</v>
      </c>
      <c r="AB474" s="10">
        <v>485000</v>
      </c>
      <c r="AC474" s="10">
        <v>17500</v>
      </c>
      <c r="AD474" s="10">
        <v>229000</v>
      </c>
      <c r="AE474" s="10">
        <v>56900</v>
      </c>
      <c r="AF474" s="9">
        <v>40200</v>
      </c>
      <c r="AG474" s="9">
        <v>97000</v>
      </c>
      <c r="AH474" s="9">
        <v>66400</v>
      </c>
      <c r="AI474" s="9">
        <v>62000</v>
      </c>
      <c r="AJ474" s="9">
        <v>25400</v>
      </c>
      <c r="AK474" s="10">
        <v>29300</v>
      </c>
      <c r="AL474" s="10">
        <v>207500</v>
      </c>
      <c r="AM474" s="10">
        <v>318500</v>
      </c>
      <c r="AN474" s="10">
        <v>34000</v>
      </c>
      <c r="AO474" s="10">
        <v>11300</v>
      </c>
      <c r="AP474" s="9">
        <v>480500</v>
      </c>
      <c r="AQ474" s="9">
        <v>416000</v>
      </c>
      <c r="AR474" s="9">
        <v>13450</v>
      </c>
      <c r="AS474" s="9">
        <v>49850</v>
      </c>
      <c r="AT474" s="9">
        <v>71536</v>
      </c>
      <c r="AU474" s="10">
        <v>181500</v>
      </c>
      <c r="AV474" s="10">
        <v>39100</v>
      </c>
      <c r="AW474" s="10">
        <v>7220</v>
      </c>
      <c r="AX474" s="10">
        <v>196000</v>
      </c>
      <c r="AY474" s="10">
        <v>48300</v>
      </c>
    </row>
    <row r="475" spans="1:51" x14ac:dyDescent="0.4">
      <c r="A475" s="11">
        <v>40758</v>
      </c>
      <c r="B475" s="7">
        <v>75700</v>
      </c>
      <c r="C475" s="7">
        <v>24300</v>
      </c>
      <c r="D475" s="7">
        <v>78300</v>
      </c>
      <c r="E475" s="7">
        <v>224000</v>
      </c>
      <c r="F475" s="7">
        <v>81500</v>
      </c>
      <c r="G475" s="8">
        <v>66000</v>
      </c>
      <c r="H475" s="8">
        <v>74500</v>
      </c>
      <c r="I475" s="8">
        <v>172000</v>
      </c>
      <c r="J475" s="8">
        <v>123000</v>
      </c>
      <c r="K475" s="8">
        <v>214000</v>
      </c>
      <c r="L475" s="7">
        <v>461500</v>
      </c>
      <c r="M475" s="7">
        <v>833000</v>
      </c>
      <c r="N475" s="7">
        <v>111500</v>
      </c>
      <c r="O475" s="7">
        <v>163500</v>
      </c>
      <c r="P475" s="7">
        <v>80800</v>
      </c>
      <c r="Q475" s="8">
        <v>381000</v>
      </c>
      <c r="R475" s="8">
        <v>398000</v>
      </c>
      <c r="S475" s="8">
        <v>438500</v>
      </c>
      <c r="T475" s="8">
        <v>39800</v>
      </c>
      <c r="U475" s="8">
        <v>154500</v>
      </c>
      <c r="V475" s="7">
        <v>442500</v>
      </c>
      <c r="W475" s="7">
        <v>28164</v>
      </c>
      <c r="X475" s="7">
        <v>345000</v>
      </c>
      <c r="Y475" s="7">
        <v>24950</v>
      </c>
      <c r="Z475" s="7">
        <v>74003</v>
      </c>
      <c r="AA475" s="8">
        <v>144000</v>
      </c>
      <c r="AB475" s="8">
        <v>486500</v>
      </c>
      <c r="AC475" s="8">
        <v>17350</v>
      </c>
      <c r="AD475" s="8">
        <v>238500</v>
      </c>
      <c r="AE475" s="8">
        <v>56900</v>
      </c>
      <c r="AF475" s="7">
        <v>39550</v>
      </c>
      <c r="AG475" s="7">
        <v>98100</v>
      </c>
      <c r="AH475" s="7">
        <v>65300</v>
      </c>
      <c r="AI475" s="7">
        <v>63500</v>
      </c>
      <c r="AJ475" s="7">
        <v>26350</v>
      </c>
      <c r="AK475" s="8">
        <v>28300</v>
      </c>
      <c r="AL475" s="8">
        <v>211500</v>
      </c>
      <c r="AM475" s="8">
        <v>324000</v>
      </c>
      <c r="AN475" s="8">
        <v>36200</v>
      </c>
      <c r="AO475" s="8">
        <v>11500</v>
      </c>
      <c r="AP475" s="7">
        <v>481000</v>
      </c>
      <c r="AQ475" s="7">
        <v>449500</v>
      </c>
      <c r="AR475" s="7">
        <v>13700</v>
      </c>
      <c r="AS475" s="7">
        <v>49000</v>
      </c>
      <c r="AT475" s="7">
        <v>75348</v>
      </c>
      <c r="AU475" s="8">
        <v>183000</v>
      </c>
      <c r="AV475" s="8">
        <v>39050</v>
      </c>
      <c r="AW475" s="8">
        <v>7240</v>
      </c>
      <c r="AX475" s="8">
        <v>213000</v>
      </c>
      <c r="AY475" s="8">
        <v>48600</v>
      </c>
    </row>
    <row r="476" spans="1:51" x14ac:dyDescent="0.4">
      <c r="A476" s="11">
        <v>40757</v>
      </c>
      <c r="B476" s="7">
        <v>77700</v>
      </c>
      <c r="C476" s="7">
        <v>25450</v>
      </c>
      <c r="D476" s="7">
        <v>81800</v>
      </c>
      <c r="E476" s="7">
        <v>232000</v>
      </c>
      <c r="F476" s="7">
        <v>84800</v>
      </c>
      <c r="G476" s="8">
        <v>65900</v>
      </c>
      <c r="H476" s="8">
        <v>77000</v>
      </c>
      <c r="I476" s="8">
        <v>177000</v>
      </c>
      <c r="J476" s="8">
        <v>128000</v>
      </c>
      <c r="K476" s="8">
        <v>224000</v>
      </c>
      <c r="L476" s="7">
        <v>470000</v>
      </c>
      <c r="M476" s="7">
        <v>852000</v>
      </c>
      <c r="N476" s="7">
        <v>115500</v>
      </c>
      <c r="O476" s="7">
        <v>170500</v>
      </c>
      <c r="P476" s="7">
        <v>85000</v>
      </c>
      <c r="Q476" s="8">
        <v>407000</v>
      </c>
      <c r="R476" s="8">
        <v>418500</v>
      </c>
      <c r="S476" s="8">
        <v>440500</v>
      </c>
      <c r="T476" s="8">
        <v>42550</v>
      </c>
      <c r="U476" s="8">
        <v>153000</v>
      </c>
      <c r="V476" s="7">
        <v>450000</v>
      </c>
      <c r="W476" s="7">
        <v>29444</v>
      </c>
      <c r="X476" s="7">
        <v>354000</v>
      </c>
      <c r="Y476" s="7">
        <v>25600</v>
      </c>
      <c r="Z476" s="7">
        <v>76447</v>
      </c>
      <c r="AA476" s="8">
        <v>145500</v>
      </c>
      <c r="AB476" s="8">
        <v>480000</v>
      </c>
      <c r="AC476" s="8">
        <v>17750</v>
      </c>
      <c r="AD476" s="8">
        <v>248500</v>
      </c>
      <c r="AE476" s="8">
        <v>59100</v>
      </c>
      <c r="AF476" s="7">
        <v>39950</v>
      </c>
      <c r="AG476" s="7">
        <v>99500</v>
      </c>
      <c r="AH476" s="7">
        <v>66200</v>
      </c>
      <c r="AI476" s="7">
        <v>65400</v>
      </c>
      <c r="AJ476" s="7">
        <v>27300</v>
      </c>
      <c r="AK476" s="8">
        <v>29700</v>
      </c>
      <c r="AL476" s="8">
        <v>213500</v>
      </c>
      <c r="AM476" s="8">
        <v>319000</v>
      </c>
      <c r="AN476" s="8">
        <v>37850</v>
      </c>
      <c r="AO476" s="8">
        <v>12050</v>
      </c>
      <c r="AP476" s="7">
        <v>486000</v>
      </c>
      <c r="AQ476" s="7">
        <v>471000</v>
      </c>
      <c r="AR476" s="7">
        <v>13950</v>
      </c>
      <c r="AS476" s="7">
        <v>49500</v>
      </c>
      <c r="AT476" s="7">
        <v>78084</v>
      </c>
      <c r="AU476" s="8">
        <v>178500</v>
      </c>
      <c r="AV476" s="8">
        <v>40200</v>
      </c>
      <c r="AW476" s="8">
        <v>7500</v>
      </c>
      <c r="AX476" s="8">
        <v>216500</v>
      </c>
      <c r="AY476" s="8">
        <v>50300</v>
      </c>
    </row>
    <row r="477" spans="1:51" x14ac:dyDescent="0.4">
      <c r="A477" s="11">
        <v>40756</v>
      </c>
      <c r="B477" s="7">
        <v>80900</v>
      </c>
      <c r="C477" s="7">
        <v>25550</v>
      </c>
      <c r="D477" s="7">
        <v>85500</v>
      </c>
      <c r="E477" s="7">
        <v>239500</v>
      </c>
      <c r="F477" s="7">
        <v>85100</v>
      </c>
      <c r="G477" s="8">
        <v>67500</v>
      </c>
      <c r="H477" s="8">
        <v>81100</v>
      </c>
      <c r="I477" s="8">
        <v>185500</v>
      </c>
      <c r="J477" s="8">
        <v>132000</v>
      </c>
      <c r="K477" s="8">
        <v>235500</v>
      </c>
      <c r="L477" s="7">
        <v>471500</v>
      </c>
      <c r="M477" s="7">
        <v>870000</v>
      </c>
      <c r="N477" s="7">
        <v>119500</v>
      </c>
      <c r="O477" s="7">
        <v>175500</v>
      </c>
      <c r="P477" s="7">
        <v>87500</v>
      </c>
      <c r="Q477" s="8">
        <v>415500</v>
      </c>
      <c r="R477" s="8">
        <v>427000</v>
      </c>
      <c r="S477" s="8">
        <v>451500</v>
      </c>
      <c r="T477" s="8">
        <v>43950</v>
      </c>
      <c r="U477" s="8">
        <v>156500</v>
      </c>
      <c r="V477" s="7">
        <v>458000</v>
      </c>
      <c r="W477" s="7">
        <v>29789</v>
      </c>
      <c r="X477" s="7">
        <v>382000</v>
      </c>
      <c r="Y477" s="7">
        <v>25800</v>
      </c>
      <c r="Z477" s="7">
        <v>79184</v>
      </c>
      <c r="AA477" s="8">
        <v>149500</v>
      </c>
      <c r="AB477" s="8">
        <v>462500</v>
      </c>
      <c r="AC477" s="8">
        <v>18350</v>
      </c>
      <c r="AD477" s="8">
        <v>259500</v>
      </c>
      <c r="AE477" s="8">
        <v>60600</v>
      </c>
      <c r="AF477" s="7">
        <v>40000</v>
      </c>
      <c r="AG477" s="7">
        <v>101000</v>
      </c>
      <c r="AH477" s="7">
        <v>66900</v>
      </c>
      <c r="AI477" s="7">
        <v>67200</v>
      </c>
      <c r="AJ477" s="7">
        <v>28400</v>
      </c>
      <c r="AK477" s="8">
        <v>30250</v>
      </c>
      <c r="AL477" s="8">
        <v>213000</v>
      </c>
      <c r="AM477" s="8">
        <v>323500</v>
      </c>
      <c r="AN477" s="8">
        <v>38450</v>
      </c>
      <c r="AO477" s="8">
        <v>12400</v>
      </c>
      <c r="AP477" s="7">
        <v>483500</v>
      </c>
      <c r="AQ477" s="7">
        <v>485500</v>
      </c>
      <c r="AR477" s="7">
        <v>14250</v>
      </c>
      <c r="AS477" s="7">
        <v>50800</v>
      </c>
      <c r="AT477" s="7">
        <v>79061</v>
      </c>
      <c r="AU477" s="8">
        <v>189500</v>
      </c>
      <c r="AV477" s="8">
        <v>41400</v>
      </c>
      <c r="AW477" s="8">
        <v>7680</v>
      </c>
      <c r="AX477" s="8">
        <v>223000</v>
      </c>
      <c r="AY477" s="8">
        <v>52500</v>
      </c>
    </row>
    <row r="478" spans="1:51" x14ac:dyDescent="0.4">
      <c r="A478" s="11">
        <v>40753</v>
      </c>
      <c r="B478" s="7">
        <v>77400</v>
      </c>
      <c r="C478" s="7">
        <v>24250</v>
      </c>
      <c r="D478" s="7">
        <v>86400</v>
      </c>
      <c r="E478" s="7">
        <v>238500</v>
      </c>
      <c r="F478" s="7">
        <v>83900</v>
      </c>
      <c r="G478" s="8">
        <v>67200</v>
      </c>
      <c r="H478" s="8">
        <v>78800</v>
      </c>
      <c r="I478" s="8">
        <v>181500</v>
      </c>
      <c r="J478" s="8">
        <v>130000</v>
      </c>
      <c r="K478" s="8">
        <v>235000</v>
      </c>
      <c r="L478" s="7">
        <v>464500</v>
      </c>
      <c r="M478" s="7">
        <v>844000</v>
      </c>
      <c r="N478" s="7">
        <v>119000</v>
      </c>
      <c r="O478" s="7">
        <v>170000</v>
      </c>
      <c r="P478" s="7">
        <v>86800</v>
      </c>
      <c r="Q478" s="8">
        <v>408000</v>
      </c>
      <c r="R478" s="8">
        <v>407000</v>
      </c>
      <c r="S478" s="8">
        <v>437500</v>
      </c>
      <c r="T478" s="8">
        <v>42950</v>
      </c>
      <c r="U478" s="8">
        <v>149000</v>
      </c>
      <c r="V478" s="7">
        <v>432000</v>
      </c>
      <c r="W478" s="7">
        <v>29346</v>
      </c>
      <c r="X478" s="7">
        <v>380000</v>
      </c>
      <c r="Y478" s="7">
        <v>25650</v>
      </c>
      <c r="Z478" s="7">
        <v>77718</v>
      </c>
      <c r="AA478" s="8">
        <v>147000</v>
      </c>
      <c r="AB478" s="8">
        <v>455500</v>
      </c>
      <c r="AC478" s="8">
        <v>18150</v>
      </c>
      <c r="AD478" s="8">
        <v>260000</v>
      </c>
      <c r="AE478" s="8">
        <v>60000</v>
      </c>
      <c r="AF478" s="7">
        <v>39550</v>
      </c>
      <c r="AG478" s="7">
        <v>99800</v>
      </c>
      <c r="AH478" s="7">
        <v>65600</v>
      </c>
      <c r="AI478" s="7">
        <v>67600</v>
      </c>
      <c r="AJ478" s="7">
        <v>27150</v>
      </c>
      <c r="AK478" s="8">
        <v>29950</v>
      </c>
      <c r="AL478" s="8">
        <v>210000</v>
      </c>
      <c r="AM478" s="8">
        <v>325000</v>
      </c>
      <c r="AN478" s="8">
        <v>37500</v>
      </c>
      <c r="AO478" s="8">
        <v>12350</v>
      </c>
      <c r="AP478" s="7">
        <v>477000</v>
      </c>
      <c r="AQ478" s="7">
        <v>470000</v>
      </c>
      <c r="AR478" s="7">
        <v>13900</v>
      </c>
      <c r="AS478" s="7">
        <v>50500</v>
      </c>
      <c r="AT478" s="7">
        <v>78573</v>
      </c>
      <c r="AU478" s="8">
        <v>192000</v>
      </c>
      <c r="AV478" s="8">
        <v>41350</v>
      </c>
      <c r="AW478" s="8">
        <v>7480</v>
      </c>
      <c r="AX478" s="8">
        <v>218000</v>
      </c>
      <c r="AY478" s="8">
        <v>52500</v>
      </c>
    </row>
    <row r="479" spans="1:51" x14ac:dyDescent="0.4">
      <c r="A479" s="12">
        <v>40752</v>
      </c>
      <c r="B479" s="9">
        <v>77500</v>
      </c>
      <c r="C479" s="9">
        <v>23550</v>
      </c>
      <c r="D479" s="9">
        <v>86900</v>
      </c>
      <c r="E479" s="9">
        <v>238000</v>
      </c>
      <c r="F479" s="9">
        <v>85700</v>
      </c>
      <c r="G479" s="10">
        <v>68500</v>
      </c>
      <c r="H479" s="10">
        <v>79600</v>
      </c>
      <c r="I479" s="10">
        <v>185000</v>
      </c>
      <c r="J479" s="10">
        <v>133000</v>
      </c>
      <c r="K479" s="10">
        <v>239000</v>
      </c>
      <c r="L479" s="9">
        <v>467000</v>
      </c>
      <c r="M479" s="9">
        <v>837000</v>
      </c>
      <c r="N479" s="9">
        <v>120500</v>
      </c>
      <c r="O479" s="9">
        <v>169500</v>
      </c>
      <c r="P479" s="9">
        <v>87400</v>
      </c>
      <c r="Q479" s="10">
        <v>411000</v>
      </c>
      <c r="R479" s="10">
        <v>420000</v>
      </c>
      <c r="S479" s="10">
        <v>444000</v>
      </c>
      <c r="T479" s="10">
        <v>44100</v>
      </c>
      <c r="U479" s="10">
        <v>159000</v>
      </c>
      <c r="V479" s="9">
        <v>438000</v>
      </c>
      <c r="W479" s="9">
        <v>29395</v>
      </c>
      <c r="X479" s="9">
        <v>392000</v>
      </c>
      <c r="Y479" s="9">
        <v>25750</v>
      </c>
      <c r="Z479" s="9">
        <v>78793</v>
      </c>
      <c r="AA479" s="10">
        <v>147500</v>
      </c>
      <c r="AB479" s="10">
        <v>472000</v>
      </c>
      <c r="AC479" s="10">
        <v>18400</v>
      </c>
      <c r="AD479" s="10">
        <v>260000</v>
      </c>
      <c r="AE479" s="10">
        <v>60000</v>
      </c>
      <c r="AF479" s="9">
        <v>39400</v>
      </c>
      <c r="AG479" s="9">
        <v>99900</v>
      </c>
      <c r="AH479" s="9">
        <v>66500</v>
      </c>
      <c r="AI479" s="9">
        <v>68400</v>
      </c>
      <c r="AJ479" s="9">
        <v>27900</v>
      </c>
      <c r="AK479" s="10">
        <v>30150</v>
      </c>
      <c r="AL479" s="10">
        <v>214000</v>
      </c>
      <c r="AM479" s="10">
        <v>325000</v>
      </c>
      <c r="AN479" s="10">
        <v>38500</v>
      </c>
      <c r="AO479" s="10">
        <v>12250</v>
      </c>
      <c r="AP479" s="9">
        <v>469000</v>
      </c>
      <c r="AQ479" s="9">
        <v>472000</v>
      </c>
      <c r="AR479" s="9">
        <v>14150</v>
      </c>
      <c r="AS479" s="9">
        <v>51600</v>
      </c>
      <c r="AT479" s="9">
        <v>79648</v>
      </c>
      <c r="AU479" s="10">
        <v>191000</v>
      </c>
      <c r="AV479" s="10">
        <v>40800</v>
      </c>
      <c r="AW479" s="10">
        <v>7570</v>
      </c>
      <c r="AX479" s="10">
        <v>222500</v>
      </c>
      <c r="AY479" s="10">
        <v>53800</v>
      </c>
    </row>
    <row r="480" spans="1:51" x14ac:dyDescent="0.4">
      <c r="A480" s="11">
        <v>40751</v>
      </c>
      <c r="B480" s="7">
        <v>79400</v>
      </c>
      <c r="C480" s="7">
        <v>23800</v>
      </c>
      <c r="D480" s="7">
        <v>86500</v>
      </c>
      <c r="E480" s="7">
        <v>236000</v>
      </c>
      <c r="F480" s="7">
        <v>86100</v>
      </c>
      <c r="G480" s="8">
        <v>68400</v>
      </c>
      <c r="H480" s="8">
        <v>81000</v>
      </c>
      <c r="I480" s="8">
        <v>185500</v>
      </c>
      <c r="J480" s="8">
        <v>135000</v>
      </c>
      <c r="K480" s="8">
        <v>243000</v>
      </c>
      <c r="L480" s="7">
        <v>473500</v>
      </c>
      <c r="M480" s="7">
        <v>845000</v>
      </c>
      <c r="N480" s="7">
        <v>120500</v>
      </c>
      <c r="O480" s="7">
        <v>169500</v>
      </c>
      <c r="P480" s="7">
        <v>89000</v>
      </c>
      <c r="Q480" s="8">
        <v>417000</v>
      </c>
      <c r="R480" s="8">
        <v>417000</v>
      </c>
      <c r="S480" s="8">
        <v>445000</v>
      </c>
      <c r="T480" s="8">
        <v>44500</v>
      </c>
      <c r="U480" s="8">
        <v>160000</v>
      </c>
      <c r="V480" s="7">
        <v>436500</v>
      </c>
      <c r="W480" s="7">
        <v>30183</v>
      </c>
      <c r="X480" s="7">
        <v>400000</v>
      </c>
      <c r="Y480" s="7">
        <v>26200</v>
      </c>
      <c r="Z480" s="7">
        <v>78989</v>
      </c>
      <c r="AA480" s="8">
        <v>151500</v>
      </c>
      <c r="AB480" s="8">
        <v>481000</v>
      </c>
      <c r="AC480" s="8">
        <v>18500</v>
      </c>
      <c r="AD480" s="8">
        <v>262000</v>
      </c>
      <c r="AE480" s="8">
        <v>61000</v>
      </c>
      <c r="AF480" s="7">
        <v>39500</v>
      </c>
      <c r="AG480" s="7">
        <v>99500</v>
      </c>
      <c r="AH480" s="7">
        <v>67300</v>
      </c>
      <c r="AI480" s="7">
        <v>68200</v>
      </c>
      <c r="AJ480" s="7">
        <v>29000</v>
      </c>
      <c r="AK480" s="8">
        <v>30350</v>
      </c>
      <c r="AL480" s="8">
        <v>218000</v>
      </c>
      <c r="AM480" s="8">
        <v>320000</v>
      </c>
      <c r="AN480" s="8">
        <v>38650</v>
      </c>
      <c r="AO480" s="8">
        <v>12600</v>
      </c>
      <c r="AP480" s="7">
        <v>463000</v>
      </c>
      <c r="AQ480" s="7">
        <v>473000</v>
      </c>
      <c r="AR480" s="7">
        <v>14350</v>
      </c>
      <c r="AS480" s="7">
        <v>52700</v>
      </c>
      <c r="AT480" s="7">
        <v>81895</v>
      </c>
      <c r="AU480" s="8">
        <v>193000</v>
      </c>
      <c r="AV480" s="8">
        <v>41500</v>
      </c>
      <c r="AW480" s="8">
        <v>7720</v>
      </c>
      <c r="AX480" s="8">
        <v>221500</v>
      </c>
      <c r="AY480" s="8">
        <v>54400</v>
      </c>
    </row>
    <row r="481" spans="1:51" x14ac:dyDescent="0.4">
      <c r="A481" s="11">
        <v>40750</v>
      </c>
      <c r="B481" s="7">
        <v>78600</v>
      </c>
      <c r="C481" s="7">
        <v>24500</v>
      </c>
      <c r="D481" s="7">
        <v>86200</v>
      </c>
      <c r="E481" s="7">
        <v>235000</v>
      </c>
      <c r="F481" s="7">
        <v>85100</v>
      </c>
      <c r="G481" s="8">
        <v>69200</v>
      </c>
      <c r="H481" s="8">
        <v>79000</v>
      </c>
      <c r="I481" s="8">
        <v>182500</v>
      </c>
      <c r="J481" s="8">
        <v>137000</v>
      </c>
      <c r="K481" s="8">
        <v>238000</v>
      </c>
      <c r="L481" s="7">
        <v>480000</v>
      </c>
      <c r="M481" s="7">
        <v>850000</v>
      </c>
      <c r="N481" s="7">
        <v>123500</v>
      </c>
      <c r="O481" s="7">
        <v>170000</v>
      </c>
      <c r="P481" s="7">
        <v>89900</v>
      </c>
      <c r="Q481" s="8">
        <v>411000</v>
      </c>
      <c r="R481" s="8">
        <v>406000</v>
      </c>
      <c r="S481" s="8">
        <v>456500</v>
      </c>
      <c r="T481" s="8">
        <v>43850</v>
      </c>
      <c r="U481" s="8">
        <v>159000</v>
      </c>
      <c r="V481" s="7">
        <v>422500</v>
      </c>
      <c r="W481" s="7">
        <v>30626</v>
      </c>
      <c r="X481" s="7">
        <v>394500</v>
      </c>
      <c r="Y481" s="7">
        <v>26600</v>
      </c>
      <c r="Z481" s="7">
        <v>77914</v>
      </c>
      <c r="AA481" s="8">
        <v>147500</v>
      </c>
      <c r="AB481" s="8">
        <v>482000</v>
      </c>
      <c r="AC481" s="8">
        <v>18550</v>
      </c>
      <c r="AD481" s="8">
        <v>259000</v>
      </c>
      <c r="AE481" s="8">
        <v>61100</v>
      </c>
      <c r="AF481" s="7">
        <v>39350</v>
      </c>
      <c r="AG481" s="7">
        <v>100000</v>
      </c>
      <c r="AH481" s="7">
        <v>67600</v>
      </c>
      <c r="AI481" s="7">
        <v>67100</v>
      </c>
      <c r="AJ481" s="7">
        <v>29300</v>
      </c>
      <c r="AK481" s="8">
        <v>30100</v>
      </c>
      <c r="AL481" s="8">
        <v>212500</v>
      </c>
      <c r="AM481" s="8">
        <v>330500</v>
      </c>
      <c r="AN481" s="8">
        <v>39450</v>
      </c>
      <c r="AO481" s="8">
        <v>12650</v>
      </c>
      <c r="AP481" s="7">
        <v>474000</v>
      </c>
      <c r="AQ481" s="7">
        <v>466000</v>
      </c>
      <c r="AR481" s="7">
        <v>14300</v>
      </c>
      <c r="AS481" s="7">
        <v>52800</v>
      </c>
      <c r="AT481" s="7">
        <v>79843</v>
      </c>
      <c r="AU481" s="8">
        <v>194000</v>
      </c>
      <c r="AV481" s="8">
        <v>41050</v>
      </c>
      <c r="AW481" s="8">
        <v>7790</v>
      </c>
      <c r="AX481" s="8">
        <v>217000</v>
      </c>
      <c r="AY481" s="8">
        <v>54500</v>
      </c>
    </row>
    <row r="482" spans="1:51" x14ac:dyDescent="0.4">
      <c r="A482" s="11">
        <v>40749</v>
      </c>
      <c r="B482" s="7">
        <v>78300</v>
      </c>
      <c r="C482" s="7">
        <v>23900</v>
      </c>
      <c r="D482" s="7">
        <v>89200</v>
      </c>
      <c r="E482" s="7">
        <v>234000</v>
      </c>
      <c r="F482" s="7">
        <v>87700</v>
      </c>
      <c r="G482" s="8">
        <v>70800</v>
      </c>
      <c r="H482" s="8">
        <v>78200</v>
      </c>
      <c r="I482" s="8">
        <v>176500</v>
      </c>
      <c r="J482" s="8">
        <v>137500</v>
      </c>
      <c r="K482" s="8">
        <v>234000</v>
      </c>
      <c r="L482" s="7">
        <v>476000</v>
      </c>
      <c r="M482" s="7">
        <v>847000</v>
      </c>
      <c r="N482" s="7">
        <v>128000</v>
      </c>
      <c r="O482" s="7">
        <v>169500</v>
      </c>
      <c r="P482" s="7">
        <v>90600</v>
      </c>
      <c r="Q482" s="8">
        <v>404000</v>
      </c>
      <c r="R482" s="8">
        <v>404000</v>
      </c>
      <c r="S482" s="8">
        <v>458000</v>
      </c>
      <c r="T482" s="8">
        <v>43400</v>
      </c>
      <c r="U482" s="8">
        <v>153000</v>
      </c>
      <c r="V482" s="7">
        <v>414500</v>
      </c>
      <c r="W482" s="7">
        <v>31315</v>
      </c>
      <c r="X482" s="7">
        <v>390000</v>
      </c>
      <c r="Y482" s="7">
        <v>26500</v>
      </c>
      <c r="Z482" s="7">
        <v>74003</v>
      </c>
      <c r="AA482" s="8">
        <v>144500</v>
      </c>
      <c r="AB482" s="8">
        <v>473000</v>
      </c>
      <c r="AC482" s="8">
        <v>18150</v>
      </c>
      <c r="AD482" s="8">
        <v>270000</v>
      </c>
      <c r="AE482" s="8">
        <v>60900</v>
      </c>
      <c r="AF482" s="7">
        <v>38750</v>
      </c>
      <c r="AG482" s="7">
        <v>99100</v>
      </c>
      <c r="AH482" s="7">
        <v>67000</v>
      </c>
      <c r="AI482" s="7">
        <v>68400</v>
      </c>
      <c r="AJ482" s="7">
        <v>28900</v>
      </c>
      <c r="AK482" s="8">
        <v>30450</v>
      </c>
      <c r="AL482" s="8">
        <v>206500</v>
      </c>
      <c r="AM482" s="8">
        <v>332000</v>
      </c>
      <c r="AN482" s="8">
        <v>38350</v>
      </c>
      <c r="AO482" s="8">
        <v>13650</v>
      </c>
      <c r="AP482" s="7">
        <v>490000</v>
      </c>
      <c r="AQ482" s="7">
        <v>453000</v>
      </c>
      <c r="AR482" s="7">
        <v>14100</v>
      </c>
      <c r="AS482" s="7">
        <v>51500</v>
      </c>
      <c r="AT482" s="7">
        <v>80625</v>
      </c>
      <c r="AU482" s="8">
        <v>191000</v>
      </c>
      <c r="AV482" s="8">
        <v>40450</v>
      </c>
      <c r="AW482" s="8">
        <v>7690</v>
      </c>
      <c r="AX482" s="8">
        <v>207500</v>
      </c>
      <c r="AY482" s="8">
        <v>53900</v>
      </c>
    </row>
    <row r="483" spans="1:51" x14ac:dyDescent="0.4">
      <c r="A483" s="11">
        <v>40746</v>
      </c>
      <c r="B483" s="7">
        <v>77300</v>
      </c>
      <c r="C483" s="7">
        <v>23750</v>
      </c>
      <c r="D483" s="7">
        <v>90600</v>
      </c>
      <c r="E483" s="7">
        <v>237500</v>
      </c>
      <c r="F483" s="7">
        <v>91800</v>
      </c>
      <c r="G483" s="8">
        <v>71500</v>
      </c>
      <c r="H483" s="8">
        <v>78600</v>
      </c>
      <c r="I483" s="8">
        <v>180500</v>
      </c>
      <c r="J483" s="8">
        <v>137000</v>
      </c>
      <c r="K483" s="8">
        <v>236500</v>
      </c>
      <c r="L483" s="7">
        <v>474000</v>
      </c>
      <c r="M483" s="7">
        <v>850000</v>
      </c>
      <c r="N483" s="7">
        <v>131500</v>
      </c>
      <c r="O483" s="7">
        <v>173500</v>
      </c>
      <c r="P483" s="7">
        <v>92100</v>
      </c>
      <c r="Q483" s="8">
        <v>417500</v>
      </c>
      <c r="R483" s="8">
        <v>415000</v>
      </c>
      <c r="S483" s="8">
        <v>453500</v>
      </c>
      <c r="T483" s="8">
        <v>44650</v>
      </c>
      <c r="U483" s="8">
        <v>153500</v>
      </c>
      <c r="V483" s="7">
        <v>424000</v>
      </c>
      <c r="W483" s="7">
        <v>31020</v>
      </c>
      <c r="X483" s="7">
        <v>392500</v>
      </c>
      <c r="Y483" s="7">
        <v>26600</v>
      </c>
      <c r="Z483" s="7">
        <v>75567</v>
      </c>
      <c r="AA483" s="8">
        <v>143500</v>
      </c>
      <c r="AB483" s="8">
        <v>482000</v>
      </c>
      <c r="AC483" s="8">
        <v>18700</v>
      </c>
      <c r="AD483" s="8">
        <v>280500</v>
      </c>
      <c r="AE483" s="8">
        <v>61800</v>
      </c>
      <c r="AF483" s="7">
        <v>38950</v>
      </c>
      <c r="AG483" s="7">
        <v>99400</v>
      </c>
      <c r="AH483" s="7">
        <v>68000</v>
      </c>
      <c r="AI483" s="7">
        <v>67900</v>
      </c>
      <c r="AJ483" s="7">
        <v>29450</v>
      </c>
      <c r="AK483" s="8">
        <v>30750</v>
      </c>
      <c r="AL483" s="8">
        <v>209500</v>
      </c>
      <c r="AM483" s="8">
        <v>335000</v>
      </c>
      <c r="AN483" s="8">
        <v>39700</v>
      </c>
      <c r="AO483" s="8">
        <v>13600</v>
      </c>
      <c r="AP483" s="7">
        <v>482000</v>
      </c>
      <c r="AQ483" s="7">
        <v>468000</v>
      </c>
      <c r="AR483" s="7">
        <v>14300</v>
      </c>
      <c r="AS483" s="7">
        <v>52900</v>
      </c>
      <c r="AT483" s="7">
        <v>81407</v>
      </c>
      <c r="AU483" s="8">
        <v>194000</v>
      </c>
      <c r="AV483" s="8">
        <v>40050</v>
      </c>
      <c r="AW483" s="8">
        <v>7780</v>
      </c>
      <c r="AX483" s="8">
        <v>213000</v>
      </c>
      <c r="AY483" s="8">
        <v>54600</v>
      </c>
    </row>
    <row r="484" spans="1:51" x14ac:dyDescent="0.4">
      <c r="A484" s="12">
        <v>40745</v>
      </c>
      <c r="B484" s="9">
        <v>75000</v>
      </c>
      <c r="C484" s="9">
        <v>23650</v>
      </c>
      <c r="D484" s="9">
        <v>90300</v>
      </c>
      <c r="E484" s="9">
        <v>238500</v>
      </c>
      <c r="F484" s="9">
        <v>91200</v>
      </c>
      <c r="G484" s="10">
        <v>71400</v>
      </c>
      <c r="H484" s="10">
        <v>79700</v>
      </c>
      <c r="I484" s="10">
        <v>170000</v>
      </c>
      <c r="J484" s="10">
        <v>135500</v>
      </c>
      <c r="K484" s="10">
        <v>233000</v>
      </c>
      <c r="L484" s="9">
        <v>470000</v>
      </c>
      <c r="M484" s="9">
        <v>842000</v>
      </c>
      <c r="N484" s="9">
        <v>132500</v>
      </c>
      <c r="O484" s="9">
        <v>175000</v>
      </c>
      <c r="P484" s="9">
        <v>92600</v>
      </c>
      <c r="Q484" s="10">
        <v>410000</v>
      </c>
      <c r="R484" s="10">
        <v>409000</v>
      </c>
      <c r="S484" s="10">
        <v>459000</v>
      </c>
      <c r="T484" s="10">
        <v>43700</v>
      </c>
      <c r="U484" s="10">
        <v>143500</v>
      </c>
      <c r="V484" s="9">
        <v>416000</v>
      </c>
      <c r="W484" s="9">
        <v>30675</v>
      </c>
      <c r="X484" s="9">
        <v>388500</v>
      </c>
      <c r="Y484" s="9">
        <v>26350</v>
      </c>
      <c r="Z484" s="9">
        <v>73808</v>
      </c>
      <c r="AA484" s="10">
        <v>144500</v>
      </c>
      <c r="AB484" s="10">
        <v>488500</v>
      </c>
      <c r="AC484" s="10">
        <v>18500</v>
      </c>
      <c r="AD484" s="10">
        <v>274500</v>
      </c>
      <c r="AE484" s="10">
        <v>62000</v>
      </c>
      <c r="AF484" s="9">
        <v>39050</v>
      </c>
      <c r="AG484" s="9">
        <v>98200</v>
      </c>
      <c r="AH484" s="9">
        <v>66000</v>
      </c>
      <c r="AI484" s="9">
        <v>67500</v>
      </c>
      <c r="AJ484" s="9">
        <v>30250</v>
      </c>
      <c r="AK484" s="10">
        <v>30850</v>
      </c>
      <c r="AL484" s="10">
        <v>210000</v>
      </c>
      <c r="AM484" s="10">
        <v>336000</v>
      </c>
      <c r="AN484" s="10">
        <v>38300</v>
      </c>
      <c r="AO484" s="10">
        <v>13100</v>
      </c>
      <c r="AP484" s="9">
        <v>477000</v>
      </c>
      <c r="AQ484" s="9">
        <v>461500</v>
      </c>
      <c r="AR484" s="9">
        <v>14100</v>
      </c>
      <c r="AS484" s="9">
        <v>52700</v>
      </c>
      <c r="AT484" s="9">
        <v>81993</v>
      </c>
      <c r="AU484" s="10">
        <v>188000</v>
      </c>
      <c r="AV484" s="10">
        <v>38950</v>
      </c>
      <c r="AW484" s="10">
        <v>7720</v>
      </c>
      <c r="AX484" s="10">
        <v>207500</v>
      </c>
      <c r="AY484" s="10">
        <v>54400</v>
      </c>
    </row>
    <row r="485" spans="1:51" x14ac:dyDescent="0.4">
      <c r="A485" s="11">
        <v>40744</v>
      </c>
      <c r="B485" s="7">
        <v>76400</v>
      </c>
      <c r="C485" s="7">
        <v>24200</v>
      </c>
      <c r="D485" s="7">
        <v>88300</v>
      </c>
      <c r="E485" s="7">
        <v>243000</v>
      </c>
      <c r="F485" s="7">
        <v>91400</v>
      </c>
      <c r="G485" s="8">
        <v>71400</v>
      </c>
      <c r="H485" s="8">
        <v>80700</v>
      </c>
      <c r="I485" s="8">
        <v>169000</v>
      </c>
      <c r="J485" s="8">
        <v>132000</v>
      </c>
      <c r="K485" s="8">
        <v>235500</v>
      </c>
      <c r="L485" s="7">
        <v>457000</v>
      </c>
      <c r="M485" s="7">
        <v>851000</v>
      </c>
      <c r="N485" s="7">
        <v>130500</v>
      </c>
      <c r="O485" s="7">
        <v>174500</v>
      </c>
      <c r="P485" s="7">
        <v>94400</v>
      </c>
      <c r="Q485" s="8">
        <v>432000</v>
      </c>
      <c r="R485" s="8">
        <v>382500</v>
      </c>
      <c r="S485" s="8">
        <v>462500</v>
      </c>
      <c r="T485" s="8">
        <v>45000</v>
      </c>
      <c r="U485" s="8">
        <v>140000</v>
      </c>
      <c r="V485" s="7">
        <v>417000</v>
      </c>
      <c r="W485" s="7">
        <v>31069</v>
      </c>
      <c r="X485" s="7">
        <v>398500</v>
      </c>
      <c r="Y485" s="7">
        <v>26250</v>
      </c>
      <c r="Z485" s="7">
        <v>73906</v>
      </c>
      <c r="AA485" s="8">
        <v>144000</v>
      </c>
      <c r="AB485" s="8">
        <v>498000</v>
      </c>
      <c r="AC485" s="8">
        <v>18450</v>
      </c>
      <c r="AD485" s="8">
        <v>268500</v>
      </c>
      <c r="AE485" s="8">
        <v>61200</v>
      </c>
      <c r="AF485" s="7">
        <v>38850</v>
      </c>
      <c r="AG485" s="7">
        <v>98500</v>
      </c>
      <c r="AH485" s="7">
        <v>67600</v>
      </c>
      <c r="AI485" s="7">
        <v>67200</v>
      </c>
      <c r="AJ485" s="7">
        <v>30550</v>
      </c>
      <c r="AK485" s="8">
        <v>30800</v>
      </c>
      <c r="AL485" s="8">
        <v>201000</v>
      </c>
      <c r="AM485" s="8">
        <v>330000</v>
      </c>
      <c r="AN485" s="8">
        <v>38550</v>
      </c>
      <c r="AO485" s="8">
        <v>12850</v>
      </c>
      <c r="AP485" s="7">
        <v>475000</v>
      </c>
      <c r="AQ485" s="7">
        <v>493500</v>
      </c>
      <c r="AR485" s="7">
        <v>13800</v>
      </c>
      <c r="AS485" s="7">
        <v>52400</v>
      </c>
      <c r="AT485" s="7">
        <v>81895</v>
      </c>
      <c r="AU485" s="8">
        <v>192500</v>
      </c>
      <c r="AV485" s="8">
        <v>38200</v>
      </c>
      <c r="AW485" s="8">
        <v>7780</v>
      </c>
      <c r="AX485" s="8">
        <v>209500</v>
      </c>
      <c r="AY485" s="8">
        <v>53200</v>
      </c>
    </row>
    <row r="486" spans="1:51" x14ac:dyDescent="0.4">
      <c r="A486" s="11">
        <v>40743</v>
      </c>
      <c r="B486" s="7">
        <v>75600</v>
      </c>
      <c r="C486" s="7">
        <v>23350</v>
      </c>
      <c r="D486" s="7">
        <v>86500</v>
      </c>
      <c r="E486" s="7">
        <v>241000</v>
      </c>
      <c r="F486" s="7">
        <v>89000</v>
      </c>
      <c r="G486" s="8">
        <v>70100</v>
      </c>
      <c r="H486" s="8">
        <v>78600</v>
      </c>
      <c r="I486" s="8">
        <v>169000</v>
      </c>
      <c r="J486" s="8">
        <v>129500</v>
      </c>
      <c r="K486" s="8">
        <v>233000</v>
      </c>
      <c r="L486" s="7">
        <v>447500</v>
      </c>
      <c r="M486" s="7">
        <v>822000</v>
      </c>
      <c r="N486" s="7">
        <v>127000</v>
      </c>
      <c r="O486" s="7">
        <v>163000</v>
      </c>
      <c r="P486" s="7">
        <v>91500</v>
      </c>
      <c r="Q486" s="8">
        <v>449500</v>
      </c>
      <c r="R486" s="8">
        <v>381000</v>
      </c>
      <c r="S486" s="8">
        <v>460500</v>
      </c>
      <c r="T486" s="8">
        <v>46800</v>
      </c>
      <c r="U486" s="8">
        <v>140500</v>
      </c>
      <c r="V486" s="7">
        <v>417000</v>
      </c>
      <c r="W486" s="7">
        <v>30675</v>
      </c>
      <c r="X486" s="7">
        <v>393500</v>
      </c>
      <c r="Y486" s="7">
        <v>26900</v>
      </c>
      <c r="Z486" s="7">
        <v>72732</v>
      </c>
      <c r="AA486" s="8">
        <v>143500</v>
      </c>
      <c r="AB486" s="8">
        <v>496500</v>
      </c>
      <c r="AC486" s="8">
        <v>18050</v>
      </c>
      <c r="AD486" s="8">
        <v>260000</v>
      </c>
      <c r="AE486" s="8">
        <v>59000</v>
      </c>
      <c r="AF486" s="7">
        <v>38650</v>
      </c>
      <c r="AG486" s="7">
        <v>98400</v>
      </c>
      <c r="AH486" s="7">
        <v>67200</v>
      </c>
      <c r="AI486" s="7">
        <v>65800</v>
      </c>
      <c r="AJ486" s="7">
        <v>29150</v>
      </c>
      <c r="AK486" s="8">
        <v>30200</v>
      </c>
      <c r="AL486" s="8">
        <v>202000</v>
      </c>
      <c r="AM486" s="8">
        <v>319000</v>
      </c>
      <c r="AN486" s="8">
        <v>40550</v>
      </c>
      <c r="AO486" s="8">
        <v>13000</v>
      </c>
      <c r="AP486" s="7">
        <v>474500</v>
      </c>
      <c r="AQ486" s="7">
        <v>486500</v>
      </c>
      <c r="AR486" s="7">
        <v>13500</v>
      </c>
      <c r="AS486" s="7">
        <v>50600</v>
      </c>
      <c r="AT486" s="7">
        <v>80332</v>
      </c>
      <c r="AU486" s="8">
        <v>193500</v>
      </c>
      <c r="AV486" s="8">
        <v>38000</v>
      </c>
      <c r="AW486" s="8">
        <v>7800</v>
      </c>
      <c r="AX486" s="8">
        <v>206500</v>
      </c>
      <c r="AY486" s="8">
        <v>51700</v>
      </c>
    </row>
    <row r="487" spans="1:51" x14ac:dyDescent="0.4">
      <c r="A487" s="11">
        <v>40742</v>
      </c>
      <c r="B487" s="7">
        <v>75100</v>
      </c>
      <c r="C487" s="7">
        <v>22950</v>
      </c>
      <c r="D487" s="7">
        <v>86400</v>
      </c>
      <c r="E487" s="7">
        <v>238000</v>
      </c>
      <c r="F487" s="7">
        <v>88700</v>
      </c>
      <c r="G487" s="8">
        <v>69000</v>
      </c>
      <c r="H487" s="8">
        <v>77900</v>
      </c>
      <c r="I487" s="8">
        <v>172500</v>
      </c>
      <c r="J487" s="8">
        <v>131500</v>
      </c>
      <c r="K487" s="8">
        <v>236500</v>
      </c>
      <c r="L487" s="7">
        <v>446500</v>
      </c>
      <c r="M487" s="7">
        <v>813000</v>
      </c>
      <c r="N487" s="7">
        <v>128500</v>
      </c>
      <c r="O487" s="7">
        <v>163500</v>
      </c>
      <c r="P487" s="7">
        <v>90900</v>
      </c>
      <c r="Q487" s="8">
        <v>451500</v>
      </c>
      <c r="R487" s="8">
        <v>381000</v>
      </c>
      <c r="S487" s="8">
        <v>443000</v>
      </c>
      <c r="T487" s="8">
        <v>46400</v>
      </c>
      <c r="U487" s="8">
        <v>146500</v>
      </c>
      <c r="V487" s="7">
        <v>434000</v>
      </c>
      <c r="W487" s="7">
        <v>30675</v>
      </c>
      <c r="X487" s="7">
        <v>397000</v>
      </c>
      <c r="Y487" s="7">
        <v>27050</v>
      </c>
      <c r="Z487" s="7">
        <v>72732</v>
      </c>
      <c r="AA487" s="8">
        <v>144000</v>
      </c>
      <c r="AB487" s="8">
        <v>484000</v>
      </c>
      <c r="AC487" s="8">
        <v>18050</v>
      </c>
      <c r="AD487" s="8">
        <v>264000</v>
      </c>
      <c r="AE487" s="8">
        <v>59100</v>
      </c>
      <c r="AF487" s="7">
        <v>38650</v>
      </c>
      <c r="AG487" s="7">
        <v>98300</v>
      </c>
      <c r="AH487" s="7">
        <v>68100</v>
      </c>
      <c r="AI487" s="7">
        <v>66400</v>
      </c>
      <c r="AJ487" s="7">
        <v>28200</v>
      </c>
      <c r="AK487" s="8">
        <v>30150</v>
      </c>
      <c r="AL487" s="8">
        <v>195500</v>
      </c>
      <c r="AM487" s="8">
        <v>314000</v>
      </c>
      <c r="AN487" s="8">
        <v>40500</v>
      </c>
      <c r="AO487" s="8">
        <v>12200</v>
      </c>
      <c r="AP487" s="7">
        <v>475000</v>
      </c>
      <c r="AQ487" s="7">
        <v>496500</v>
      </c>
      <c r="AR487" s="7">
        <v>13500</v>
      </c>
      <c r="AS487" s="7">
        <v>51000</v>
      </c>
      <c r="AT487" s="7">
        <v>79745</v>
      </c>
      <c r="AU487" s="8">
        <v>191500</v>
      </c>
      <c r="AV487" s="8">
        <v>36800</v>
      </c>
      <c r="AW487" s="8">
        <v>7700</v>
      </c>
      <c r="AX487" s="8">
        <v>219000</v>
      </c>
      <c r="AY487" s="8">
        <v>52000</v>
      </c>
    </row>
    <row r="488" spans="1:51" x14ac:dyDescent="0.4">
      <c r="A488" s="11">
        <v>40739</v>
      </c>
      <c r="B488" s="7">
        <v>75200</v>
      </c>
      <c r="C488" s="7">
        <v>24000</v>
      </c>
      <c r="D488" s="7">
        <v>88300</v>
      </c>
      <c r="E488" s="7">
        <v>244000</v>
      </c>
      <c r="F488" s="7">
        <v>89300</v>
      </c>
      <c r="G488" s="8">
        <v>70000</v>
      </c>
      <c r="H488" s="8">
        <v>79000</v>
      </c>
      <c r="I488" s="8">
        <v>172500</v>
      </c>
      <c r="J488" s="8">
        <v>133500</v>
      </c>
      <c r="K488" s="8">
        <v>240000</v>
      </c>
      <c r="L488" s="7">
        <v>461500</v>
      </c>
      <c r="M488" s="7">
        <v>832000</v>
      </c>
      <c r="N488" s="7">
        <v>129500</v>
      </c>
      <c r="O488" s="7">
        <v>169500</v>
      </c>
      <c r="P488" s="7">
        <v>92200</v>
      </c>
      <c r="Q488" s="8">
        <v>463000</v>
      </c>
      <c r="R488" s="8">
        <v>397500</v>
      </c>
      <c r="S488" s="8">
        <v>444000</v>
      </c>
      <c r="T488" s="8">
        <v>47000</v>
      </c>
      <c r="U488" s="8">
        <v>153000</v>
      </c>
      <c r="V488" s="7">
        <v>439000</v>
      </c>
      <c r="W488" s="7">
        <v>30823</v>
      </c>
      <c r="X488" s="7">
        <v>397500</v>
      </c>
      <c r="Y488" s="7">
        <v>27600</v>
      </c>
      <c r="Z488" s="7">
        <v>74590</v>
      </c>
      <c r="AA488" s="8">
        <v>144000</v>
      </c>
      <c r="AB488" s="8">
        <v>486000</v>
      </c>
      <c r="AC488" s="8">
        <v>17900</v>
      </c>
      <c r="AD488" s="8">
        <v>268500</v>
      </c>
      <c r="AE488" s="8">
        <v>59400</v>
      </c>
      <c r="AF488" s="7">
        <v>39050</v>
      </c>
      <c r="AG488" s="7">
        <v>95400</v>
      </c>
      <c r="AH488" s="7">
        <v>68000</v>
      </c>
      <c r="AI488" s="7">
        <v>65900</v>
      </c>
      <c r="AJ488" s="7">
        <v>28200</v>
      </c>
      <c r="AK488" s="8">
        <v>30300</v>
      </c>
      <c r="AL488" s="8">
        <v>187500</v>
      </c>
      <c r="AM488" s="8">
        <v>322000</v>
      </c>
      <c r="AN488" s="8">
        <v>41300</v>
      </c>
      <c r="AO488" s="8">
        <v>12500</v>
      </c>
      <c r="AP488" s="7">
        <v>475000</v>
      </c>
      <c r="AQ488" s="7">
        <v>489500</v>
      </c>
      <c r="AR488" s="7">
        <v>13800</v>
      </c>
      <c r="AS488" s="7">
        <v>50900</v>
      </c>
      <c r="AT488" s="7">
        <v>80136</v>
      </c>
      <c r="AU488" s="8">
        <v>184500</v>
      </c>
      <c r="AV488" s="8">
        <v>37100</v>
      </c>
      <c r="AW488" s="8">
        <v>7820</v>
      </c>
      <c r="AX488" s="8">
        <v>222000</v>
      </c>
      <c r="AY488" s="8">
        <v>52200</v>
      </c>
    </row>
    <row r="489" spans="1:51" x14ac:dyDescent="0.4">
      <c r="A489" s="12">
        <v>40738</v>
      </c>
      <c r="B489" s="9">
        <v>75200</v>
      </c>
      <c r="C489" s="9">
        <v>23700</v>
      </c>
      <c r="D489" s="9">
        <v>87100</v>
      </c>
      <c r="E489" s="9">
        <v>244500</v>
      </c>
      <c r="F489" s="9">
        <v>88600</v>
      </c>
      <c r="G489" s="10">
        <v>69900</v>
      </c>
      <c r="H489" s="10">
        <v>77700</v>
      </c>
      <c r="I489" s="10">
        <v>170500</v>
      </c>
      <c r="J489" s="10">
        <v>134000</v>
      </c>
      <c r="K489" s="10">
        <v>238500</v>
      </c>
      <c r="L489" s="9">
        <v>463500</v>
      </c>
      <c r="M489" s="9">
        <v>831000</v>
      </c>
      <c r="N489" s="9">
        <v>127000</v>
      </c>
      <c r="O489" s="9">
        <v>167500</v>
      </c>
      <c r="P489" s="9">
        <v>91300</v>
      </c>
      <c r="Q489" s="10">
        <v>459000</v>
      </c>
      <c r="R489" s="10">
        <v>389500</v>
      </c>
      <c r="S489" s="10">
        <v>434000</v>
      </c>
      <c r="T489" s="10">
        <v>47450</v>
      </c>
      <c r="U489" s="10">
        <v>155000</v>
      </c>
      <c r="V489" s="9">
        <v>435500</v>
      </c>
      <c r="W489" s="9">
        <v>30725</v>
      </c>
      <c r="X489" s="9">
        <v>401000</v>
      </c>
      <c r="Y489" s="9">
        <v>27550</v>
      </c>
      <c r="Z489" s="9">
        <v>73906</v>
      </c>
      <c r="AA489" s="10">
        <v>140500</v>
      </c>
      <c r="AB489" s="10">
        <v>490000</v>
      </c>
      <c r="AC489" s="10">
        <v>17450</v>
      </c>
      <c r="AD489" s="10">
        <v>265500</v>
      </c>
      <c r="AE489" s="10">
        <v>58200</v>
      </c>
      <c r="AF489" s="9">
        <v>39500</v>
      </c>
      <c r="AG489" s="9">
        <v>94800</v>
      </c>
      <c r="AH489" s="9">
        <v>67000</v>
      </c>
      <c r="AI489" s="9">
        <v>64000</v>
      </c>
      <c r="AJ489" s="9">
        <v>27850</v>
      </c>
      <c r="AK489" s="10">
        <v>30450</v>
      </c>
      <c r="AL489" s="10">
        <v>184500</v>
      </c>
      <c r="AM489" s="10">
        <v>320500</v>
      </c>
      <c r="AN489" s="10">
        <v>41900</v>
      </c>
      <c r="AO489" s="10">
        <v>12550</v>
      </c>
      <c r="AP489" s="9">
        <v>470000</v>
      </c>
      <c r="AQ489" s="9">
        <v>489500</v>
      </c>
      <c r="AR489" s="9">
        <v>13750</v>
      </c>
      <c r="AS489" s="9">
        <v>50000</v>
      </c>
      <c r="AT489" s="9">
        <v>78084</v>
      </c>
      <c r="AU489" s="10">
        <v>187500</v>
      </c>
      <c r="AV489" s="10">
        <v>37150</v>
      </c>
      <c r="AW489" s="10">
        <v>7690</v>
      </c>
      <c r="AX489" s="10">
        <v>219500</v>
      </c>
      <c r="AY489" s="10">
        <v>53200</v>
      </c>
    </row>
    <row r="490" spans="1:51" x14ac:dyDescent="0.4">
      <c r="A490" s="11">
        <v>40737</v>
      </c>
      <c r="B490" s="7">
        <v>74200</v>
      </c>
      <c r="C490" s="7">
        <v>24300</v>
      </c>
      <c r="D490" s="7">
        <v>87100</v>
      </c>
      <c r="E490" s="7">
        <v>247500</v>
      </c>
      <c r="F490" s="7">
        <v>88800</v>
      </c>
      <c r="G490" s="8">
        <v>72000</v>
      </c>
      <c r="H490" s="8">
        <v>75900</v>
      </c>
      <c r="I490" s="8">
        <v>168000</v>
      </c>
      <c r="J490" s="8">
        <v>134500</v>
      </c>
      <c r="K490" s="8">
        <v>238000</v>
      </c>
      <c r="L490" s="7">
        <v>459000</v>
      </c>
      <c r="M490" s="7">
        <v>843000</v>
      </c>
      <c r="N490" s="7">
        <v>127500</v>
      </c>
      <c r="O490" s="7">
        <v>165000</v>
      </c>
      <c r="P490" s="7">
        <v>91900</v>
      </c>
      <c r="Q490" s="8">
        <v>467500</v>
      </c>
      <c r="R490" s="8">
        <v>412000</v>
      </c>
      <c r="S490" s="8">
        <v>410000</v>
      </c>
      <c r="T490" s="8">
        <v>47900</v>
      </c>
      <c r="U490" s="8">
        <v>151000</v>
      </c>
      <c r="V490" s="7">
        <v>419500</v>
      </c>
      <c r="W490" s="7">
        <v>31168</v>
      </c>
      <c r="X490" s="7">
        <v>401500</v>
      </c>
      <c r="Y490" s="7">
        <v>27750</v>
      </c>
      <c r="Z490" s="7">
        <v>73710</v>
      </c>
      <c r="AA490" s="8">
        <v>140000</v>
      </c>
      <c r="AB490" s="8">
        <v>494500</v>
      </c>
      <c r="AC490" s="8">
        <v>17600</v>
      </c>
      <c r="AD490" s="8">
        <v>264500</v>
      </c>
      <c r="AE490" s="8">
        <v>58200</v>
      </c>
      <c r="AF490" s="7">
        <v>39950</v>
      </c>
      <c r="AG490" s="7">
        <v>95700</v>
      </c>
      <c r="AH490" s="7">
        <v>67600</v>
      </c>
      <c r="AI490" s="7">
        <v>61800</v>
      </c>
      <c r="AJ490" s="7">
        <v>27800</v>
      </c>
      <c r="AK490" s="8">
        <v>30650</v>
      </c>
      <c r="AL490" s="8">
        <v>188000</v>
      </c>
      <c r="AM490" s="8">
        <v>317500</v>
      </c>
      <c r="AN490" s="8">
        <v>42050</v>
      </c>
      <c r="AO490" s="8">
        <v>12650</v>
      </c>
      <c r="AP490" s="7">
        <v>469500</v>
      </c>
      <c r="AQ490" s="7">
        <v>486000</v>
      </c>
      <c r="AR490" s="7">
        <v>13700</v>
      </c>
      <c r="AS490" s="7">
        <v>50000</v>
      </c>
      <c r="AT490" s="7">
        <v>79159</v>
      </c>
      <c r="AU490" s="8">
        <v>185500</v>
      </c>
      <c r="AV490" s="8">
        <v>37300</v>
      </c>
      <c r="AW490" s="8">
        <v>7780</v>
      </c>
      <c r="AX490" s="8">
        <v>215500</v>
      </c>
      <c r="AY490" s="8">
        <v>53200</v>
      </c>
    </row>
    <row r="491" spans="1:51" x14ac:dyDescent="0.4">
      <c r="A491" s="11">
        <v>40736</v>
      </c>
      <c r="B491" s="7">
        <v>71800</v>
      </c>
      <c r="C491" s="7">
        <v>25350</v>
      </c>
      <c r="D491" s="7">
        <v>86000</v>
      </c>
      <c r="E491" s="7">
        <v>238500</v>
      </c>
      <c r="F491" s="7">
        <v>86700</v>
      </c>
      <c r="G491" s="8">
        <v>70800</v>
      </c>
      <c r="H491" s="8">
        <v>76700</v>
      </c>
      <c r="I491" s="8">
        <v>171000</v>
      </c>
      <c r="J491" s="8">
        <v>131000</v>
      </c>
      <c r="K491" s="8">
        <v>231500</v>
      </c>
      <c r="L491" s="7">
        <v>459000</v>
      </c>
      <c r="M491" s="7">
        <v>850000</v>
      </c>
      <c r="N491" s="7">
        <v>125000</v>
      </c>
      <c r="O491" s="7">
        <v>164500</v>
      </c>
      <c r="P491" s="7">
        <v>93500</v>
      </c>
      <c r="Q491" s="8">
        <v>467000</v>
      </c>
      <c r="R491" s="8">
        <v>408000</v>
      </c>
      <c r="S491" s="8">
        <v>407500</v>
      </c>
      <c r="T491" s="8">
        <v>47000</v>
      </c>
      <c r="U491" s="8">
        <v>146000</v>
      </c>
      <c r="V491" s="7">
        <v>410000</v>
      </c>
      <c r="W491" s="7">
        <v>31808</v>
      </c>
      <c r="X491" s="7">
        <v>388500</v>
      </c>
      <c r="Y491" s="7">
        <v>27900</v>
      </c>
      <c r="Z491" s="7">
        <v>73514</v>
      </c>
      <c r="AA491" s="8">
        <v>140500</v>
      </c>
      <c r="AB491" s="8">
        <v>487500</v>
      </c>
      <c r="AC491" s="8">
        <v>17600</v>
      </c>
      <c r="AD491" s="8">
        <v>261500</v>
      </c>
      <c r="AE491" s="8">
        <v>57000</v>
      </c>
      <c r="AF491" s="7">
        <v>39950</v>
      </c>
      <c r="AG491" s="7">
        <v>95900</v>
      </c>
      <c r="AH491" s="7">
        <v>67600</v>
      </c>
      <c r="AI491" s="7">
        <v>61800</v>
      </c>
      <c r="AJ491" s="7">
        <v>28500</v>
      </c>
      <c r="AK491" s="8">
        <v>29450</v>
      </c>
      <c r="AL491" s="8">
        <v>185500</v>
      </c>
      <c r="AM491" s="8">
        <v>309000</v>
      </c>
      <c r="AN491" s="8">
        <v>40950</v>
      </c>
      <c r="AO491" s="8">
        <v>12600</v>
      </c>
      <c r="AP491" s="7">
        <v>477500</v>
      </c>
      <c r="AQ491" s="7">
        <v>477500</v>
      </c>
      <c r="AR491" s="7">
        <v>13700</v>
      </c>
      <c r="AS491" s="7">
        <v>49250</v>
      </c>
      <c r="AT491" s="7">
        <v>78475</v>
      </c>
      <c r="AU491" s="8">
        <v>177000</v>
      </c>
      <c r="AV491" s="8">
        <v>37050</v>
      </c>
      <c r="AW491" s="8">
        <v>7730</v>
      </c>
      <c r="AX491" s="8">
        <v>210500</v>
      </c>
      <c r="AY491" s="8">
        <v>53200</v>
      </c>
    </row>
    <row r="492" spans="1:51" x14ac:dyDescent="0.4">
      <c r="A492" s="11">
        <v>40735</v>
      </c>
      <c r="B492" s="7">
        <v>74800</v>
      </c>
      <c r="C492" s="7">
        <v>26450</v>
      </c>
      <c r="D492" s="7">
        <v>87600</v>
      </c>
      <c r="E492" s="7">
        <v>243000</v>
      </c>
      <c r="F492" s="7">
        <v>87700</v>
      </c>
      <c r="G492" s="8">
        <v>71400</v>
      </c>
      <c r="H492" s="8">
        <v>81300</v>
      </c>
      <c r="I492" s="8">
        <v>173000</v>
      </c>
      <c r="J492" s="8">
        <v>136000</v>
      </c>
      <c r="K492" s="8">
        <v>239000</v>
      </c>
      <c r="L492" s="7">
        <v>465500</v>
      </c>
      <c r="M492" s="7">
        <v>865000</v>
      </c>
      <c r="N492" s="7">
        <v>130000</v>
      </c>
      <c r="O492" s="7">
        <v>168000</v>
      </c>
      <c r="P492" s="7">
        <v>97200</v>
      </c>
      <c r="Q492" s="8">
        <v>483500</v>
      </c>
      <c r="R492" s="8">
        <v>426500</v>
      </c>
      <c r="S492" s="8">
        <v>424000</v>
      </c>
      <c r="T492" s="8">
        <v>48000</v>
      </c>
      <c r="U492" s="8">
        <v>146500</v>
      </c>
      <c r="V492" s="7">
        <v>421000</v>
      </c>
      <c r="W492" s="7">
        <v>32497</v>
      </c>
      <c r="X492" s="7">
        <v>409500</v>
      </c>
      <c r="Y492" s="7">
        <v>28350</v>
      </c>
      <c r="Z492" s="7">
        <v>76154</v>
      </c>
      <c r="AA492" s="8">
        <v>144000</v>
      </c>
      <c r="AB492" s="8">
        <v>490500</v>
      </c>
      <c r="AC492" s="8">
        <v>18100</v>
      </c>
      <c r="AD492" s="8">
        <v>264000</v>
      </c>
      <c r="AE492" s="8">
        <v>58000</v>
      </c>
      <c r="AF492" s="7">
        <v>39400</v>
      </c>
      <c r="AG492" s="7">
        <v>97600</v>
      </c>
      <c r="AH492" s="7">
        <v>68300</v>
      </c>
      <c r="AI492" s="7">
        <v>63900</v>
      </c>
      <c r="AJ492" s="7">
        <v>29600</v>
      </c>
      <c r="AK492" s="8">
        <v>30700</v>
      </c>
      <c r="AL492" s="8">
        <v>190500</v>
      </c>
      <c r="AM492" s="8">
        <v>312500</v>
      </c>
      <c r="AN492" s="8">
        <v>42600</v>
      </c>
      <c r="AO492" s="8">
        <v>12450</v>
      </c>
      <c r="AP492" s="7">
        <v>485000</v>
      </c>
      <c r="AQ492" s="7">
        <v>499000</v>
      </c>
      <c r="AR492" s="7">
        <v>13950</v>
      </c>
      <c r="AS492" s="7">
        <v>49850</v>
      </c>
      <c r="AT492" s="7">
        <v>79941</v>
      </c>
      <c r="AU492" s="8">
        <v>177500</v>
      </c>
      <c r="AV492" s="8">
        <v>37950</v>
      </c>
      <c r="AW492" s="8">
        <v>7900</v>
      </c>
      <c r="AX492" s="8">
        <v>211500</v>
      </c>
      <c r="AY492" s="8">
        <v>54500</v>
      </c>
    </row>
    <row r="493" spans="1:51" x14ac:dyDescent="0.4">
      <c r="A493" s="11">
        <v>40732</v>
      </c>
      <c r="B493" s="7">
        <v>76900</v>
      </c>
      <c r="C493" s="7">
        <v>26600</v>
      </c>
      <c r="D493" s="7">
        <v>89000</v>
      </c>
      <c r="E493" s="7">
        <v>245500</v>
      </c>
      <c r="F493" s="7">
        <v>87600</v>
      </c>
      <c r="G493" s="8">
        <v>70700</v>
      </c>
      <c r="H493" s="8">
        <v>81500</v>
      </c>
      <c r="I493" s="8">
        <v>175500</v>
      </c>
      <c r="J493" s="8">
        <v>137500</v>
      </c>
      <c r="K493" s="8">
        <v>247500</v>
      </c>
      <c r="L493" s="7">
        <v>470500</v>
      </c>
      <c r="M493" s="7">
        <v>885000</v>
      </c>
      <c r="N493" s="7">
        <v>130000</v>
      </c>
      <c r="O493" s="7">
        <v>173000</v>
      </c>
      <c r="P493" s="7">
        <v>97700</v>
      </c>
      <c r="Q493" s="8">
        <v>491000</v>
      </c>
      <c r="R493" s="8">
        <v>445500</v>
      </c>
      <c r="S493" s="8">
        <v>419000</v>
      </c>
      <c r="T493" s="8">
        <v>48700</v>
      </c>
      <c r="U493" s="8">
        <v>153000</v>
      </c>
      <c r="V493" s="7">
        <v>432500</v>
      </c>
      <c r="W493" s="7">
        <v>32054</v>
      </c>
      <c r="X493" s="7">
        <v>414500</v>
      </c>
      <c r="Y493" s="7">
        <v>28200</v>
      </c>
      <c r="Z493" s="7">
        <v>78696</v>
      </c>
      <c r="AA493" s="8">
        <v>149500</v>
      </c>
      <c r="AB493" s="8">
        <v>502000</v>
      </c>
      <c r="AC493" s="8">
        <v>18050</v>
      </c>
      <c r="AD493" s="8">
        <v>264000</v>
      </c>
      <c r="AE493" s="8">
        <v>57900</v>
      </c>
      <c r="AF493" s="7">
        <v>39200</v>
      </c>
      <c r="AG493" s="7">
        <v>97200</v>
      </c>
      <c r="AH493" s="7">
        <v>68700</v>
      </c>
      <c r="AI493" s="7">
        <v>63800</v>
      </c>
      <c r="AJ493" s="7">
        <v>30750</v>
      </c>
      <c r="AK493" s="8">
        <v>29800</v>
      </c>
      <c r="AL493" s="8">
        <v>192000</v>
      </c>
      <c r="AM493" s="8">
        <v>306500</v>
      </c>
      <c r="AN493" s="8">
        <v>44150</v>
      </c>
      <c r="AO493" s="8">
        <v>12500</v>
      </c>
      <c r="AP493" s="7">
        <v>480000</v>
      </c>
      <c r="AQ493" s="7">
        <v>509000</v>
      </c>
      <c r="AR493" s="7">
        <v>14200</v>
      </c>
      <c r="AS493" s="7">
        <v>50500</v>
      </c>
      <c r="AT493" s="7">
        <v>81114</v>
      </c>
      <c r="AU493" s="8">
        <v>176000</v>
      </c>
      <c r="AV493" s="8">
        <v>38800</v>
      </c>
      <c r="AW493" s="8">
        <v>7850</v>
      </c>
      <c r="AX493" s="8">
        <v>214500</v>
      </c>
      <c r="AY493" s="8">
        <v>54000</v>
      </c>
    </row>
    <row r="494" spans="1:51" x14ac:dyDescent="0.4">
      <c r="A494" s="12">
        <v>40731</v>
      </c>
      <c r="B494" s="9">
        <v>76600</v>
      </c>
      <c r="C494" s="9">
        <v>26400</v>
      </c>
      <c r="D494" s="9">
        <v>88700</v>
      </c>
      <c r="E494" s="9">
        <v>249000</v>
      </c>
      <c r="F494" s="9">
        <v>87300</v>
      </c>
      <c r="G494" s="10">
        <v>71200</v>
      </c>
      <c r="H494" s="10">
        <v>82100</v>
      </c>
      <c r="I494" s="10">
        <v>173500</v>
      </c>
      <c r="J494" s="10">
        <v>137000</v>
      </c>
      <c r="K494" s="10">
        <v>248000</v>
      </c>
      <c r="L494" s="9">
        <v>464500</v>
      </c>
      <c r="M494" s="9">
        <v>880000</v>
      </c>
      <c r="N494" s="9">
        <v>134500</v>
      </c>
      <c r="O494" s="9">
        <v>172000</v>
      </c>
      <c r="P494" s="9">
        <v>98800</v>
      </c>
      <c r="Q494" s="10">
        <v>496500</v>
      </c>
      <c r="R494" s="10">
        <v>442000</v>
      </c>
      <c r="S494" s="10">
        <v>417000</v>
      </c>
      <c r="T494" s="10">
        <v>49450</v>
      </c>
      <c r="U494" s="10">
        <v>149500</v>
      </c>
      <c r="V494" s="9">
        <v>431500</v>
      </c>
      <c r="W494" s="9">
        <v>32300</v>
      </c>
      <c r="X494" s="9">
        <v>409500</v>
      </c>
      <c r="Y494" s="9">
        <v>28400</v>
      </c>
      <c r="Z494" s="9">
        <v>78696</v>
      </c>
      <c r="AA494" s="10">
        <v>154500</v>
      </c>
      <c r="AB494" s="10">
        <v>497500</v>
      </c>
      <c r="AC494" s="10">
        <v>18450</v>
      </c>
      <c r="AD494" s="10">
        <v>270000</v>
      </c>
      <c r="AE494" s="10">
        <v>58400</v>
      </c>
      <c r="AF494" s="9">
        <v>39800</v>
      </c>
      <c r="AG494" s="9">
        <v>98500</v>
      </c>
      <c r="AH494" s="9">
        <v>68700</v>
      </c>
      <c r="AI494" s="9">
        <v>63100</v>
      </c>
      <c r="AJ494" s="9">
        <v>30700</v>
      </c>
      <c r="AK494" s="10">
        <v>28500</v>
      </c>
      <c r="AL494" s="10">
        <v>191000</v>
      </c>
      <c r="AM494" s="10">
        <v>306000</v>
      </c>
      <c r="AN494" s="10">
        <v>45450</v>
      </c>
      <c r="AO494" s="10">
        <v>12100</v>
      </c>
      <c r="AP494" s="9">
        <v>494000</v>
      </c>
      <c r="AQ494" s="9">
        <v>503000</v>
      </c>
      <c r="AR494" s="9">
        <v>14500</v>
      </c>
      <c r="AS494" s="9">
        <v>52000</v>
      </c>
      <c r="AT494" s="9">
        <v>81602</v>
      </c>
      <c r="AU494" s="10">
        <v>169500</v>
      </c>
      <c r="AV494" s="10">
        <v>38700</v>
      </c>
      <c r="AW494" s="10">
        <v>7830</v>
      </c>
      <c r="AX494" s="10">
        <v>210000</v>
      </c>
      <c r="AY494" s="10">
        <v>53500</v>
      </c>
    </row>
    <row r="495" spans="1:51" x14ac:dyDescent="0.4">
      <c r="A495" s="11">
        <v>40730</v>
      </c>
      <c r="B495" s="7">
        <v>76000</v>
      </c>
      <c r="C495" s="7">
        <v>26500</v>
      </c>
      <c r="D495" s="7">
        <v>86300</v>
      </c>
      <c r="E495" s="7">
        <v>252000</v>
      </c>
      <c r="F495" s="7">
        <v>83300</v>
      </c>
      <c r="G495" s="8">
        <v>72000</v>
      </c>
      <c r="H495" s="8">
        <v>82600</v>
      </c>
      <c r="I495" s="8">
        <v>180500</v>
      </c>
      <c r="J495" s="8">
        <v>137000</v>
      </c>
      <c r="K495" s="8">
        <v>246500</v>
      </c>
      <c r="L495" s="7">
        <v>466000</v>
      </c>
      <c r="M495" s="7">
        <v>898000</v>
      </c>
      <c r="N495" s="7">
        <v>131500</v>
      </c>
      <c r="O495" s="7">
        <v>173500</v>
      </c>
      <c r="P495" s="7">
        <v>101000</v>
      </c>
      <c r="Q495" s="8">
        <v>484000</v>
      </c>
      <c r="R495" s="8">
        <v>433000</v>
      </c>
      <c r="S495" s="8">
        <v>412500</v>
      </c>
      <c r="T495" s="8">
        <v>47650</v>
      </c>
      <c r="U495" s="8">
        <v>150500</v>
      </c>
      <c r="V495" s="7">
        <v>416500</v>
      </c>
      <c r="W495" s="7">
        <v>32152</v>
      </c>
      <c r="X495" s="7">
        <v>399500</v>
      </c>
      <c r="Y495" s="7">
        <v>28400</v>
      </c>
      <c r="Z495" s="7">
        <v>79087</v>
      </c>
      <c r="AA495" s="8">
        <v>159500</v>
      </c>
      <c r="AB495" s="8">
        <v>487500</v>
      </c>
      <c r="AC495" s="8">
        <v>18600</v>
      </c>
      <c r="AD495" s="8">
        <v>269500</v>
      </c>
      <c r="AE495" s="8">
        <v>58000</v>
      </c>
      <c r="AF495" s="7">
        <v>40350</v>
      </c>
      <c r="AG495" s="7">
        <v>97000</v>
      </c>
      <c r="AH495" s="7">
        <v>69500</v>
      </c>
      <c r="AI495" s="7">
        <v>63800</v>
      </c>
      <c r="AJ495" s="7">
        <v>30750</v>
      </c>
      <c r="AK495" s="8">
        <v>29100</v>
      </c>
      <c r="AL495" s="8">
        <v>189000</v>
      </c>
      <c r="AM495" s="8">
        <v>296500</v>
      </c>
      <c r="AN495" s="8">
        <v>44550</v>
      </c>
      <c r="AO495" s="8">
        <v>11850</v>
      </c>
      <c r="AP495" s="7">
        <v>467000</v>
      </c>
      <c r="AQ495" s="7">
        <v>495000</v>
      </c>
      <c r="AR495" s="7">
        <v>14350</v>
      </c>
      <c r="AS495" s="7">
        <v>51900</v>
      </c>
      <c r="AT495" s="7">
        <v>83068</v>
      </c>
      <c r="AU495" s="8">
        <v>167000</v>
      </c>
      <c r="AV495" s="8">
        <v>38700</v>
      </c>
      <c r="AW495" s="8">
        <v>7850</v>
      </c>
      <c r="AX495" s="8">
        <v>207000</v>
      </c>
      <c r="AY495" s="8">
        <v>54200</v>
      </c>
    </row>
    <row r="496" spans="1:51" x14ac:dyDescent="0.4">
      <c r="A496" s="11">
        <v>40729</v>
      </c>
      <c r="B496" s="7">
        <v>75400</v>
      </c>
      <c r="C496" s="7">
        <v>28000</v>
      </c>
      <c r="D496" s="7">
        <v>86700</v>
      </c>
      <c r="E496" s="7">
        <v>247500</v>
      </c>
      <c r="F496" s="7">
        <v>82000</v>
      </c>
      <c r="G496" s="8">
        <v>71700</v>
      </c>
      <c r="H496" s="8">
        <v>84000</v>
      </c>
      <c r="I496" s="8">
        <v>186500</v>
      </c>
      <c r="J496" s="8">
        <v>134500</v>
      </c>
      <c r="K496" s="8">
        <v>244000</v>
      </c>
      <c r="L496" s="7">
        <v>465000</v>
      </c>
      <c r="M496" s="7">
        <v>899000</v>
      </c>
      <c r="N496" s="7">
        <v>129000</v>
      </c>
      <c r="O496" s="7">
        <v>174500</v>
      </c>
      <c r="P496" s="7">
        <v>101000</v>
      </c>
      <c r="Q496" s="8">
        <v>455000</v>
      </c>
      <c r="R496" s="8">
        <v>416000</v>
      </c>
      <c r="S496" s="8">
        <v>406000</v>
      </c>
      <c r="T496" s="8">
        <v>46900</v>
      </c>
      <c r="U496" s="8">
        <v>144500</v>
      </c>
      <c r="V496" s="7">
        <v>416500</v>
      </c>
      <c r="W496" s="7">
        <v>32793</v>
      </c>
      <c r="X496" s="7">
        <v>405000</v>
      </c>
      <c r="Y496" s="7">
        <v>28350</v>
      </c>
      <c r="Z496" s="7">
        <v>79184</v>
      </c>
      <c r="AA496" s="8">
        <v>160500</v>
      </c>
      <c r="AB496" s="8">
        <v>489500</v>
      </c>
      <c r="AC496" s="8">
        <v>18800</v>
      </c>
      <c r="AD496" s="8">
        <v>257500</v>
      </c>
      <c r="AE496" s="8">
        <v>57900</v>
      </c>
      <c r="AF496" s="7">
        <v>40650</v>
      </c>
      <c r="AG496" s="7">
        <v>96500</v>
      </c>
      <c r="AH496" s="7">
        <v>68400</v>
      </c>
      <c r="AI496" s="7">
        <v>62400</v>
      </c>
      <c r="AJ496" s="7">
        <v>31300</v>
      </c>
      <c r="AK496" s="8">
        <v>28300</v>
      </c>
      <c r="AL496" s="8">
        <v>189500</v>
      </c>
      <c r="AM496" s="8">
        <v>291000</v>
      </c>
      <c r="AN496" s="8">
        <v>44100</v>
      </c>
      <c r="AO496" s="8">
        <v>11750</v>
      </c>
      <c r="AP496" s="7">
        <v>461000</v>
      </c>
      <c r="AQ496" s="7">
        <v>493500</v>
      </c>
      <c r="AR496" s="7">
        <v>14400</v>
      </c>
      <c r="AS496" s="7">
        <v>52200</v>
      </c>
      <c r="AT496" s="7">
        <v>83068</v>
      </c>
      <c r="AU496" s="8">
        <v>169000</v>
      </c>
      <c r="AV496" s="8">
        <v>38900</v>
      </c>
      <c r="AW496" s="8">
        <v>7800</v>
      </c>
      <c r="AX496" s="8">
        <v>208500</v>
      </c>
      <c r="AY496" s="8">
        <v>52200</v>
      </c>
    </row>
    <row r="497" spans="1:51" x14ac:dyDescent="0.4">
      <c r="A497" s="11">
        <v>40728</v>
      </c>
      <c r="B497" s="7">
        <v>74900</v>
      </c>
      <c r="C497" s="7">
        <v>26950</v>
      </c>
      <c r="D497" s="7">
        <v>87600</v>
      </c>
      <c r="E497" s="7">
        <v>245000</v>
      </c>
      <c r="F497" s="7">
        <v>82600</v>
      </c>
      <c r="G497" s="8">
        <v>72300</v>
      </c>
      <c r="H497" s="8">
        <v>84400</v>
      </c>
      <c r="I497" s="8">
        <v>184000</v>
      </c>
      <c r="J497" s="8">
        <v>132500</v>
      </c>
      <c r="K497" s="8">
        <v>244500</v>
      </c>
      <c r="L497" s="7">
        <v>462500</v>
      </c>
      <c r="M497" s="7">
        <v>878000</v>
      </c>
      <c r="N497" s="7">
        <v>131000</v>
      </c>
      <c r="O497" s="7">
        <v>170000</v>
      </c>
      <c r="P497" s="7">
        <v>98500</v>
      </c>
      <c r="Q497" s="8">
        <v>461000</v>
      </c>
      <c r="R497" s="8">
        <v>402000</v>
      </c>
      <c r="S497" s="8">
        <v>399500</v>
      </c>
      <c r="T497" s="8">
        <v>47150</v>
      </c>
      <c r="U497" s="8">
        <v>143000</v>
      </c>
      <c r="V497" s="7">
        <v>414000</v>
      </c>
      <c r="W497" s="7">
        <v>32005</v>
      </c>
      <c r="X497" s="7">
        <v>405000</v>
      </c>
      <c r="Y497" s="7">
        <v>28100</v>
      </c>
      <c r="Z497" s="7">
        <v>79282</v>
      </c>
      <c r="AA497" s="8">
        <v>161500</v>
      </c>
      <c r="AB497" s="8">
        <v>481000</v>
      </c>
      <c r="AC497" s="8">
        <v>18700</v>
      </c>
      <c r="AD497" s="8">
        <v>254000</v>
      </c>
      <c r="AE497" s="8">
        <v>58400</v>
      </c>
      <c r="AF497" s="7">
        <v>40700</v>
      </c>
      <c r="AG497" s="7">
        <v>95100</v>
      </c>
      <c r="AH497" s="7">
        <v>67300</v>
      </c>
      <c r="AI497" s="7">
        <v>61900</v>
      </c>
      <c r="AJ497" s="7">
        <v>31050</v>
      </c>
      <c r="AK497" s="8">
        <v>29250</v>
      </c>
      <c r="AL497" s="8">
        <v>187500</v>
      </c>
      <c r="AM497" s="8">
        <v>292000</v>
      </c>
      <c r="AN497" s="8">
        <v>44250</v>
      </c>
      <c r="AO497" s="8">
        <v>11600</v>
      </c>
      <c r="AP497" s="7">
        <v>448500</v>
      </c>
      <c r="AQ497" s="7">
        <v>501000</v>
      </c>
      <c r="AR497" s="7">
        <v>14200</v>
      </c>
      <c r="AS497" s="7">
        <v>51900</v>
      </c>
      <c r="AT497" s="7">
        <v>84045</v>
      </c>
      <c r="AU497" s="8">
        <v>168500</v>
      </c>
      <c r="AV497" s="8">
        <v>38350</v>
      </c>
      <c r="AW497" s="8">
        <v>7750</v>
      </c>
      <c r="AX497" s="8">
        <v>209000</v>
      </c>
      <c r="AY497" s="8">
        <v>51900</v>
      </c>
    </row>
    <row r="498" spans="1:51" x14ac:dyDescent="0.4">
      <c r="A498" s="11">
        <v>40725</v>
      </c>
      <c r="B498" s="7">
        <v>74000</v>
      </c>
      <c r="C498" s="7">
        <v>26700</v>
      </c>
      <c r="D498" s="7">
        <v>87600</v>
      </c>
      <c r="E498" s="7">
        <v>248000</v>
      </c>
      <c r="F498" s="7">
        <v>83200</v>
      </c>
      <c r="G498" s="8">
        <v>70100</v>
      </c>
      <c r="H498" s="8">
        <v>82700</v>
      </c>
      <c r="I498" s="8">
        <v>184500</v>
      </c>
      <c r="J498" s="8">
        <v>128500</v>
      </c>
      <c r="K498" s="8">
        <v>240500</v>
      </c>
      <c r="L498" s="7">
        <v>458500</v>
      </c>
      <c r="M498" s="7">
        <v>855000</v>
      </c>
      <c r="N498" s="7">
        <v>132500</v>
      </c>
      <c r="O498" s="7">
        <v>168500</v>
      </c>
      <c r="P498" s="7">
        <v>94300</v>
      </c>
      <c r="Q498" s="8">
        <v>447000</v>
      </c>
      <c r="R498" s="8">
        <v>406500</v>
      </c>
      <c r="S498" s="8">
        <v>406000</v>
      </c>
      <c r="T498" s="8">
        <v>48000</v>
      </c>
      <c r="U498" s="8">
        <v>141000</v>
      </c>
      <c r="V498" s="7">
        <v>408500</v>
      </c>
      <c r="W498" s="7">
        <v>32005</v>
      </c>
      <c r="X498" s="7">
        <v>399500</v>
      </c>
      <c r="Y498" s="7">
        <v>27950</v>
      </c>
      <c r="Z498" s="7">
        <v>77327</v>
      </c>
      <c r="AA498" s="8">
        <v>161000</v>
      </c>
      <c r="AB498" s="8">
        <v>498500</v>
      </c>
      <c r="AC498" s="8">
        <v>18650</v>
      </c>
      <c r="AD498" s="8">
        <v>255000</v>
      </c>
      <c r="AE498" s="8">
        <v>58700</v>
      </c>
      <c r="AF498" s="7">
        <v>40600</v>
      </c>
      <c r="AG498" s="7">
        <v>94900</v>
      </c>
      <c r="AH498" s="7">
        <v>66900</v>
      </c>
      <c r="AI498" s="7">
        <v>60500</v>
      </c>
      <c r="AJ498" s="7">
        <v>30750</v>
      </c>
      <c r="AK498" s="8">
        <v>28800</v>
      </c>
      <c r="AL498" s="8">
        <v>189000</v>
      </c>
      <c r="AM498" s="8">
        <v>284500</v>
      </c>
      <c r="AN498" s="8">
        <v>44950</v>
      </c>
      <c r="AO498" s="8">
        <v>11550</v>
      </c>
      <c r="AP498" s="7">
        <v>449000</v>
      </c>
      <c r="AQ498" s="7">
        <v>498000</v>
      </c>
      <c r="AR498" s="7">
        <v>14000</v>
      </c>
      <c r="AS498" s="7">
        <v>51400</v>
      </c>
      <c r="AT498" s="7">
        <v>82970</v>
      </c>
      <c r="AU498" s="8">
        <v>171000</v>
      </c>
      <c r="AV498" s="8">
        <v>37300</v>
      </c>
      <c r="AW498" s="8">
        <v>7760</v>
      </c>
      <c r="AX498" s="8">
        <v>208000</v>
      </c>
      <c r="AY498" s="8">
        <v>51000</v>
      </c>
    </row>
    <row r="499" spans="1:51" x14ac:dyDescent="0.4">
      <c r="A499" s="12">
        <v>40724</v>
      </c>
      <c r="B499" s="9">
        <v>72300</v>
      </c>
      <c r="C499" s="9">
        <v>25050</v>
      </c>
      <c r="D499" s="9">
        <v>86100</v>
      </c>
      <c r="E499" s="9">
        <v>248000</v>
      </c>
      <c r="F499" s="9">
        <v>82000</v>
      </c>
      <c r="G499" s="10">
        <v>69700</v>
      </c>
      <c r="H499" s="10">
        <v>80300</v>
      </c>
      <c r="I499" s="10">
        <v>185000</v>
      </c>
      <c r="J499" s="10">
        <v>129500</v>
      </c>
      <c r="K499" s="10">
        <v>237000</v>
      </c>
      <c r="L499" s="9">
        <v>464000</v>
      </c>
      <c r="M499" s="9">
        <v>826000</v>
      </c>
      <c r="N499" s="9">
        <v>130000</v>
      </c>
      <c r="O499" s="9">
        <v>163500</v>
      </c>
      <c r="P499" s="9">
        <v>92200</v>
      </c>
      <c r="Q499" s="10">
        <v>443500</v>
      </c>
      <c r="R499" s="10">
        <v>403000</v>
      </c>
      <c r="S499" s="10">
        <v>409500</v>
      </c>
      <c r="T499" s="10">
        <v>47600</v>
      </c>
      <c r="U499" s="10">
        <v>137500</v>
      </c>
      <c r="V499" s="9">
        <v>395500</v>
      </c>
      <c r="W499" s="9">
        <v>31118</v>
      </c>
      <c r="X499" s="9">
        <v>400000</v>
      </c>
      <c r="Y499" s="9">
        <v>28350</v>
      </c>
      <c r="Z499" s="9">
        <v>77229</v>
      </c>
      <c r="AA499" s="10">
        <v>161500</v>
      </c>
      <c r="AB499" s="10">
        <v>509000</v>
      </c>
      <c r="AC499" s="10">
        <v>18650</v>
      </c>
      <c r="AD499" s="10">
        <v>255000</v>
      </c>
      <c r="AE499" s="10">
        <v>57800</v>
      </c>
      <c r="AF499" s="9">
        <v>40700</v>
      </c>
      <c r="AG499" s="9">
        <v>95000</v>
      </c>
      <c r="AH499" s="9">
        <v>66400</v>
      </c>
      <c r="AI499" s="9">
        <v>56500</v>
      </c>
      <c r="AJ499" s="9">
        <v>29550</v>
      </c>
      <c r="AK499" s="10">
        <v>28600</v>
      </c>
      <c r="AL499" s="10">
        <v>189000</v>
      </c>
      <c r="AM499" s="10">
        <v>291000</v>
      </c>
      <c r="AN499" s="10">
        <v>45250</v>
      </c>
      <c r="AO499" s="10">
        <v>10700</v>
      </c>
      <c r="AP499" s="9">
        <v>459000</v>
      </c>
      <c r="AQ499" s="9">
        <v>488000</v>
      </c>
      <c r="AR499" s="9">
        <v>13950</v>
      </c>
      <c r="AS499" s="9">
        <v>50900</v>
      </c>
      <c r="AT499" s="9">
        <v>81016</v>
      </c>
      <c r="AU499" s="10">
        <v>172000</v>
      </c>
      <c r="AV499" s="10">
        <v>37300</v>
      </c>
      <c r="AW499" s="10">
        <v>7740</v>
      </c>
      <c r="AX499" s="10">
        <v>200500</v>
      </c>
      <c r="AY499" s="10">
        <v>50500</v>
      </c>
    </row>
    <row r="500" spans="1:51" x14ac:dyDescent="0.4">
      <c r="A500" s="11">
        <v>40723</v>
      </c>
      <c r="B500" s="7">
        <v>71600</v>
      </c>
      <c r="C500" s="7">
        <v>25550</v>
      </c>
      <c r="D500" s="7">
        <v>85900</v>
      </c>
      <c r="E500" s="7">
        <v>237000</v>
      </c>
      <c r="F500" s="7">
        <v>81200</v>
      </c>
      <c r="G500" s="8">
        <v>70100</v>
      </c>
      <c r="H500" s="8">
        <v>79600</v>
      </c>
      <c r="I500" s="8">
        <v>185500</v>
      </c>
      <c r="J500" s="8">
        <v>129500</v>
      </c>
      <c r="K500" s="8">
        <v>238000</v>
      </c>
      <c r="L500" s="7">
        <v>461000</v>
      </c>
      <c r="M500" s="7">
        <v>833000</v>
      </c>
      <c r="N500" s="7">
        <v>130000</v>
      </c>
      <c r="O500" s="7">
        <v>165500</v>
      </c>
      <c r="P500" s="7">
        <v>92800</v>
      </c>
      <c r="Q500" s="8">
        <v>447000</v>
      </c>
      <c r="R500" s="8">
        <v>425500</v>
      </c>
      <c r="S500" s="8">
        <v>392500</v>
      </c>
      <c r="T500" s="8">
        <v>46650</v>
      </c>
      <c r="U500" s="8">
        <v>140000</v>
      </c>
      <c r="V500" s="7">
        <v>391500</v>
      </c>
      <c r="W500" s="7">
        <v>30577</v>
      </c>
      <c r="X500" s="7">
        <v>391000</v>
      </c>
      <c r="Y500" s="7">
        <v>28650</v>
      </c>
      <c r="Z500" s="7">
        <v>74688</v>
      </c>
      <c r="AA500" s="8">
        <v>159500</v>
      </c>
      <c r="AB500" s="8">
        <v>507000</v>
      </c>
      <c r="AC500" s="8">
        <v>18850</v>
      </c>
      <c r="AD500" s="8">
        <v>254500</v>
      </c>
      <c r="AE500" s="8">
        <v>58000</v>
      </c>
      <c r="AF500" s="7">
        <v>39850</v>
      </c>
      <c r="AG500" s="7">
        <v>93800</v>
      </c>
      <c r="AH500" s="7">
        <v>65200</v>
      </c>
      <c r="AI500" s="7">
        <v>56400</v>
      </c>
      <c r="AJ500" s="7">
        <v>29500</v>
      </c>
      <c r="AK500" s="8">
        <v>29400</v>
      </c>
      <c r="AL500" s="8">
        <v>192000</v>
      </c>
      <c r="AM500" s="8">
        <v>284000</v>
      </c>
      <c r="AN500" s="8">
        <v>44750</v>
      </c>
      <c r="AO500" s="8">
        <v>10650</v>
      </c>
      <c r="AP500" s="7">
        <v>450000</v>
      </c>
      <c r="AQ500" s="7">
        <v>482500</v>
      </c>
      <c r="AR500" s="7">
        <v>13800</v>
      </c>
      <c r="AS500" s="7">
        <v>51300</v>
      </c>
      <c r="AT500" s="7">
        <v>80430</v>
      </c>
      <c r="AU500" s="8">
        <v>168500</v>
      </c>
      <c r="AV500" s="8">
        <v>37100</v>
      </c>
      <c r="AW500" s="8">
        <v>7740</v>
      </c>
      <c r="AX500" s="8">
        <v>202500</v>
      </c>
      <c r="AY500" s="8">
        <v>50700</v>
      </c>
    </row>
    <row r="501" spans="1:51" x14ac:dyDescent="0.4">
      <c r="A501" s="11">
        <v>40722</v>
      </c>
      <c r="B501" s="7">
        <v>69700</v>
      </c>
      <c r="C501" s="7">
        <v>25550</v>
      </c>
      <c r="D501" s="7">
        <v>83400</v>
      </c>
      <c r="E501" s="7">
        <v>232500</v>
      </c>
      <c r="F501" s="7">
        <v>80000</v>
      </c>
      <c r="G501" s="8">
        <v>70100</v>
      </c>
      <c r="H501" s="8">
        <v>79200</v>
      </c>
      <c r="I501" s="8">
        <v>177000</v>
      </c>
      <c r="J501" s="8">
        <v>125000</v>
      </c>
      <c r="K501" s="8">
        <v>230000</v>
      </c>
      <c r="L501" s="7">
        <v>458000</v>
      </c>
      <c r="M501" s="7">
        <v>832000</v>
      </c>
      <c r="N501" s="7">
        <v>129000</v>
      </c>
      <c r="O501" s="7">
        <v>166500</v>
      </c>
      <c r="P501" s="7">
        <v>92800</v>
      </c>
      <c r="Q501" s="8">
        <v>440000</v>
      </c>
      <c r="R501" s="8">
        <v>419500</v>
      </c>
      <c r="S501" s="8">
        <v>381500</v>
      </c>
      <c r="T501" s="8">
        <v>44650</v>
      </c>
      <c r="U501" s="8">
        <v>134000</v>
      </c>
      <c r="V501" s="7">
        <v>376500</v>
      </c>
      <c r="W501" s="7">
        <v>30626</v>
      </c>
      <c r="X501" s="7">
        <v>375000</v>
      </c>
      <c r="Y501" s="7">
        <v>28400</v>
      </c>
      <c r="Z501" s="7">
        <v>74101</v>
      </c>
      <c r="AA501" s="8">
        <v>159000</v>
      </c>
      <c r="AB501" s="8">
        <v>505000</v>
      </c>
      <c r="AC501" s="8">
        <v>18350</v>
      </c>
      <c r="AD501" s="8">
        <v>245000</v>
      </c>
      <c r="AE501" s="8">
        <v>56500</v>
      </c>
      <c r="AF501" s="7">
        <v>39300</v>
      </c>
      <c r="AG501" s="7">
        <v>93700</v>
      </c>
      <c r="AH501" s="7">
        <v>65300</v>
      </c>
      <c r="AI501" s="7">
        <v>55600</v>
      </c>
      <c r="AJ501" s="7">
        <v>29100</v>
      </c>
      <c r="AK501" s="8">
        <v>27500</v>
      </c>
      <c r="AL501" s="8">
        <v>191500</v>
      </c>
      <c r="AM501" s="8">
        <v>277000</v>
      </c>
      <c r="AN501" s="8">
        <v>43400</v>
      </c>
      <c r="AO501" s="8">
        <v>10150</v>
      </c>
      <c r="AP501" s="7">
        <v>446500</v>
      </c>
      <c r="AQ501" s="7">
        <v>470500</v>
      </c>
      <c r="AR501" s="7">
        <v>13700</v>
      </c>
      <c r="AS501" s="7">
        <v>51100</v>
      </c>
      <c r="AT501" s="7">
        <v>80234</v>
      </c>
      <c r="AU501" s="8">
        <v>165500</v>
      </c>
      <c r="AV501" s="8">
        <v>36250</v>
      </c>
      <c r="AW501" s="8">
        <v>7620</v>
      </c>
      <c r="AX501" s="8">
        <v>196000</v>
      </c>
      <c r="AY501" s="8">
        <v>50500</v>
      </c>
    </row>
    <row r="502" spans="1:51" x14ac:dyDescent="0.4">
      <c r="A502" s="11">
        <v>40721</v>
      </c>
      <c r="B502" s="7">
        <v>70400</v>
      </c>
      <c r="C502" s="7">
        <v>26700</v>
      </c>
      <c r="D502" s="7">
        <v>84500</v>
      </c>
      <c r="E502" s="7">
        <v>238000</v>
      </c>
      <c r="F502" s="7">
        <v>81000</v>
      </c>
      <c r="G502" s="8">
        <v>70200</v>
      </c>
      <c r="H502" s="8">
        <v>79700</v>
      </c>
      <c r="I502" s="8">
        <v>177500</v>
      </c>
      <c r="J502" s="8">
        <v>127000</v>
      </c>
      <c r="K502" s="8">
        <v>234000</v>
      </c>
      <c r="L502" s="7">
        <v>454500</v>
      </c>
      <c r="M502" s="7">
        <v>835000</v>
      </c>
      <c r="N502" s="7">
        <v>125500</v>
      </c>
      <c r="O502" s="7">
        <v>169500</v>
      </c>
      <c r="P502" s="7">
        <v>94600</v>
      </c>
      <c r="Q502" s="8">
        <v>432000</v>
      </c>
      <c r="R502" s="8">
        <v>426500</v>
      </c>
      <c r="S502" s="8">
        <v>396000</v>
      </c>
      <c r="T502" s="8">
        <v>45300</v>
      </c>
      <c r="U502" s="8">
        <v>133000</v>
      </c>
      <c r="V502" s="7">
        <v>370000</v>
      </c>
      <c r="W502" s="7">
        <v>30725</v>
      </c>
      <c r="X502" s="7">
        <v>374000</v>
      </c>
      <c r="Y502" s="7">
        <v>28500</v>
      </c>
      <c r="Z502" s="7">
        <v>74394</v>
      </c>
      <c r="AA502" s="8">
        <v>156500</v>
      </c>
      <c r="AB502" s="8">
        <v>504000</v>
      </c>
      <c r="AC502" s="8">
        <v>18450</v>
      </c>
      <c r="AD502" s="8">
        <v>239000</v>
      </c>
      <c r="AE502" s="8">
        <v>57300</v>
      </c>
      <c r="AF502" s="7">
        <v>38850</v>
      </c>
      <c r="AG502" s="7">
        <v>96400</v>
      </c>
      <c r="AH502" s="7">
        <v>65100</v>
      </c>
      <c r="AI502" s="7">
        <v>56300</v>
      </c>
      <c r="AJ502" s="7">
        <v>29900</v>
      </c>
      <c r="AK502" s="8">
        <v>28150</v>
      </c>
      <c r="AL502" s="8">
        <v>190000</v>
      </c>
      <c r="AM502" s="8">
        <v>277000</v>
      </c>
      <c r="AN502" s="8">
        <v>44250</v>
      </c>
      <c r="AO502" s="8">
        <v>9980</v>
      </c>
      <c r="AP502" s="7">
        <v>445000</v>
      </c>
      <c r="AQ502" s="7">
        <v>475500</v>
      </c>
      <c r="AR502" s="7">
        <v>13800</v>
      </c>
      <c r="AS502" s="7">
        <v>51300</v>
      </c>
      <c r="AT502" s="7">
        <v>80430</v>
      </c>
      <c r="AU502" s="8">
        <v>164000</v>
      </c>
      <c r="AV502" s="8">
        <v>36000</v>
      </c>
      <c r="AW502" s="8">
        <v>7570</v>
      </c>
      <c r="AX502" s="8">
        <v>196500</v>
      </c>
      <c r="AY502" s="8">
        <v>50300</v>
      </c>
    </row>
    <row r="503" spans="1:51" x14ac:dyDescent="0.4">
      <c r="A503" s="11">
        <v>40718</v>
      </c>
      <c r="B503" s="7">
        <v>70200</v>
      </c>
      <c r="C503" s="7">
        <v>27900</v>
      </c>
      <c r="D503" s="7">
        <v>84300</v>
      </c>
      <c r="E503" s="7">
        <v>243000</v>
      </c>
      <c r="F503" s="7">
        <v>83800</v>
      </c>
      <c r="G503" s="8">
        <v>70200</v>
      </c>
      <c r="H503" s="8">
        <v>79200</v>
      </c>
      <c r="I503" s="8">
        <v>182000</v>
      </c>
      <c r="J503" s="8">
        <v>128500</v>
      </c>
      <c r="K503" s="8">
        <v>232000</v>
      </c>
      <c r="L503" s="7">
        <v>455000</v>
      </c>
      <c r="M503" s="7">
        <v>852000</v>
      </c>
      <c r="N503" s="7">
        <v>126000</v>
      </c>
      <c r="O503" s="7">
        <v>170500</v>
      </c>
      <c r="P503" s="7">
        <v>95000</v>
      </c>
      <c r="Q503" s="8">
        <v>438500</v>
      </c>
      <c r="R503" s="8">
        <v>416500</v>
      </c>
      <c r="S503" s="8">
        <v>417500</v>
      </c>
      <c r="T503" s="8">
        <v>46400</v>
      </c>
      <c r="U503" s="8">
        <v>136500</v>
      </c>
      <c r="V503" s="7">
        <v>368500</v>
      </c>
      <c r="W503" s="7">
        <v>31168</v>
      </c>
      <c r="X503" s="7">
        <v>375000</v>
      </c>
      <c r="Y503" s="7">
        <v>28350</v>
      </c>
      <c r="Z503" s="7">
        <v>75470</v>
      </c>
      <c r="AA503" s="8">
        <v>160000</v>
      </c>
      <c r="AB503" s="8">
        <v>509000</v>
      </c>
      <c r="AC503" s="8">
        <v>18700</v>
      </c>
      <c r="AD503" s="8">
        <v>243500</v>
      </c>
      <c r="AE503" s="8">
        <v>57600</v>
      </c>
      <c r="AF503" s="7">
        <v>38850</v>
      </c>
      <c r="AG503" s="7">
        <v>96300</v>
      </c>
      <c r="AH503" s="7">
        <v>65700</v>
      </c>
      <c r="AI503" s="7">
        <v>56300</v>
      </c>
      <c r="AJ503" s="7">
        <v>30200</v>
      </c>
      <c r="AK503" s="8">
        <v>28050</v>
      </c>
      <c r="AL503" s="8">
        <v>193000</v>
      </c>
      <c r="AM503" s="8">
        <v>275000</v>
      </c>
      <c r="AN503" s="8">
        <v>44800</v>
      </c>
      <c r="AO503" s="8">
        <v>10250</v>
      </c>
      <c r="AP503" s="7">
        <v>450000</v>
      </c>
      <c r="AQ503" s="7">
        <v>481500</v>
      </c>
      <c r="AR503" s="7">
        <v>13800</v>
      </c>
      <c r="AS503" s="7">
        <v>51300</v>
      </c>
      <c r="AT503" s="7">
        <v>80723</v>
      </c>
      <c r="AU503" s="8">
        <v>167500</v>
      </c>
      <c r="AV503" s="8">
        <v>36200</v>
      </c>
      <c r="AW503" s="8">
        <v>7810</v>
      </c>
      <c r="AX503" s="8">
        <v>197500</v>
      </c>
      <c r="AY503" s="8">
        <v>51000</v>
      </c>
    </row>
    <row r="504" spans="1:51" x14ac:dyDescent="0.4">
      <c r="A504" s="12">
        <v>40717</v>
      </c>
      <c r="B504" s="9">
        <v>67500</v>
      </c>
      <c r="C504" s="9">
        <v>26350</v>
      </c>
      <c r="D504" s="9">
        <v>83600</v>
      </c>
      <c r="E504" s="9">
        <v>242500</v>
      </c>
      <c r="F504" s="9">
        <v>82800</v>
      </c>
      <c r="G504" s="10">
        <v>67300</v>
      </c>
      <c r="H504" s="10">
        <v>77800</v>
      </c>
      <c r="I504" s="10">
        <v>180500</v>
      </c>
      <c r="J504" s="10">
        <v>127500</v>
      </c>
      <c r="K504" s="10">
        <v>224000</v>
      </c>
      <c r="L504" s="9">
        <v>440500</v>
      </c>
      <c r="M504" s="9">
        <v>831000</v>
      </c>
      <c r="N504" s="9">
        <v>124500</v>
      </c>
      <c r="O504" s="9">
        <v>164500</v>
      </c>
      <c r="P504" s="9">
        <v>90200</v>
      </c>
      <c r="Q504" s="10">
        <v>430000</v>
      </c>
      <c r="R504" s="10">
        <v>414000</v>
      </c>
      <c r="S504" s="10">
        <v>414000</v>
      </c>
      <c r="T504" s="10">
        <v>46950</v>
      </c>
      <c r="U504" s="10">
        <v>138500</v>
      </c>
      <c r="V504" s="9">
        <v>370500</v>
      </c>
      <c r="W504" s="9">
        <v>30281</v>
      </c>
      <c r="X504" s="9">
        <v>368000</v>
      </c>
      <c r="Y504" s="9">
        <v>27550</v>
      </c>
      <c r="Z504" s="9">
        <v>74297</v>
      </c>
      <c r="AA504" s="10">
        <v>157500</v>
      </c>
      <c r="AB504" s="10">
        <v>498500</v>
      </c>
      <c r="AC504" s="10">
        <v>18350</v>
      </c>
      <c r="AD504" s="10">
        <v>240000</v>
      </c>
      <c r="AE504" s="10">
        <v>57000</v>
      </c>
      <c r="AF504" s="9">
        <v>38200</v>
      </c>
      <c r="AG504" s="9">
        <v>96800</v>
      </c>
      <c r="AH504" s="9">
        <v>65100</v>
      </c>
      <c r="AI504" s="9">
        <v>55300</v>
      </c>
      <c r="AJ504" s="9">
        <v>28700</v>
      </c>
      <c r="AK504" s="10">
        <v>27450</v>
      </c>
      <c r="AL504" s="10">
        <v>191500</v>
      </c>
      <c r="AM504" s="10">
        <v>283500</v>
      </c>
      <c r="AN504" s="10">
        <v>45550</v>
      </c>
      <c r="AO504" s="10">
        <v>9930</v>
      </c>
      <c r="AP504" s="9">
        <v>431000</v>
      </c>
      <c r="AQ504" s="9">
        <v>474000</v>
      </c>
      <c r="AR504" s="9">
        <v>13400</v>
      </c>
      <c r="AS504" s="9">
        <v>50500</v>
      </c>
      <c r="AT504" s="9">
        <v>79061</v>
      </c>
      <c r="AU504" s="10">
        <v>167000</v>
      </c>
      <c r="AV504" s="10">
        <v>35500</v>
      </c>
      <c r="AW504" s="10">
        <v>7700</v>
      </c>
      <c r="AX504" s="10">
        <v>206500</v>
      </c>
      <c r="AY504" s="10">
        <v>49400</v>
      </c>
    </row>
    <row r="505" spans="1:51" x14ac:dyDescent="0.4">
      <c r="A505" s="11">
        <v>40716</v>
      </c>
      <c r="B505" s="7">
        <v>69400</v>
      </c>
      <c r="C505" s="7">
        <v>26100</v>
      </c>
      <c r="D505" s="7">
        <v>83600</v>
      </c>
      <c r="E505" s="7">
        <v>234000</v>
      </c>
      <c r="F505" s="7">
        <v>82300</v>
      </c>
      <c r="G505" s="8">
        <v>66800</v>
      </c>
      <c r="H505" s="8">
        <v>77800</v>
      </c>
      <c r="I505" s="8">
        <v>184500</v>
      </c>
      <c r="J505" s="8">
        <v>124500</v>
      </c>
      <c r="K505" s="8">
        <v>231500</v>
      </c>
      <c r="L505" s="7">
        <v>440500</v>
      </c>
      <c r="M505" s="7">
        <v>826000</v>
      </c>
      <c r="N505" s="7">
        <v>127500</v>
      </c>
      <c r="O505" s="7">
        <v>162500</v>
      </c>
      <c r="P505" s="7">
        <v>89700</v>
      </c>
      <c r="Q505" s="8">
        <v>430000</v>
      </c>
      <c r="R505" s="8">
        <v>432500</v>
      </c>
      <c r="S505" s="8">
        <v>420000</v>
      </c>
      <c r="T505" s="8">
        <v>47550</v>
      </c>
      <c r="U505" s="8">
        <v>143000</v>
      </c>
      <c r="V505" s="7">
        <v>369000</v>
      </c>
      <c r="W505" s="7">
        <v>30626</v>
      </c>
      <c r="X505" s="7">
        <v>371000</v>
      </c>
      <c r="Y505" s="7">
        <v>27050</v>
      </c>
      <c r="Z505" s="7">
        <v>74297</v>
      </c>
      <c r="AA505" s="8">
        <v>158500</v>
      </c>
      <c r="AB505" s="8">
        <v>499000</v>
      </c>
      <c r="AC505" s="8">
        <v>18500</v>
      </c>
      <c r="AD505" s="8">
        <v>245000</v>
      </c>
      <c r="AE505" s="8">
        <v>55800</v>
      </c>
      <c r="AF505" s="7">
        <v>37850</v>
      </c>
      <c r="AG505" s="7">
        <v>94500</v>
      </c>
      <c r="AH505" s="7">
        <v>65200</v>
      </c>
      <c r="AI505" s="7">
        <v>55200</v>
      </c>
      <c r="AJ505" s="7">
        <v>29500</v>
      </c>
      <c r="AK505" s="8">
        <v>28500</v>
      </c>
      <c r="AL505" s="8">
        <v>199500</v>
      </c>
      <c r="AM505" s="8">
        <v>283500</v>
      </c>
      <c r="AN505" s="8">
        <v>45250</v>
      </c>
      <c r="AO505" s="8">
        <v>10250</v>
      </c>
      <c r="AP505" s="7">
        <v>440500</v>
      </c>
      <c r="AQ505" s="7">
        <v>475500</v>
      </c>
      <c r="AR505" s="7">
        <v>13150</v>
      </c>
      <c r="AS505" s="7">
        <v>50500</v>
      </c>
      <c r="AT505" s="7">
        <v>79550</v>
      </c>
      <c r="AU505" s="8">
        <v>165500</v>
      </c>
      <c r="AV505" s="8">
        <v>36000</v>
      </c>
      <c r="AW505" s="8">
        <v>7650</v>
      </c>
      <c r="AX505" s="8">
        <v>212500</v>
      </c>
      <c r="AY505" s="8">
        <v>50300</v>
      </c>
    </row>
    <row r="506" spans="1:51" x14ac:dyDescent="0.4">
      <c r="A506" s="11">
        <v>40715</v>
      </c>
      <c r="B506" s="7">
        <v>68400</v>
      </c>
      <c r="C506" s="7">
        <v>25900</v>
      </c>
      <c r="D506" s="7">
        <v>84200</v>
      </c>
      <c r="E506" s="7">
        <v>234500</v>
      </c>
      <c r="F506" s="7">
        <v>81300</v>
      </c>
      <c r="G506" s="8">
        <v>68900</v>
      </c>
      <c r="H506" s="8">
        <v>75900</v>
      </c>
      <c r="I506" s="8">
        <v>180000</v>
      </c>
      <c r="J506" s="8">
        <v>124000</v>
      </c>
      <c r="K506" s="8">
        <v>230000</v>
      </c>
      <c r="L506" s="7">
        <v>439000</v>
      </c>
      <c r="M506" s="7">
        <v>814000</v>
      </c>
      <c r="N506" s="7">
        <v>125000</v>
      </c>
      <c r="O506" s="7">
        <v>164500</v>
      </c>
      <c r="P506" s="7">
        <v>88900</v>
      </c>
      <c r="Q506" s="8">
        <v>423000</v>
      </c>
      <c r="R506" s="8">
        <v>434000</v>
      </c>
      <c r="S506" s="8">
        <v>407000</v>
      </c>
      <c r="T506" s="8">
        <v>45400</v>
      </c>
      <c r="U506" s="8">
        <v>140500</v>
      </c>
      <c r="V506" s="7">
        <v>364500</v>
      </c>
      <c r="W506" s="7">
        <v>30577</v>
      </c>
      <c r="X506" s="7">
        <v>376000</v>
      </c>
      <c r="Y506" s="7">
        <v>27400</v>
      </c>
      <c r="Z506" s="7">
        <v>72928</v>
      </c>
      <c r="AA506" s="8">
        <v>156500</v>
      </c>
      <c r="AB506" s="8">
        <v>484000</v>
      </c>
      <c r="AC506" s="8">
        <v>20550</v>
      </c>
      <c r="AD506" s="8">
        <v>245500</v>
      </c>
      <c r="AE506" s="8">
        <v>54800</v>
      </c>
      <c r="AF506" s="7">
        <v>37700</v>
      </c>
      <c r="AG506" s="7">
        <v>93400</v>
      </c>
      <c r="AH506" s="7">
        <v>65400</v>
      </c>
      <c r="AI506" s="7">
        <v>54500</v>
      </c>
      <c r="AJ506" s="7">
        <v>28950</v>
      </c>
      <c r="AK506" s="8">
        <v>28000</v>
      </c>
      <c r="AL506" s="8">
        <v>197500</v>
      </c>
      <c r="AM506" s="8">
        <v>289500</v>
      </c>
      <c r="AN506" s="8">
        <v>44800</v>
      </c>
      <c r="AO506" s="8">
        <v>9820</v>
      </c>
      <c r="AP506" s="7">
        <v>441500</v>
      </c>
      <c r="AQ506" s="7">
        <v>463000</v>
      </c>
      <c r="AR506" s="7">
        <v>13000</v>
      </c>
      <c r="AS506" s="7">
        <v>50800</v>
      </c>
      <c r="AT506" s="7">
        <v>80430</v>
      </c>
      <c r="AU506" s="8">
        <v>166500</v>
      </c>
      <c r="AV506" s="8">
        <v>36600</v>
      </c>
      <c r="AW506" s="8">
        <v>7640</v>
      </c>
      <c r="AX506" s="8">
        <v>208000</v>
      </c>
      <c r="AY506" s="8">
        <v>51000</v>
      </c>
    </row>
    <row r="507" spans="1:51" x14ac:dyDescent="0.4">
      <c r="A507" s="11">
        <v>40714</v>
      </c>
      <c r="B507" s="7">
        <v>68200</v>
      </c>
      <c r="C507" s="7">
        <v>25200</v>
      </c>
      <c r="D507" s="7">
        <v>83500</v>
      </c>
      <c r="E507" s="7">
        <v>236000</v>
      </c>
      <c r="F507" s="7">
        <v>81800</v>
      </c>
      <c r="G507" s="8">
        <v>68600</v>
      </c>
      <c r="H507" s="8">
        <v>72600</v>
      </c>
      <c r="I507" s="8">
        <v>170500</v>
      </c>
      <c r="J507" s="8">
        <v>119500</v>
      </c>
      <c r="K507" s="8">
        <v>227500</v>
      </c>
      <c r="L507" s="7">
        <v>421500</v>
      </c>
      <c r="M507" s="7">
        <v>800000</v>
      </c>
      <c r="N507" s="7">
        <v>124000</v>
      </c>
      <c r="O507" s="7">
        <v>161500</v>
      </c>
      <c r="P507" s="7">
        <v>88500</v>
      </c>
      <c r="Q507" s="8">
        <v>415000</v>
      </c>
      <c r="R507" s="8">
        <v>428500</v>
      </c>
      <c r="S507" s="8">
        <v>400000</v>
      </c>
      <c r="T507" s="8">
        <v>44800</v>
      </c>
      <c r="U507" s="8">
        <v>143000</v>
      </c>
      <c r="V507" s="7">
        <v>358000</v>
      </c>
      <c r="W507" s="7">
        <v>30134</v>
      </c>
      <c r="X507" s="7">
        <v>376000</v>
      </c>
      <c r="Y507" s="7">
        <v>27550</v>
      </c>
      <c r="Z507" s="7">
        <v>70093</v>
      </c>
      <c r="AA507" s="8">
        <v>154500</v>
      </c>
      <c r="AB507" s="8">
        <v>487000</v>
      </c>
      <c r="AC507" s="8">
        <v>19700</v>
      </c>
      <c r="AD507" s="8">
        <v>251000</v>
      </c>
      <c r="AE507" s="8">
        <v>53500</v>
      </c>
      <c r="AF507" s="7">
        <v>36550</v>
      </c>
      <c r="AG507" s="7">
        <v>92500</v>
      </c>
      <c r="AH507" s="7">
        <v>64800</v>
      </c>
      <c r="AI507" s="7">
        <v>53500</v>
      </c>
      <c r="AJ507" s="7">
        <v>28050</v>
      </c>
      <c r="AK507" s="8">
        <v>27950</v>
      </c>
      <c r="AL507" s="8">
        <v>197500</v>
      </c>
      <c r="AM507" s="8">
        <v>289500</v>
      </c>
      <c r="AN507" s="8">
        <v>43450</v>
      </c>
      <c r="AO507" s="8">
        <v>9760</v>
      </c>
      <c r="AP507" s="7">
        <v>431500</v>
      </c>
      <c r="AQ507" s="7">
        <v>450000</v>
      </c>
      <c r="AR507" s="7">
        <v>12400</v>
      </c>
      <c r="AS507" s="7">
        <v>48650</v>
      </c>
      <c r="AT507" s="7">
        <v>76814</v>
      </c>
      <c r="AU507" s="8">
        <v>168000</v>
      </c>
      <c r="AV507" s="8">
        <v>35750</v>
      </c>
      <c r="AW507" s="8">
        <v>7540</v>
      </c>
      <c r="AX507" s="8">
        <v>209000</v>
      </c>
      <c r="AY507" s="8">
        <v>48400</v>
      </c>
    </row>
    <row r="508" spans="1:51" x14ac:dyDescent="0.4">
      <c r="A508" s="11">
        <v>40711</v>
      </c>
      <c r="B508" s="7">
        <v>69000</v>
      </c>
      <c r="C508" s="7">
        <v>24650</v>
      </c>
      <c r="D508" s="7">
        <v>83100</v>
      </c>
      <c r="E508" s="7">
        <v>231500</v>
      </c>
      <c r="F508" s="7">
        <v>79900</v>
      </c>
      <c r="G508" s="8">
        <v>67100</v>
      </c>
      <c r="H508" s="8">
        <v>73500</v>
      </c>
      <c r="I508" s="8">
        <v>170000</v>
      </c>
      <c r="J508" s="8">
        <v>116000</v>
      </c>
      <c r="K508" s="8">
        <v>225500</v>
      </c>
      <c r="L508" s="7">
        <v>421000</v>
      </c>
      <c r="M508" s="7">
        <v>819000</v>
      </c>
      <c r="N508" s="7">
        <v>123500</v>
      </c>
      <c r="O508" s="7">
        <v>161000</v>
      </c>
      <c r="P508" s="7">
        <v>92100</v>
      </c>
      <c r="Q508" s="8">
        <v>438000</v>
      </c>
      <c r="R508" s="8">
        <v>448000</v>
      </c>
      <c r="S508" s="8">
        <v>385000</v>
      </c>
      <c r="T508" s="8">
        <v>45200</v>
      </c>
      <c r="U508" s="8">
        <v>150000</v>
      </c>
      <c r="V508" s="7">
        <v>359000</v>
      </c>
      <c r="W508" s="7">
        <v>31020</v>
      </c>
      <c r="X508" s="7">
        <v>373500</v>
      </c>
      <c r="Y508" s="7">
        <v>27500</v>
      </c>
      <c r="Z508" s="7">
        <v>70875</v>
      </c>
      <c r="AA508" s="8">
        <v>154000</v>
      </c>
      <c r="AB508" s="8">
        <v>489000</v>
      </c>
      <c r="AC508" s="8">
        <v>19250</v>
      </c>
      <c r="AD508" s="8">
        <v>252000</v>
      </c>
      <c r="AE508" s="8">
        <v>54300</v>
      </c>
      <c r="AF508" s="7">
        <v>36450</v>
      </c>
      <c r="AG508" s="7">
        <v>91300</v>
      </c>
      <c r="AH508" s="7">
        <v>63700</v>
      </c>
      <c r="AI508" s="7">
        <v>53300</v>
      </c>
      <c r="AJ508" s="7">
        <v>28200</v>
      </c>
      <c r="AK508" s="8">
        <v>27400</v>
      </c>
      <c r="AL508" s="8">
        <v>193000</v>
      </c>
      <c r="AM508" s="8">
        <v>282000</v>
      </c>
      <c r="AN508" s="8">
        <v>43300</v>
      </c>
      <c r="AO508" s="8">
        <v>9560</v>
      </c>
      <c r="AP508" s="7">
        <v>450000</v>
      </c>
      <c r="AQ508" s="7">
        <v>478500</v>
      </c>
      <c r="AR508" s="7">
        <v>12500</v>
      </c>
      <c r="AS508" s="7">
        <v>48350</v>
      </c>
      <c r="AT508" s="7">
        <v>77986</v>
      </c>
      <c r="AU508" s="8">
        <v>167000</v>
      </c>
      <c r="AV508" s="8">
        <v>35300</v>
      </c>
      <c r="AW508" s="8">
        <v>7430</v>
      </c>
      <c r="AX508" s="8">
        <v>220500</v>
      </c>
      <c r="AY508" s="8">
        <v>48500</v>
      </c>
    </row>
    <row r="509" spans="1:51" x14ac:dyDescent="0.4">
      <c r="A509" s="12">
        <v>40710</v>
      </c>
      <c r="B509" s="9">
        <v>70500</v>
      </c>
      <c r="C509" s="9">
        <v>26250</v>
      </c>
      <c r="D509" s="9">
        <v>82200</v>
      </c>
      <c r="E509" s="9">
        <v>238000</v>
      </c>
      <c r="F509" s="9">
        <v>80300</v>
      </c>
      <c r="G509" s="10">
        <v>67000</v>
      </c>
      <c r="H509" s="10">
        <v>75800</v>
      </c>
      <c r="I509" s="10">
        <v>179500</v>
      </c>
      <c r="J509" s="10">
        <v>116000</v>
      </c>
      <c r="K509" s="10">
        <v>228000</v>
      </c>
      <c r="L509" s="9">
        <v>422000</v>
      </c>
      <c r="M509" s="9">
        <v>848000</v>
      </c>
      <c r="N509" s="9">
        <v>117500</v>
      </c>
      <c r="O509" s="9">
        <v>164500</v>
      </c>
      <c r="P509" s="9">
        <v>94500</v>
      </c>
      <c r="Q509" s="10">
        <v>445500</v>
      </c>
      <c r="R509" s="10">
        <v>436000</v>
      </c>
      <c r="S509" s="10">
        <v>381500</v>
      </c>
      <c r="T509" s="10">
        <v>45450</v>
      </c>
      <c r="U509" s="10">
        <v>145500</v>
      </c>
      <c r="V509" s="9">
        <v>368500</v>
      </c>
      <c r="W509" s="9">
        <v>31562</v>
      </c>
      <c r="X509" s="9">
        <v>373000</v>
      </c>
      <c r="Y509" s="9">
        <v>27150</v>
      </c>
      <c r="Z509" s="9">
        <v>70679</v>
      </c>
      <c r="AA509" s="10">
        <v>153000</v>
      </c>
      <c r="AB509" s="10">
        <v>487000</v>
      </c>
      <c r="AC509" s="10">
        <v>19150</v>
      </c>
      <c r="AD509" s="10">
        <v>245000</v>
      </c>
      <c r="AE509" s="10">
        <v>53000</v>
      </c>
      <c r="AF509" s="9">
        <v>36350</v>
      </c>
      <c r="AG509" s="9">
        <v>91300</v>
      </c>
      <c r="AH509" s="9">
        <v>62800</v>
      </c>
      <c r="AI509" s="9">
        <v>51500</v>
      </c>
      <c r="AJ509" s="9">
        <v>30250</v>
      </c>
      <c r="AK509" s="10">
        <v>27400</v>
      </c>
      <c r="AL509" s="10">
        <v>193000</v>
      </c>
      <c r="AM509" s="10">
        <v>273500</v>
      </c>
      <c r="AN509" s="10">
        <v>43250</v>
      </c>
      <c r="AO509" s="10">
        <v>9420</v>
      </c>
      <c r="AP509" s="9">
        <v>439000</v>
      </c>
      <c r="AQ509" s="9">
        <v>491000</v>
      </c>
      <c r="AR509" s="9">
        <v>12950</v>
      </c>
      <c r="AS509" s="9">
        <v>49300</v>
      </c>
      <c r="AT509" s="9">
        <v>79355</v>
      </c>
      <c r="AU509" s="10">
        <v>163500</v>
      </c>
      <c r="AV509" s="10">
        <v>37100</v>
      </c>
      <c r="AW509" s="10">
        <v>7540</v>
      </c>
      <c r="AX509" s="10">
        <v>219000</v>
      </c>
      <c r="AY509" s="10">
        <v>50200</v>
      </c>
    </row>
    <row r="510" spans="1:51" x14ac:dyDescent="0.4">
      <c r="A510" s="11">
        <v>40709</v>
      </c>
      <c r="B510" s="7">
        <v>72600</v>
      </c>
      <c r="C510" s="7">
        <v>26950</v>
      </c>
      <c r="D510" s="7">
        <v>83000</v>
      </c>
      <c r="E510" s="7">
        <v>235000</v>
      </c>
      <c r="F510" s="7">
        <v>82700</v>
      </c>
      <c r="G510" s="8">
        <v>67100</v>
      </c>
      <c r="H510" s="8">
        <v>78100</v>
      </c>
      <c r="I510" s="8">
        <v>186500</v>
      </c>
      <c r="J510" s="8">
        <v>118500</v>
      </c>
      <c r="K510" s="8">
        <v>234500</v>
      </c>
      <c r="L510" s="7">
        <v>432000</v>
      </c>
      <c r="M510" s="7">
        <v>865000</v>
      </c>
      <c r="N510" s="7">
        <v>120500</v>
      </c>
      <c r="O510" s="7">
        <v>163500</v>
      </c>
      <c r="P510" s="7">
        <v>94200</v>
      </c>
      <c r="Q510" s="8">
        <v>465500</v>
      </c>
      <c r="R510" s="8">
        <v>435500</v>
      </c>
      <c r="S510" s="8">
        <v>384500</v>
      </c>
      <c r="T510" s="8">
        <v>46950</v>
      </c>
      <c r="U510" s="8">
        <v>152000</v>
      </c>
      <c r="V510" s="7">
        <v>383000</v>
      </c>
      <c r="W510" s="7">
        <v>32005</v>
      </c>
      <c r="X510" s="7">
        <v>376000</v>
      </c>
      <c r="Y510" s="7">
        <v>27050</v>
      </c>
      <c r="Z510" s="7">
        <v>72048</v>
      </c>
      <c r="AA510" s="8">
        <v>153500</v>
      </c>
      <c r="AB510" s="8">
        <v>525000</v>
      </c>
      <c r="AC510" s="8">
        <v>19500</v>
      </c>
      <c r="AD510" s="8">
        <v>258000</v>
      </c>
      <c r="AE510" s="8">
        <v>54300</v>
      </c>
      <c r="AF510" s="7">
        <v>36800</v>
      </c>
      <c r="AG510" s="7">
        <v>92800</v>
      </c>
      <c r="AH510" s="7">
        <v>63800</v>
      </c>
      <c r="AI510" s="7">
        <v>52600</v>
      </c>
      <c r="AJ510" s="7">
        <v>30700</v>
      </c>
      <c r="AK510" s="8">
        <v>27500</v>
      </c>
      <c r="AL510" s="8">
        <v>196000</v>
      </c>
      <c r="AM510" s="8">
        <v>276000</v>
      </c>
      <c r="AN510" s="8">
        <v>46950</v>
      </c>
      <c r="AO510" s="8">
        <v>9600</v>
      </c>
      <c r="AP510" s="7">
        <v>440000</v>
      </c>
      <c r="AQ510" s="7">
        <v>504000</v>
      </c>
      <c r="AR510" s="7">
        <v>13200</v>
      </c>
      <c r="AS510" s="7">
        <v>50300</v>
      </c>
      <c r="AT510" s="7">
        <v>81114</v>
      </c>
      <c r="AU510" s="8">
        <v>162000</v>
      </c>
      <c r="AV510" s="8">
        <v>38500</v>
      </c>
      <c r="AW510" s="8">
        <v>7370</v>
      </c>
      <c r="AX510" s="8">
        <v>229000</v>
      </c>
      <c r="AY510" s="8">
        <v>51500</v>
      </c>
    </row>
    <row r="511" spans="1:51" x14ac:dyDescent="0.4">
      <c r="A511" s="11">
        <v>40708</v>
      </c>
      <c r="B511" s="7">
        <v>73200</v>
      </c>
      <c r="C511" s="7">
        <v>26650</v>
      </c>
      <c r="D511" s="7">
        <v>82100</v>
      </c>
      <c r="E511" s="7">
        <v>234000</v>
      </c>
      <c r="F511" s="7">
        <v>81800</v>
      </c>
      <c r="G511" s="8">
        <v>65000</v>
      </c>
      <c r="H511" s="8">
        <v>78400</v>
      </c>
      <c r="I511" s="8">
        <v>186500</v>
      </c>
      <c r="J511" s="8">
        <v>121000</v>
      </c>
      <c r="K511" s="8">
        <v>236000</v>
      </c>
      <c r="L511" s="7">
        <v>435000</v>
      </c>
      <c r="M511" s="7">
        <v>863000</v>
      </c>
      <c r="N511" s="7">
        <v>117500</v>
      </c>
      <c r="O511" s="7">
        <v>162500</v>
      </c>
      <c r="P511" s="7">
        <v>92900</v>
      </c>
      <c r="Q511" s="8">
        <v>460000</v>
      </c>
      <c r="R511" s="8">
        <v>431500</v>
      </c>
      <c r="S511" s="8">
        <v>377500</v>
      </c>
      <c r="T511" s="8">
        <v>46300</v>
      </c>
      <c r="U511" s="8">
        <v>148000</v>
      </c>
      <c r="V511" s="7">
        <v>382000</v>
      </c>
      <c r="W511" s="7">
        <v>31365</v>
      </c>
      <c r="X511" s="7">
        <v>375500</v>
      </c>
      <c r="Y511" s="7">
        <v>27050</v>
      </c>
      <c r="Z511" s="7">
        <v>72341</v>
      </c>
      <c r="AA511" s="8">
        <v>152500</v>
      </c>
      <c r="AB511" s="8">
        <v>530000</v>
      </c>
      <c r="AC511" s="8">
        <v>19450</v>
      </c>
      <c r="AD511" s="8">
        <v>254500</v>
      </c>
      <c r="AE511" s="8">
        <v>53900</v>
      </c>
      <c r="AF511" s="7">
        <v>36850</v>
      </c>
      <c r="AG511" s="7">
        <v>94900</v>
      </c>
      <c r="AH511" s="7">
        <v>64400</v>
      </c>
      <c r="AI511" s="7">
        <v>51900</v>
      </c>
      <c r="AJ511" s="7">
        <v>31100</v>
      </c>
      <c r="AK511" s="8">
        <v>27500</v>
      </c>
      <c r="AL511" s="8">
        <v>200000</v>
      </c>
      <c r="AM511" s="8">
        <v>277000</v>
      </c>
      <c r="AN511" s="8">
        <v>47100</v>
      </c>
      <c r="AO511" s="8">
        <v>9520</v>
      </c>
      <c r="AP511" s="7">
        <v>440500</v>
      </c>
      <c r="AQ511" s="7">
        <v>501000</v>
      </c>
      <c r="AR511" s="7">
        <v>13200</v>
      </c>
      <c r="AS511" s="7">
        <v>49650</v>
      </c>
      <c r="AT511" s="7">
        <v>81211</v>
      </c>
      <c r="AU511" s="8">
        <v>154000</v>
      </c>
      <c r="AV511" s="8">
        <v>38150</v>
      </c>
      <c r="AW511" s="8">
        <v>7370</v>
      </c>
      <c r="AX511" s="8">
        <v>229000</v>
      </c>
      <c r="AY511" s="8">
        <v>51600</v>
      </c>
    </row>
    <row r="512" spans="1:51" x14ac:dyDescent="0.4">
      <c r="A512" s="11">
        <v>40707</v>
      </c>
      <c r="B512" s="7">
        <v>70800</v>
      </c>
      <c r="C512" s="7">
        <v>26350</v>
      </c>
      <c r="D512" s="7">
        <v>78800</v>
      </c>
      <c r="E512" s="7">
        <v>236500</v>
      </c>
      <c r="F512" s="7">
        <v>81300</v>
      </c>
      <c r="G512" s="8">
        <v>64400</v>
      </c>
      <c r="H512" s="8">
        <v>76500</v>
      </c>
      <c r="I512" s="8">
        <v>183000</v>
      </c>
      <c r="J512" s="8">
        <v>121000</v>
      </c>
      <c r="K512" s="8">
        <v>226500</v>
      </c>
      <c r="L512" s="7">
        <v>436500</v>
      </c>
      <c r="M512" s="7">
        <v>853000</v>
      </c>
      <c r="N512" s="7">
        <v>115000</v>
      </c>
      <c r="O512" s="7">
        <v>156500</v>
      </c>
      <c r="P512" s="7">
        <v>92700</v>
      </c>
      <c r="Q512" s="8">
        <v>454000</v>
      </c>
      <c r="R512" s="8">
        <v>410000</v>
      </c>
      <c r="S512" s="8">
        <v>378500</v>
      </c>
      <c r="T512" s="8">
        <v>44350</v>
      </c>
      <c r="U512" s="8">
        <v>143500</v>
      </c>
      <c r="V512" s="7">
        <v>367000</v>
      </c>
      <c r="W512" s="7">
        <v>31512</v>
      </c>
      <c r="X512" s="7">
        <v>359500</v>
      </c>
      <c r="Y512" s="7">
        <v>27400</v>
      </c>
      <c r="Z512" s="7">
        <v>71559</v>
      </c>
      <c r="AA512" s="8">
        <v>153500</v>
      </c>
      <c r="AB512" s="8">
        <v>532000</v>
      </c>
      <c r="AC512" s="8">
        <v>18950</v>
      </c>
      <c r="AD512" s="8">
        <v>246000</v>
      </c>
      <c r="AE512" s="8">
        <v>54200</v>
      </c>
      <c r="AF512" s="7">
        <v>36800</v>
      </c>
      <c r="AG512" s="7">
        <v>94500</v>
      </c>
      <c r="AH512" s="7">
        <v>64500</v>
      </c>
      <c r="AI512" s="7">
        <v>51800</v>
      </c>
      <c r="AJ512" s="7">
        <v>31400</v>
      </c>
      <c r="AK512" s="8">
        <v>27500</v>
      </c>
      <c r="AL512" s="8">
        <v>200000</v>
      </c>
      <c r="AM512" s="8">
        <v>279000</v>
      </c>
      <c r="AN512" s="8">
        <v>46600</v>
      </c>
      <c r="AO512" s="8">
        <v>9470</v>
      </c>
      <c r="AP512" s="7">
        <v>432500</v>
      </c>
      <c r="AQ512" s="7">
        <v>491500</v>
      </c>
      <c r="AR512" s="7">
        <v>13150</v>
      </c>
      <c r="AS512" s="7">
        <v>49650</v>
      </c>
      <c r="AT512" s="7">
        <v>84534</v>
      </c>
      <c r="AU512" s="8">
        <v>150000</v>
      </c>
      <c r="AV512" s="8">
        <v>37800</v>
      </c>
      <c r="AW512" s="8">
        <v>7400</v>
      </c>
      <c r="AX512" s="8">
        <v>220000</v>
      </c>
      <c r="AY512" s="8">
        <v>52000</v>
      </c>
    </row>
    <row r="513" spans="1:51" x14ac:dyDescent="0.4">
      <c r="A513" s="11">
        <v>40704</v>
      </c>
      <c r="B513" s="7">
        <v>70500</v>
      </c>
      <c r="C513" s="7">
        <v>26700</v>
      </c>
      <c r="D513" s="7">
        <v>78700</v>
      </c>
      <c r="E513" s="7">
        <v>231500</v>
      </c>
      <c r="F513" s="7">
        <v>80000</v>
      </c>
      <c r="G513" s="8">
        <v>64100</v>
      </c>
      <c r="H513" s="8">
        <v>78900</v>
      </c>
      <c r="I513" s="8">
        <v>190000</v>
      </c>
      <c r="J513" s="8">
        <v>119500</v>
      </c>
      <c r="K513" s="8">
        <v>223000</v>
      </c>
      <c r="L513" s="7">
        <v>435000</v>
      </c>
      <c r="M513" s="7">
        <v>851000</v>
      </c>
      <c r="N513" s="7">
        <v>115000</v>
      </c>
      <c r="O513" s="7">
        <v>160000</v>
      </c>
      <c r="P513" s="7">
        <v>93300</v>
      </c>
      <c r="Q513" s="8">
        <v>444000</v>
      </c>
      <c r="R513" s="8">
        <v>408500</v>
      </c>
      <c r="S513" s="8">
        <v>384000</v>
      </c>
      <c r="T513" s="8">
        <v>43300</v>
      </c>
      <c r="U513" s="8">
        <v>143000</v>
      </c>
      <c r="V513" s="7">
        <v>375000</v>
      </c>
      <c r="W513" s="7">
        <v>31414</v>
      </c>
      <c r="X513" s="7">
        <v>349500</v>
      </c>
      <c r="Y513" s="7">
        <v>28100</v>
      </c>
      <c r="Z513" s="7">
        <v>70973</v>
      </c>
      <c r="AA513" s="8">
        <v>152500</v>
      </c>
      <c r="AB513" s="8">
        <v>516000</v>
      </c>
      <c r="AC513" s="8">
        <v>18600</v>
      </c>
      <c r="AD513" s="8">
        <v>244000</v>
      </c>
      <c r="AE513" s="8">
        <v>54500</v>
      </c>
      <c r="AF513" s="7">
        <v>36750</v>
      </c>
      <c r="AG513" s="7">
        <v>94300</v>
      </c>
      <c r="AH513" s="7">
        <v>64000</v>
      </c>
      <c r="AI513" s="7">
        <v>54700</v>
      </c>
      <c r="AJ513" s="7">
        <v>31950</v>
      </c>
      <c r="AK513" s="8">
        <v>27000</v>
      </c>
      <c r="AL513" s="8">
        <v>188000</v>
      </c>
      <c r="AM513" s="8">
        <v>278500</v>
      </c>
      <c r="AN513" s="8">
        <v>45500</v>
      </c>
      <c r="AO513" s="8">
        <v>9420</v>
      </c>
      <c r="AP513" s="7">
        <v>417000</v>
      </c>
      <c r="AQ513" s="7">
        <v>494000</v>
      </c>
      <c r="AR513" s="7">
        <v>13250</v>
      </c>
      <c r="AS513" s="7">
        <v>49000</v>
      </c>
      <c r="AT513" s="7">
        <v>85023</v>
      </c>
      <c r="AU513" s="8">
        <v>149500</v>
      </c>
      <c r="AV513" s="8">
        <v>37800</v>
      </c>
      <c r="AW513" s="8">
        <v>7240</v>
      </c>
      <c r="AX513" s="8">
        <v>222500</v>
      </c>
      <c r="AY513" s="8">
        <v>51100</v>
      </c>
    </row>
    <row r="514" spans="1:51" x14ac:dyDescent="0.4">
      <c r="A514" s="12">
        <v>40703</v>
      </c>
      <c r="B514" s="9">
        <v>70500</v>
      </c>
      <c r="C514" s="9">
        <v>28700</v>
      </c>
      <c r="D514" s="9">
        <v>78900</v>
      </c>
      <c r="E514" s="9">
        <v>225000</v>
      </c>
      <c r="F514" s="9">
        <v>80000</v>
      </c>
      <c r="G514" s="10">
        <v>64700</v>
      </c>
      <c r="H514" s="10">
        <v>82100</v>
      </c>
      <c r="I514" s="10">
        <v>192000</v>
      </c>
      <c r="J514" s="10">
        <v>122500</v>
      </c>
      <c r="K514" s="10">
        <v>226500</v>
      </c>
      <c r="L514" s="9">
        <v>437500</v>
      </c>
      <c r="M514" s="9">
        <v>865000</v>
      </c>
      <c r="N514" s="9">
        <v>115000</v>
      </c>
      <c r="O514" s="9">
        <v>165500</v>
      </c>
      <c r="P514" s="9">
        <v>94400</v>
      </c>
      <c r="Q514" s="10">
        <v>450000</v>
      </c>
      <c r="R514" s="10">
        <v>437500</v>
      </c>
      <c r="S514" s="10">
        <v>389000</v>
      </c>
      <c r="T514" s="10">
        <v>44300</v>
      </c>
      <c r="U514" s="10">
        <v>143500</v>
      </c>
      <c r="V514" s="9">
        <v>379000</v>
      </c>
      <c r="W514" s="9">
        <v>31463</v>
      </c>
      <c r="X514" s="9">
        <v>350500</v>
      </c>
      <c r="Y514" s="9">
        <v>28200</v>
      </c>
      <c r="Z514" s="9">
        <v>73123</v>
      </c>
      <c r="AA514" s="10">
        <v>155500</v>
      </c>
      <c r="AB514" s="10">
        <v>524000</v>
      </c>
      <c r="AC514" s="10">
        <v>19250</v>
      </c>
      <c r="AD514" s="10">
        <v>246500</v>
      </c>
      <c r="AE514" s="10">
        <v>55400</v>
      </c>
      <c r="AF514" s="9">
        <v>37000</v>
      </c>
      <c r="AG514" s="9">
        <v>92800</v>
      </c>
      <c r="AH514" s="9">
        <v>64500</v>
      </c>
      <c r="AI514" s="9">
        <v>55900</v>
      </c>
      <c r="AJ514" s="9">
        <v>33000</v>
      </c>
      <c r="AK514" s="10">
        <v>26500</v>
      </c>
      <c r="AL514" s="10">
        <v>189500</v>
      </c>
      <c r="AM514" s="10">
        <v>277500</v>
      </c>
      <c r="AN514" s="10">
        <v>46000</v>
      </c>
      <c r="AO514" s="10">
        <v>9590</v>
      </c>
      <c r="AP514" s="9">
        <v>427500</v>
      </c>
      <c r="AQ514" s="9">
        <v>493000</v>
      </c>
      <c r="AR514" s="9">
        <v>13550</v>
      </c>
      <c r="AS514" s="9">
        <v>49050</v>
      </c>
      <c r="AT514" s="9">
        <v>89714</v>
      </c>
      <c r="AU514" s="10">
        <v>152000</v>
      </c>
      <c r="AV514" s="10">
        <v>37950</v>
      </c>
      <c r="AW514" s="10">
        <v>7170</v>
      </c>
      <c r="AX514" s="10">
        <v>222500</v>
      </c>
      <c r="AY514" s="10">
        <v>51900</v>
      </c>
    </row>
    <row r="515" spans="1:51" x14ac:dyDescent="0.4">
      <c r="A515" s="11">
        <v>40702</v>
      </c>
      <c r="B515" s="7">
        <v>71100</v>
      </c>
      <c r="C515" s="7">
        <v>28900</v>
      </c>
      <c r="D515" s="7">
        <v>78500</v>
      </c>
      <c r="E515" s="7">
        <v>230500</v>
      </c>
      <c r="F515" s="7">
        <v>81400</v>
      </c>
      <c r="G515" s="8">
        <v>63800</v>
      </c>
      <c r="H515" s="8">
        <v>82900</v>
      </c>
      <c r="I515" s="8">
        <v>199000</v>
      </c>
      <c r="J515" s="8">
        <v>119000</v>
      </c>
      <c r="K515" s="8">
        <v>231500</v>
      </c>
      <c r="L515" s="7">
        <v>433000</v>
      </c>
      <c r="M515" s="7">
        <v>877000</v>
      </c>
      <c r="N515" s="7">
        <v>115000</v>
      </c>
      <c r="O515" s="7">
        <v>163500</v>
      </c>
      <c r="P515" s="7">
        <v>91600</v>
      </c>
      <c r="Q515" s="8">
        <v>466000</v>
      </c>
      <c r="R515" s="8">
        <v>417500</v>
      </c>
      <c r="S515" s="8">
        <v>378500</v>
      </c>
      <c r="T515" s="8">
        <v>44350</v>
      </c>
      <c r="U515" s="8">
        <v>141000</v>
      </c>
      <c r="V515" s="7">
        <v>375500</v>
      </c>
      <c r="W515" s="7">
        <v>32054</v>
      </c>
      <c r="X515" s="7">
        <v>359500</v>
      </c>
      <c r="Y515" s="7">
        <v>28200</v>
      </c>
      <c r="Z515" s="7">
        <v>72732</v>
      </c>
      <c r="AA515" s="8">
        <v>157500</v>
      </c>
      <c r="AB515" s="8">
        <v>523000</v>
      </c>
      <c r="AC515" s="8">
        <v>20100</v>
      </c>
      <c r="AD515" s="8">
        <v>244000</v>
      </c>
      <c r="AE515" s="8">
        <v>56200</v>
      </c>
      <c r="AF515" s="7">
        <v>37300</v>
      </c>
      <c r="AG515" s="7">
        <v>92700</v>
      </c>
      <c r="AH515" s="7">
        <v>65500</v>
      </c>
      <c r="AI515" s="7">
        <v>56200</v>
      </c>
      <c r="AJ515" s="7">
        <v>33400</v>
      </c>
      <c r="AK515" s="8">
        <v>27050</v>
      </c>
      <c r="AL515" s="8">
        <v>195000</v>
      </c>
      <c r="AM515" s="8">
        <v>280000</v>
      </c>
      <c r="AN515" s="8">
        <v>45900</v>
      </c>
      <c r="AO515" s="8">
        <v>9960</v>
      </c>
      <c r="AP515" s="7">
        <v>435000</v>
      </c>
      <c r="AQ515" s="7">
        <v>490500</v>
      </c>
      <c r="AR515" s="7">
        <v>13650</v>
      </c>
      <c r="AS515" s="7">
        <v>51000</v>
      </c>
      <c r="AT515" s="7">
        <v>88736</v>
      </c>
      <c r="AU515" s="8">
        <v>156000</v>
      </c>
      <c r="AV515" s="8">
        <v>39050</v>
      </c>
      <c r="AW515" s="8">
        <v>7360</v>
      </c>
      <c r="AX515" s="8">
        <v>224000</v>
      </c>
      <c r="AY515" s="8">
        <v>53000</v>
      </c>
    </row>
    <row r="516" spans="1:51" x14ac:dyDescent="0.4">
      <c r="A516" s="11">
        <v>40701</v>
      </c>
      <c r="B516" s="7">
        <v>72300</v>
      </c>
      <c r="C516" s="7">
        <v>28600</v>
      </c>
      <c r="D516" s="7">
        <v>84100</v>
      </c>
      <c r="E516" s="7">
        <v>228000</v>
      </c>
      <c r="F516" s="7">
        <v>83000</v>
      </c>
      <c r="G516" s="8">
        <v>62800</v>
      </c>
      <c r="H516" s="8">
        <v>82700</v>
      </c>
      <c r="I516" s="8">
        <v>198500</v>
      </c>
      <c r="J516" s="8">
        <v>116500</v>
      </c>
      <c r="K516" s="8">
        <v>238000</v>
      </c>
      <c r="L516" s="7">
        <v>432500</v>
      </c>
      <c r="M516" s="7">
        <v>887000</v>
      </c>
      <c r="N516" s="7">
        <v>118000</v>
      </c>
      <c r="O516" s="7">
        <v>166500</v>
      </c>
      <c r="P516" s="7">
        <v>93300</v>
      </c>
      <c r="Q516" s="8">
        <v>493500</v>
      </c>
      <c r="R516" s="8">
        <v>410500</v>
      </c>
      <c r="S516" s="8">
        <v>359000</v>
      </c>
      <c r="T516" s="8">
        <v>46000</v>
      </c>
      <c r="U516" s="8">
        <v>141000</v>
      </c>
      <c r="V516" s="7">
        <v>382000</v>
      </c>
      <c r="W516" s="7">
        <v>32596</v>
      </c>
      <c r="X516" s="7">
        <v>360000</v>
      </c>
      <c r="Y516" s="7">
        <v>28100</v>
      </c>
      <c r="Z516" s="7">
        <v>74394</v>
      </c>
      <c r="AA516" s="8">
        <v>160000</v>
      </c>
      <c r="AB516" s="8">
        <v>507000</v>
      </c>
      <c r="AC516" s="8">
        <v>19750</v>
      </c>
      <c r="AD516" s="8">
        <v>242500</v>
      </c>
      <c r="AE516" s="8">
        <v>55200</v>
      </c>
      <c r="AF516" s="7">
        <v>37600</v>
      </c>
      <c r="AG516" s="7">
        <v>93200</v>
      </c>
      <c r="AH516" s="7">
        <v>66000</v>
      </c>
      <c r="AI516" s="7">
        <v>56700</v>
      </c>
      <c r="AJ516" s="7">
        <v>34100</v>
      </c>
      <c r="AK516" s="8">
        <v>27700</v>
      </c>
      <c r="AL516" s="8">
        <v>192500</v>
      </c>
      <c r="AM516" s="8">
        <v>282000</v>
      </c>
      <c r="AN516" s="8">
        <v>46000</v>
      </c>
      <c r="AO516" s="8">
        <v>10250</v>
      </c>
      <c r="AP516" s="7">
        <v>454000</v>
      </c>
      <c r="AQ516" s="7">
        <v>494500</v>
      </c>
      <c r="AR516" s="7">
        <v>13700</v>
      </c>
      <c r="AS516" s="7">
        <v>50500</v>
      </c>
      <c r="AT516" s="7">
        <v>91180</v>
      </c>
      <c r="AU516" s="8">
        <v>154500</v>
      </c>
      <c r="AV516" s="8">
        <v>39150</v>
      </c>
      <c r="AW516" s="8">
        <v>7480</v>
      </c>
      <c r="AX516" s="8">
        <v>219500</v>
      </c>
      <c r="AY516" s="8">
        <v>53300</v>
      </c>
    </row>
    <row r="517" spans="1:51" x14ac:dyDescent="0.4">
      <c r="A517" s="11">
        <v>40697</v>
      </c>
      <c r="B517" s="7">
        <v>73100</v>
      </c>
      <c r="C517" s="7">
        <v>27650</v>
      </c>
      <c r="D517" s="7">
        <v>84100</v>
      </c>
      <c r="E517" s="7">
        <v>220500</v>
      </c>
      <c r="F517" s="7">
        <v>83300</v>
      </c>
      <c r="G517" s="8">
        <v>62300</v>
      </c>
      <c r="H517" s="8">
        <v>81600</v>
      </c>
      <c r="I517" s="8">
        <v>205500</v>
      </c>
      <c r="J517" s="8">
        <v>118000</v>
      </c>
      <c r="K517" s="8">
        <v>241500</v>
      </c>
      <c r="L517" s="7">
        <v>432000</v>
      </c>
      <c r="M517" s="7">
        <v>885000</v>
      </c>
      <c r="N517" s="7">
        <v>120000</v>
      </c>
      <c r="O517" s="7">
        <v>164500</v>
      </c>
      <c r="P517" s="7">
        <v>92600</v>
      </c>
      <c r="Q517" s="8">
        <v>506000</v>
      </c>
      <c r="R517" s="8">
        <v>428500</v>
      </c>
      <c r="S517" s="8">
        <v>364000</v>
      </c>
      <c r="T517" s="8">
        <v>46900</v>
      </c>
      <c r="U517" s="8">
        <v>146000</v>
      </c>
      <c r="V517" s="7">
        <v>395500</v>
      </c>
      <c r="W517" s="7">
        <v>32497</v>
      </c>
      <c r="X517" s="7">
        <v>370000</v>
      </c>
      <c r="Y517" s="7">
        <v>28450</v>
      </c>
      <c r="Z517" s="7">
        <v>74590</v>
      </c>
      <c r="AA517" s="8">
        <v>159500</v>
      </c>
      <c r="AB517" s="8">
        <v>494500</v>
      </c>
      <c r="AC517" s="8">
        <v>19650</v>
      </c>
      <c r="AD517" s="8">
        <v>250000</v>
      </c>
      <c r="AE517" s="8">
        <v>54500</v>
      </c>
      <c r="AF517" s="7">
        <v>37550</v>
      </c>
      <c r="AG517" s="7">
        <v>92500</v>
      </c>
      <c r="AH517" s="7">
        <v>65800</v>
      </c>
      <c r="AI517" s="7">
        <v>56200</v>
      </c>
      <c r="AJ517" s="7">
        <v>33800</v>
      </c>
      <c r="AK517" s="8">
        <v>27400</v>
      </c>
      <c r="AL517" s="8">
        <v>191500</v>
      </c>
      <c r="AM517" s="8">
        <v>280000</v>
      </c>
      <c r="AN517" s="8">
        <v>47850</v>
      </c>
      <c r="AO517" s="8">
        <v>10200</v>
      </c>
      <c r="AP517" s="7">
        <v>449500</v>
      </c>
      <c r="AQ517" s="7">
        <v>500000</v>
      </c>
      <c r="AR517" s="7">
        <v>13700</v>
      </c>
      <c r="AS517" s="7">
        <v>50700</v>
      </c>
      <c r="AT517" s="7">
        <v>90984</v>
      </c>
      <c r="AU517" s="8">
        <v>152500</v>
      </c>
      <c r="AV517" s="8">
        <v>38800</v>
      </c>
      <c r="AW517" s="8">
        <v>7470</v>
      </c>
      <c r="AX517" s="8">
        <v>233000</v>
      </c>
      <c r="AY517" s="8">
        <v>53400</v>
      </c>
    </row>
    <row r="518" spans="1:51" x14ac:dyDescent="0.4">
      <c r="A518" s="11">
        <v>40696</v>
      </c>
      <c r="B518" s="7">
        <v>72700</v>
      </c>
      <c r="C518" s="7">
        <v>27550</v>
      </c>
      <c r="D518" s="7">
        <v>84800</v>
      </c>
      <c r="E518" s="7">
        <v>214500</v>
      </c>
      <c r="F518" s="7">
        <v>83400</v>
      </c>
      <c r="G518" s="8">
        <v>63000</v>
      </c>
      <c r="H518" s="8">
        <v>86000</v>
      </c>
      <c r="I518" s="8">
        <v>208000</v>
      </c>
      <c r="J518" s="8">
        <v>114000</v>
      </c>
      <c r="K518" s="8">
        <v>242000</v>
      </c>
      <c r="L518" s="7">
        <v>432500</v>
      </c>
      <c r="M518" s="7">
        <v>883000</v>
      </c>
      <c r="N518" s="7">
        <v>118500</v>
      </c>
      <c r="O518" s="7">
        <v>174000</v>
      </c>
      <c r="P518" s="7">
        <v>93500</v>
      </c>
      <c r="Q518" s="8">
        <v>511000</v>
      </c>
      <c r="R518" s="8">
        <v>473000</v>
      </c>
      <c r="S518" s="8">
        <v>388500</v>
      </c>
      <c r="T518" s="8">
        <v>46750</v>
      </c>
      <c r="U518" s="8">
        <v>154000</v>
      </c>
      <c r="V518" s="7">
        <v>408000</v>
      </c>
      <c r="W518" s="7">
        <v>32497</v>
      </c>
      <c r="X518" s="7">
        <v>368000</v>
      </c>
      <c r="Y518" s="7">
        <v>28000</v>
      </c>
      <c r="Z518" s="7">
        <v>74101</v>
      </c>
      <c r="AA518" s="8">
        <v>159000</v>
      </c>
      <c r="AB518" s="8">
        <v>483000</v>
      </c>
      <c r="AC518" s="8">
        <v>18850</v>
      </c>
      <c r="AD518" s="8">
        <v>247000</v>
      </c>
      <c r="AE518" s="8">
        <v>52800</v>
      </c>
      <c r="AF518" s="7">
        <v>36950</v>
      </c>
      <c r="AG518" s="7">
        <v>91400</v>
      </c>
      <c r="AH518" s="7">
        <v>65300</v>
      </c>
      <c r="AI518" s="7">
        <v>57700</v>
      </c>
      <c r="AJ518" s="7">
        <v>33850</v>
      </c>
      <c r="AK518" s="8">
        <v>26500</v>
      </c>
      <c r="AL518" s="8">
        <v>190000</v>
      </c>
      <c r="AM518" s="8">
        <v>277000</v>
      </c>
      <c r="AN518" s="8">
        <v>46500</v>
      </c>
      <c r="AO518" s="8">
        <v>9870</v>
      </c>
      <c r="AP518" s="7">
        <v>436500</v>
      </c>
      <c r="AQ518" s="7">
        <v>519000</v>
      </c>
      <c r="AR518" s="7">
        <v>13600</v>
      </c>
      <c r="AS518" s="7">
        <v>48850</v>
      </c>
      <c r="AT518" s="7">
        <v>92059</v>
      </c>
      <c r="AU518" s="8">
        <v>154500</v>
      </c>
      <c r="AV518" s="8">
        <v>38500</v>
      </c>
      <c r="AW518" s="8">
        <v>7460</v>
      </c>
      <c r="AX518" s="8">
        <v>235500</v>
      </c>
      <c r="AY518" s="8">
        <v>51800</v>
      </c>
    </row>
    <row r="519" spans="1:51" x14ac:dyDescent="0.4">
      <c r="A519" s="12">
        <v>40695</v>
      </c>
      <c r="B519" s="9">
        <v>72900</v>
      </c>
      <c r="C519" s="9">
        <v>28400</v>
      </c>
      <c r="D519" s="9">
        <v>85000</v>
      </c>
      <c r="E519" s="9">
        <v>213500</v>
      </c>
      <c r="F519" s="9">
        <v>82700</v>
      </c>
      <c r="G519" s="10">
        <v>63000</v>
      </c>
      <c r="H519" s="10">
        <v>89000</v>
      </c>
      <c r="I519" s="10">
        <v>207500</v>
      </c>
      <c r="J519" s="10">
        <v>117500</v>
      </c>
      <c r="K519" s="10">
        <v>243500</v>
      </c>
      <c r="L519" s="9">
        <v>436000</v>
      </c>
      <c r="M519" s="9">
        <v>911000</v>
      </c>
      <c r="N519" s="9">
        <v>115500</v>
      </c>
      <c r="O519" s="9">
        <v>178500</v>
      </c>
      <c r="P519" s="9">
        <v>94400</v>
      </c>
      <c r="Q519" s="10">
        <v>504000</v>
      </c>
      <c r="R519" s="10">
        <v>493000</v>
      </c>
      <c r="S519" s="10">
        <v>402500</v>
      </c>
      <c r="T519" s="10">
        <v>47000</v>
      </c>
      <c r="U519" s="10">
        <v>155000</v>
      </c>
      <c r="V519" s="9">
        <v>400000</v>
      </c>
      <c r="W519" s="9">
        <v>33580</v>
      </c>
      <c r="X519" s="9">
        <v>370500</v>
      </c>
      <c r="Y519" s="9">
        <v>28950</v>
      </c>
      <c r="Z519" s="9">
        <v>76936</v>
      </c>
      <c r="AA519" s="10">
        <v>160000</v>
      </c>
      <c r="AB519" s="10">
        <v>485500</v>
      </c>
      <c r="AC519" s="10">
        <v>19350</v>
      </c>
      <c r="AD519" s="10">
        <v>242000</v>
      </c>
      <c r="AE519" s="10">
        <v>53000</v>
      </c>
      <c r="AF519" s="9">
        <v>37300</v>
      </c>
      <c r="AG519" s="9">
        <v>91600</v>
      </c>
      <c r="AH519" s="9">
        <v>65700</v>
      </c>
      <c r="AI519" s="9">
        <v>58400</v>
      </c>
      <c r="AJ519" s="9">
        <v>35200</v>
      </c>
      <c r="AK519" s="10">
        <v>26900</v>
      </c>
      <c r="AL519" s="10">
        <v>193500</v>
      </c>
      <c r="AM519" s="10">
        <v>276000</v>
      </c>
      <c r="AN519" s="10">
        <v>45800</v>
      </c>
      <c r="AO519" s="10">
        <v>10200</v>
      </c>
      <c r="AP519" s="9">
        <v>455000</v>
      </c>
      <c r="AQ519" s="9">
        <v>531000</v>
      </c>
      <c r="AR519" s="9">
        <v>13700</v>
      </c>
      <c r="AS519" s="9">
        <v>49600</v>
      </c>
      <c r="AT519" s="9">
        <v>96261</v>
      </c>
      <c r="AU519" s="10">
        <v>153500</v>
      </c>
      <c r="AV519" s="10">
        <v>39050</v>
      </c>
      <c r="AW519" s="10">
        <v>7450</v>
      </c>
      <c r="AX519" s="10">
        <v>236000</v>
      </c>
      <c r="AY519" s="10">
        <v>53000</v>
      </c>
    </row>
    <row r="520" spans="1:51" x14ac:dyDescent="0.4">
      <c r="A520" s="11">
        <v>40694</v>
      </c>
      <c r="B520" s="7">
        <v>75700</v>
      </c>
      <c r="C520" s="7">
        <v>30100</v>
      </c>
      <c r="D520" s="7">
        <v>84000</v>
      </c>
      <c r="E520" s="7">
        <v>206500</v>
      </c>
      <c r="F520" s="7">
        <v>80600</v>
      </c>
      <c r="G520" s="8">
        <v>63200</v>
      </c>
      <c r="H520" s="8">
        <v>90000</v>
      </c>
      <c r="I520" s="8">
        <v>203500</v>
      </c>
      <c r="J520" s="8">
        <v>119000</v>
      </c>
      <c r="K520" s="8">
        <v>252500</v>
      </c>
      <c r="L520" s="7">
        <v>437500</v>
      </c>
      <c r="M520" s="7">
        <v>902000</v>
      </c>
      <c r="N520" s="7">
        <v>115500</v>
      </c>
      <c r="O520" s="7">
        <v>176500</v>
      </c>
      <c r="P520" s="7">
        <v>92900</v>
      </c>
      <c r="Q520" s="8">
        <v>505000</v>
      </c>
      <c r="R520" s="8">
        <v>493000</v>
      </c>
      <c r="S520" s="8">
        <v>408000</v>
      </c>
      <c r="T520" s="8">
        <v>45900</v>
      </c>
      <c r="U520" s="8">
        <v>153000</v>
      </c>
      <c r="V520" s="7">
        <v>396000</v>
      </c>
      <c r="W520" s="7">
        <v>33433</v>
      </c>
      <c r="X520" s="7">
        <v>378500</v>
      </c>
      <c r="Y520" s="7">
        <v>29850</v>
      </c>
      <c r="Z520" s="7">
        <v>77718</v>
      </c>
      <c r="AA520" s="8">
        <v>160000</v>
      </c>
      <c r="AB520" s="8">
        <v>500000</v>
      </c>
      <c r="AC520" s="8">
        <v>19000</v>
      </c>
      <c r="AD520" s="8">
        <v>247000</v>
      </c>
      <c r="AE520" s="8">
        <v>54000</v>
      </c>
      <c r="AF520" s="7">
        <v>37650</v>
      </c>
      <c r="AG520" s="7">
        <v>89800</v>
      </c>
      <c r="AH520" s="7">
        <v>63300</v>
      </c>
      <c r="AI520" s="7">
        <v>56800</v>
      </c>
      <c r="AJ520" s="7">
        <v>35900</v>
      </c>
      <c r="AK520" s="8">
        <v>26100</v>
      </c>
      <c r="AL520" s="8">
        <v>192000</v>
      </c>
      <c r="AM520" s="8">
        <v>282500</v>
      </c>
      <c r="AN520" s="8">
        <v>44600</v>
      </c>
      <c r="AO520" s="8">
        <v>10150</v>
      </c>
      <c r="AP520" s="7">
        <v>441500</v>
      </c>
      <c r="AQ520" s="7">
        <v>535000</v>
      </c>
      <c r="AR520" s="7">
        <v>13850</v>
      </c>
      <c r="AS520" s="7">
        <v>48550</v>
      </c>
      <c r="AT520" s="7">
        <v>94991</v>
      </c>
      <c r="AU520" s="8">
        <v>155500</v>
      </c>
      <c r="AV520" s="8">
        <v>38700</v>
      </c>
      <c r="AW520" s="8">
        <v>7290</v>
      </c>
      <c r="AX520" s="8">
        <v>233000</v>
      </c>
      <c r="AY520" s="8">
        <v>51500</v>
      </c>
    </row>
    <row r="521" spans="1:51" x14ac:dyDescent="0.4">
      <c r="A521" s="11">
        <v>40693</v>
      </c>
      <c r="B521" s="7">
        <v>74600</v>
      </c>
      <c r="C521" s="7">
        <v>29500</v>
      </c>
      <c r="D521" s="7">
        <v>82300</v>
      </c>
      <c r="E521" s="7">
        <v>208500</v>
      </c>
      <c r="F521" s="7">
        <v>80700</v>
      </c>
      <c r="G521" s="8">
        <v>62600</v>
      </c>
      <c r="H521" s="8">
        <v>87100</v>
      </c>
      <c r="I521" s="8">
        <v>188500</v>
      </c>
      <c r="J521" s="8">
        <v>114000</v>
      </c>
      <c r="K521" s="8">
        <v>249000</v>
      </c>
      <c r="L521" s="7">
        <v>431500</v>
      </c>
      <c r="M521" s="7">
        <v>884000</v>
      </c>
      <c r="N521" s="7">
        <v>112500</v>
      </c>
      <c r="O521" s="7">
        <v>177500</v>
      </c>
      <c r="P521" s="7">
        <v>93400</v>
      </c>
      <c r="Q521" s="8">
        <v>456000</v>
      </c>
      <c r="R521" s="8">
        <v>452500</v>
      </c>
      <c r="S521" s="8">
        <v>388000</v>
      </c>
      <c r="T521" s="8">
        <v>45100</v>
      </c>
      <c r="U521" s="8">
        <v>149500</v>
      </c>
      <c r="V521" s="7">
        <v>377000</v>
      </c>
      <c r="W521" s="7">
        <v>32054</v>
      </c>
      <c r="X521" s="7">
        <v>369500</v>
      </c>
      <c r="Y521" s="7">
        <v>29250</v>
      </c>
      <c r="Z521" s="7">
        <v>75470</v>
      </c>
      <c r="AA521" s="8">
        <v>160000</v>
      </c>
      <c r="AB521" s="8">
        <v>497000</v>
      </c>
      <c r="AC521" s="8">
        <v>18450</v>
      </c>
      <c r="AD521" s="8">
        <v>243000</v>
      </c>
      <c r="AE521" s="8">
        <v>53100</v>
      </c>
      <c r="AF521" s="7">
        <v>37550</v>
      </c>
      <c r="AG521" s="7">
        <v>88300</v>
      </c>
      <c r="AH521" s="7">
        <v>63500</v>
      </c>
      <c r="AI521" s="7">
        <v>58100</v>
      </c>
      <c r="AJ521" s="7">
        <v>36000</v>
      </c>
      <c r="AK521" s="8">
        <v>26050</v>
      </c>
      <c r="AL521" s="8">
        <v>188500</v>
      </c>
      <c r="AM521" s="8">
        <v>275000</v>
      </c>
      <c r="AN521" s="8">
        <v>43800</v>
      </c>
      <c r="AO521" s="8">
        <v>9880</v>
      </c>
      <c r="AP521" s="7">
        <v>424500</v>
      </c>
      <c r="AQ521" s="7">
        <v>510000</v>
      </c>
      <c r="AR521" s="7">
        <v>13300</v>
      </c>
      <c r="AS521" s="7">
        <v>47500</v>
      </c>
      <c r="AT521" s="7">
        <v>94795</v>
      </c>
      <c r="AU521" s="8">
        <v>154000</v>
      </c>
      <c r="AV521" s="8">
        <v>39200</v>
      </c>
      <c r="AW521" s="8">
        <v>7060</v>
      </c>
      <c r="AX521" s="8">
        <v>225000</v>
      </c>
      <c r="AY521" s="8">
        <v>50900</v>
      </c>
    </row>
    <row r="522" spans="1:51" x14ac:dyDescent="0.4">
      <c r="A522" s="11">
        <v>40690</v>
      </c>
      <c r="B522" s="7">
        <v>75100</v>
      </c>
      <c r="C522" s="7">
        <v>31300</v>
      </c>
      <c r="D522" s="7">
        <v>82800</v>
      </c>
      <c r="E522" s="7">
        <v>211000</v>
      </c>
      <c r="F522" s="7">
        <v>80200</v>
      </c>
      <c r="G522" s="8">
        <v>62800</v>
      </c>
      <c r="H522" s="8">
        <v>89200</v>
      </c>
      <c r="I522" s="8">
        <v>190000</v>
      </c>
      <c r="J522" s="8">
        <v>119000</v>
      </c>
      <c r="K522" s="8">
        <v>248500</v>
      </c>
      <c r="L522" s="7">
        <v>436500</v>
      </c>
      <c r="M522" s="7">
        <v>891000</v>
      </c>
      <c r="N522" s="7">
        <v>112000</v>
      </c>
      <c r="O522" s="7">
        <v>200500</v>
      </c>
      <c r="P522" s="7">
        <v>97000</v>
      </c>
      <c r="Q522" s="8">
        <v>450000</v>
      </c>
      <c r="R522" s="8">
        <v>451500</v>
      </c>
      <c r="S522" s="8">
        <v>392000</v>
      </c>
      <c r="T522" s="8">
        <v>44300</v>
      </c>
      <c r="U522" s="8">
        <v>146000</v>
      </c>
      <c r="V522" s="7">
        <v>362500</v>
      </c>
      <c r="W522" s="7">
        <v>32152</v>
      </c>
      <c r="X522" s="7">
        <v>369000</v>
      </c>
      <c r="Y522" s="7">
        <v>29250</v>
      </c>
      <c r="Z522" s="7">
        <v>76447</v>
      </c>
      <c r="AA522" s="8">
        <v>161000</v>
      </c>
      <c r="AB522" s="8">
        <v>492500</v>
      </c>
      <c r="AC522" s="8">
        <v>18900</v>
      </c>
      <c r="AD522" s="8">
        <v>235000</v>
      </c>
      <c r="AE522" s="8">
        <v>53300</v>
      </c>
      <c r="AF522" s="7">
        <v>37450</v>
      </c>
      <c r="AG522" s="7">
        <v>89000</v>
      </c>
      <c r="AH522" s="7">
        <v>64900</v>
      </c>
      <c r="AI522" s="7">
        <v>59900</v>
      </c>
      <c r="AJ522" s="7">
        <v>37150</v>
      </c>
      <c r="AK522" s="8">
        <v>26200</v>
      </c>
      <c r="AL522" s="8">
        <v>189000</v>
      </c>
      <c r="AM522" s="8">
        <v>275000</v>
      </c>
      <c r="AN522" s="8">
        <v>42900</v>
      </c>
      <c r="AO522" s="8">
        <v>9990</v>
      </c>
      <c r="AP522" s="7">
        <v>427500</v>
      </c>
      <c r="AQ522" s="7">
        <v>505000</v>
      </c>
      <c r="AR522" s="7">
        <v>13250</v>
      </c>
      <c r="AS522" s="7">
        <v>48250</v>
      </c>
      <c r="AT522" s="7">
        <v>95773</v>
      </c>
      <c r="AU522" s="8">
        <v>157000</v>
      </c>
      <c r="AV522" s="8">
        <v>39900</v>
      </c>
      <c r="AW522" s="8">
        <v>7050</v>
      </c>
      <c r="AX522" s="8">
        <v>223000</v>
      </c>
      <c r="AY522" s="8">
        <v>51400</v>
      </c>
    </row>
    <row r="523" spans="1:51" x14ac:dyDescent="0.4">
      <c r="A523" s="11">
        <v>40689</v>
      </c>
      <c r="B523" s="7">
        <v>74900</v>
      </c>
      <c r="C523" s="7">
        <v>31100</v>
      </c>
      <c r="D523" s="7">
        <v>78600</v>
      </c>
      <c r="E523" s="7">
        <v>210000</v>
      </c>
      <c r="F523" s="7">
        <v>78800</v>
      </c>
      <c r="G523" s="8">
        <v>63500</v>
      </c>
      <c r="H523" s="8">
        <v>90400</v>
      </c>
      <c r="I523" s="8">
        <v>189000</v>
      </c>
      <c r="J523" s="8">
        <v>121500</v>
      </c>
      <c r="K523" s="8">
        <v>243500</v>
      </c>
      <c r="L523" s="7">
        <v>440000</v>
      </c>
      <c r="M523" s="7">
        <v>879000</v>
      </c>
      <c r="N523" s="7">
        <v>110000</v>
      </c>
      <c r="O523" s="7">
        <v>201000</v>
      </c>
      <c r="P523" s="7">
        <v>95400</v>
      </c>
      <c r="Q523" s="8">
        <v>451000</v>
      </c>
      <c r="R523" s="8">
        <v>458000</v>
      </c>
      <c r="S523" s="8">
        <v>395500</v>
      </c>
      <c r="T523" s="8">
        <v>43000</v>
      </c>
      <c r="U523" s="8">
        <v>144000</v>
      </c>
      <c r="V523" s="7">
        <v>379500</v>
      </c>
      <c r="W523" s="7">
        <v>31217</v>
      </c>
      <c r="X523" s="7">
        <v>367500</v>
      </c>
      <c r="Y523" s="7">
        <v>29600</v>
      </c>
      <c r="Z523" s="7">
        <v>76154</v>
      </c>
      <c r="AA523" s="8">
        <v>161500</v>
      </c>
      <c r="AB523" s="8">
        <v>472500</v>
      </c>
      <c r="AC523" s="8">
        <v>19000</v>
      </c>
      <c r="AD523" s="8">
        <v>233500</v>
      </c>
      <c r="AE523" s="8">
        <v>53100</v>
      </c>
      <c r="AF523" s="7">
        <v>37600</v>
      </c>
      <c r="AG523" s="7">
        <v>89600</v>
      </c>
      <c r="AH523" s="7">
        <v>65300</v>
      </c>
      <c r="AI523" s="7">
        <v>61200</v>
      </c>
      <c r="AJ523" s="7">
        <v>37000</v>
      </c>
      <c r="AK523" s="8">
        <v>26050</v>
      </c>
      <c r="AL523" s="8">
        <v>189000</v>
      </c>
      <c r="AM523" s="8">
        <v>263500</v>
      </c>
      <c r="AN523" s="8">
        <v>42200</v>
      </c>
      <c r="AO523" s="8">
        <v>9780</v>
      </c>
      <c r="AP523" s="7">
        <v>424000</v>
      </c>
      <c r="AQ523" s="7">
        <v>511000</v>
      </c>
      <c r="AR523" s="7">
        <v>13200</v>
      </c>
      <c r="AS523" s="7">
        <v>48450</v>
      </c>
      <c r="AT523" s="7">
        <v>95480</v>
      </c>
      <c r="AU523" s="8">
        <v>149500</v>
      </c>
      <c r="AV523" s="8">
        <v>40300</v>
      </c>
      <c r="AW523" s="8">
        <v>7030</v>
      </c>
      <c r="AX523" s="8">
        <v>222500</v>
      </c>
      <c r="AY523" s="8">
        <v>51700</v>
      </c>
    </row>
    <row r="524" spans="1:51" x14ac:dyDescent="0.4">
      <c r="A524" s="12">
        <v>40688</v>
      </c>
      <c r="B524" s="9">
        <v>70200</v>
      </c>
      <c r="C524" s="9">
        <v>30000</v>
      </c>
      <c r="D524" s="9">
        <v>77200</v>
      </c>
      <c r="E524" s="9">
        <v>208500</v>
      </c>
      <c r="F524" s="9">
        <v>75500</v>
      </c>
      <c r="G524" s="10">
        <v>63400</v>
      </c>
      <c r="H524" s="10">
        <v>88000</v>
      </c>
      <c r="I524" s="10">
        <v>175000</v>
      </c>
      <c r="J524" s="10">
        <v>121500</v>
      </c>
      <c r="K524" s="10">
        <v>230500</v>
      </c>
      <c r="L524" s="9">
        <v>437000</v>
      </c>
      <c r="M524" s="9">
        <v>856000</v>
      </c>
      <c r="N524" s="9">
        <v>106500</v>
      </c>
      <c r="O524" s="9">
        <v>184000</v>
      </c>
      <c r="P524" s="9">
        <v>94600</v>
      </c>
      <c r="Q524" s="10">
        <v>434000</v>
      </c>
      <c r="R524" s="10">
        <v>440000</v>
      </c>
      <c r="S524" s="10">
        <v>386500</v>
      </c>
      <c r="T524" s="10">
        <v>41400</v>
      </c>
      <c r="U524" s="10">
        <v>138000</v>
      </c>
      <c r="V524" s="9">
        <v>364000</v>
      </c>
      <c r="W524" s="9">
        <v>30429</v>
      </c>
      <c r="X524" s="9">
        <v>343000</v>
      </c>
      <c r="Y524" s="9">
        <v>29650</v>
      </c>
      <c r="Z524" s="9">
        <v>72635</v>
      </c>
      <c r="AA524" s="10">
        <v>162500</v>
      </c>
      <c r="AB524" s="10">
        <v>467500</v>
      </c>
      <c r="AC524" s="10">
        <v>18750</v>
      </c>
      <c r="AD524" s="10">
        <v>232000</v>
      </c>
      <c r="AE524" s="10">
        <v>52300</v>
      </c>
      <c r="AF524" s="9">
        <v>37850</v>
      </c>
      <c r="AG524" s="9">
        <v>89300</v>
      </c>
      <c r="AH524" s="9">
        <v>64600</v>
      </c>
      <c r="AI524" s="9">
        <v>59500</v>
      </c>
      <c r="AJ524" s="9">
        <v>35950</v>
      </c>
      <c r="AK524" s="10">
        <v>26050</v>
      </c>
      <c r="AL524" s="10">
        <v>192000</v>
      </c>
      <c r="AM524" s="10">
        <v>261000</v>
      </c>
      <c r="AN524" s="10">
        <v>39400</v>
      </c>
      <c r="AO524" s="10">
        <v>9510</v>
      </c>
      <c r="AP524" s="9">
        <v>429000</v>
      </c>
      <c r="AQ524" s="9">
        <v>480000</v>
      </c>
      <c r="AR524" s="9">
        <v>13150</v>
      </c>
      <c r="AS524" s="9">
        <v>48100</v>
      </c>
      <c r="AT524" s="9">
        <v>96457</v>
      </c>
      <c r="AU524" s="10">
        <v>147000</v>
      </c>
      <c r="AV524" s="10">
        <v>39000</v>
      </c>
      <c r="AW524" s="10">
        <v>6920</v>
      </c>
      <c r="AX524" s="10">
        <v>208000</v>
      </c>
      <c r="AY524" s="10">
        <v>51800</v>
      </c>
    </row>
    <row r="525" spans="1:51" x14ac:dyDescent="0.4">
      <c r="A525" s="11">
        <v>40687</v>
      </c>
      <c r="B525" s="7">
        <v>70400</v>
      </c>
      <c r="C525" s="7">
        <v>31250</v>
      </c>
      <c r="D525" s="7">
        <v>76400</v>
      </c>
      <c r="E525" s="7">
        <v>209000</v>
      </c>
      <c r="F525" s="7">
        <v>77200</v>
      </c>
      <c r="G525" s="8">
        <v>65800</v>
      </c>
      <c r="H525" s="8">
        <v>88400</v>
      </c>
      <c r="I525" s="8">
        <v>180000</v>
      </c>
      <c r="J525" s="8">
        <v>128000</v>
      </c>
      <c r="K525" s="8">
        <v>230500</v>
      </c>
      <c r="L525" s="7">
        <v>445000</v>
      </c>
      <c r="M525" s="7">
        <v>865000</v>
      </c>
      <c r="N525" s="7">
        <v>107000</v>
      </c>
      <c r="O525" s="7">
        <v>183000</v>
      </c>
      <c r="P525" s="7">
        <v>98500</v>
      </c>
      <c r="Q525" s="8">
        <v>434500</v>
      </c>
      <c r="R525" s="8">
        <v>496000</v>
      </c>
      <c r="S525" s="8">
        <v>374000</v>
      </c>
      <c r="T525" s="8">
        <v>42700</v>
      </c>
      <c r="U525" s="8">
        <v>141500</v>
      </c>
      <c r="V525" s="7">
        <v>388000</v>
      </c>
      <c r="W525" s="7">
        <v>30725</v>
      </c>
      <c r="X525" s="7">
        <v>344000</v>
      </c>
      <c r="Y525" s="7">
        <v>29850</v>
      </c>
      <c r="Z525" s="7">
        <v>74199</v>
      </c>
      <c r="AA525" s="8">
        <v>164000</v>
      </c>
      <c r="AB525" s="8">
        <v>485000</v>
      </c>
      <c r="AC525" s="8">
        <v>18850</v>
      </c>
      <c r="AD525" s="8">
        <v>224000</v>
      </c>
      <c r="AE525" s="8">
        <v>52400</v>
      </c>
      <c r="AF525" s="7">
        <v>37900</v>
      </c>
      <c r="AG525" s="7">
        <v>92200</v>
      </c>
      <c r="AH525" s="7">
        <v>64000</v>
      </c>
      <c r="AI525" s="7">
        <v>59700</v>
      </c>
      <c r="AJ525" s="7">
        <v>36350</v>
      </c>
      <c r="AK525" s="8">
        <v>26500</v>
      </c>
      <c r="AL525" s="8">
        <v>188500</v>
      </c>
      <c r="AM525" s="8">
        <v>256000</v>
      </c>
      <c r="AN525" s="8">
        <v>41250</v>
      </c>
      <c r="AO525" s="8">
        <v>9730</v>
      </c>
      <c r="AP525" s="7">
        <v>431000</v>
      </c>
      <c r="AQ525" s="7">
        <v>486500</v>
      </c>
      <c r="AR525" s="7">
        <v>13400</v>
      </c>
      <c r="AS525" s="7">
        <v>48300</v>
      </c>
      <c r="AT525" s="7">
        <v>98705</v>
      </c>
      <c r="AU525" s="8">
        <v>147000</v>
      </c>
      <c r="AV525" s="8">
        <v>38300</v>
      </c>
      <c r="AW525" s="8">
        <v>6990</v>
      </c>
      <c r="AX525" s="8">
        <v>210500</v>
      </c>
      <c r="AY525" s="8">
        <v>52000</v>
      </c>
    </row>
    <row r="526" spans="1:51" x14ac:dyDescent="0.4">
      <c r="A526" s="11">
        <v>40686</v>
      </c>
      <c r="B526" s="7">
        <v>69100</v>
      </c>
      <c r="C526" s="7">
        <v>30850</v>
      </c>
      <c r="D526" s="7">
        <v>76700</v>
      </c>
      <c r="E526" s="7">
        <v>208000</v>
      </c>
      <c r="F526" s="7">
        <v>78000</v>
      </c>
      <c r="G526" s="8">
        <v>65500</v>
      </c>
      <c r="H526" s="8">
        <v>90600</v>
      </c>
      <c r="I526" s="8">
        <v>176500</v>
      </c>
      <c r="J526" s="8">
        <v>130000</v>
      </c>
      <c r="K526" s="8">
        <v>228000</v>
      </c>
      <c r="L526" s="7">
        <v>447000</v>
      </c>
      <c r="M526" s="7">
        <v>873000</v>
      </c>
      <c r="N526" s="7">
        <v>104000</v>
      </c>
      <c r="O526" s="7">
        <v>184000</v>
      </c>
      <c r="P526" s="7">
        <v>99700</v>
      </c>
      <c r="Q526" s="8">
        <v>441000</v>
      </c>
      <c r="R526" s="8">
        <v>491500</v>
      </c>
      <c r="S526" s="8">
        <v>351000</v>
      </c>
      <c r="T526" s="8">
        <v>42350</v>
      </c>
      <c r="U526" s="8">
        <v>136000</v>
      </c>
      <c r="V526" s="7">
        <v>381000</v>
      </c>
      <c r="W526" s="7">
        <v>30281</v>
      </c>
      <c r="X526" s="7">
        <v>339000</v>
      </c>
      <c r="Y526" s="7">
        <v>30000</v>
      </c>
      <c r="Z526" s="7">
        <v>72732</v>
      </c>
      <c r="AA526" s="8">
        <v>168000</v>
      </c>
      <c r="AB526" s="8">
        <v>487000</v>
      </c>
      <c r="AC526" s="8">
        <v>18450</v>
      </c>
      <c r="AD526" s="8">
        <v>222500</v>
      </c>
      <c r="AE526" s="8">
        <v>52200</v>
      </c>
      <c r="AF526" s="7">
        <v>38450</v>
      </c>
      <c r="AG526" s="7">
        <v>94100</v>
      </c>
      <c r="AH526" s="7">
        <v>62600</v>
      </c>
      <c r="AI526" s="7">
        <v>59500</v>
      </c>
      <c r="AJ526" s="7">
        <v>36500</v>
      </c>
      <c r="AK526" s="8">
        <v>26150</v>
      </c>
      <c r="AL526" s="8">
        <v>189000</v>
      </c>
      <c r="AM526" s="8">
        <v>252000</v>
      </c>
      <c r="AN526" s="8">
        <v>40750</v>
      </c>
      <c r="AO526" s="8">
        <v>9720</v>
      </c>
      <c r="AP526" s="7">
        <v>433000</v>
      </c>
      <c r="AQ526" s="7">
        <v>484500</v>
      </c>
      <c r="AR526" s="7">
        <v>13000</v>
      </c>
      <c r="AS526" s="7">
        <v>47750</v>
      </c>
      <c r="AT526" s="7">
        <v>100170</v>
      </c>
      <c r="AU526" s="8">
        <v>148500</v>
      </c>
      <c r="AV526" s="8">
        <v>38150</v>
      </c>
      <c r="AW526" s="8">
        <v>7010</v>
      </c>
      <c r="AX526" s="8">
        <v>205000</v>
      </c>
      <c r="AY526" s="8">
        <v>52200</v>
      </c>
    </row>
    <row r="527" spans="1:51" x14ac:dyDescent="0.4">
      <c r="A527" s="11">
        <v>40683</v>
      </c>
      <c r="B527" s="7">
        <v>72500</v>
      </c>
      <c r="C527" s="7">
        <v>32200</v>
      </c>
      <c r="D527" s="7">
        <v>78400</v>
      </c>
      <c r="E527" s="7">
        <v>212500</v>
      </c>
      <c r="F527" s="7">
        <v>78600</v>
      </c>
      <c r="G527" s="8">
        <v>67900</v>
      </c>
      <c r="H527" s="8">
        <v>94400</v>
      </c>
      <c r="I527" s="8">
        <v>190500</v>
      </c>
      <c r="J527" s="8">
        <v>131500</v>
      </c>
      <c r="K527" s="8">
        <v>241000</v>
      </c>
      <c r="L527" s="7">
        <v>454500</v>
      </c>
      <c r="M527" s="7">
        <v>882000</v>
      </c>
      <c r="N527" s="7">
        <v>105500</v>
      </c>
      <c r="O527" s="7">
        <v>189000</v>
      </c>
      <c r="P527" s="7">
        <v>103500</v>
      </c>
      <c r="Q527" s="8">
        <v>474000</v>
      </c>
      <c r="R527" s="8">
        <v>524000</v>
      </c>
      <c r="S527" s="8">
        <v>359000</v>
      </c>
      <c r="T527" s="8">
        <v>45300</v>
      </c>
      <c r="U527" s="8">
        <v>144500</v>
      </c>
      <c r="V527" s="7">
        <v>407500</v>
      </c>
      <c r="W527" s="7">
        <v>30478</v>
      </c>
      <c r="X527" s="7">
        <v>350000</v>
      </c>
      <c r="Y527" s="7">
        <v>28750</v>
      </c>
      <c r="Z527" s="7">
        <v>76545</v>
      </c>
      <c r="AA527" s="8">
        <v>167500</v>
      </c>
      <c r="AB527" s="8">
        <v>503000</v>
      </c>
      <c r="AC527" s="8">
        <v>18300</v>
      </c>
      <c r="AD527" s="8">
        <v>227500</v>
      </c>
      <c r="AE527" s="8">
        <v>53300</v>
      </c>
      <c r="AF527" s="7">
        <v>38650</v>
      </c>
      <c r="AG527" s="7">
        <v>95700</v>
      </c>
      <c r="AH527" s="7">
        <v>63300</v>
      </c>
      <c r="AI527" s="7">
        <v>60300</v>
      </c>
      <c r="AJ527" s="7">
        <v>37700</v>
      </c>
      <c r="AK527" s="8">
        <v>27350</v>
      </c>
      <c r="AL527" s="8">
        <v>194000</v>
      </c>
      <c r="AM527" s="8">
        <v>256000</v>
      </c>
      <c r="AN527" s="8">
        <v>43050</v>
      </c>
      <c r="AO527" s="8">
        <v>10000</v>
      </c>
      <c r="AP527" s="7">
        <v>457500</v>
      </c>
      <c r="AQ527" s="7">
        <v>502000</v>
      </c>
      <c r="AR527" s="7">
        <v>13100</v>
      </c>
      <c r="AS527" s="7">
        <v>47400</v>
      </c>
      <c r="AT527" s="7">
        <v>106034</v>
      </c>
      <c r="AU527" s="8">
        <v>154000</v>
      </c>
      <c r="AV527" s="8">
        <v>38300</v>
      </c>
      <c r="AW527" s="8">
        <v>7120</v>
      </c>
      <c r="AX527" s="8">
        <v>218000</v>
      </c>
      <c r="AY527" s="8">
        <v>52600</v>
      </c>
    </row>
    <row r="528" spans="1:51" x14ac:dyDescent="0.4">
      <c r="A528" s="11">
        <v>40682</v>
      </c>
      <c r="B528" s="7">
        <v>71800</v>
      </c>
      <c r="C528" s="7">
        <v>31550</v>
      </c>
      <c r="D528" s="7">
        <v>79400</v>
      </c>
      <c r="E528" s="7">
        <v>212000</v>
      </c>
      <c r="F528" s="7">
        <v>78000</v>
      </c>
      <c r="G528" s="8">
        <v>68400</v>
      </c>
      <c r="H528" s="8">
        <v>92700</v>
      </c>
      <c r="I528" s="8">
        <v>193500</v>
      </c>
      <c r="J528" s="8">
        <v>129500</v>
      </c>
      <c r="K528" s="8">
        <v>233500</v>
      </c>
      <c r="L528" s="7">
        <v>454500</v>
      </c>
      <c r="M528" s="7">
        <v>880000</v>
      </c>
      <c r="N528" s="7">
        <v>108000</v>
      </c>
      <c r="O528" s="7">
        <v>185000</v>
      </c>
      <c r="P528" s="7">
        <v>100500</v>
      </c>
      <c r="Q528" s="8">
        <v>467500</v>
      </c>
      <c r="R528" s="8">
        <v>528000</v>
      </c>
      <c r="S528" s="8">
        <v>352000</v>
      </c>
      <c r="T528" s="8">
        <v>43600</v>
      </c>
      <c r="U528" s="8">
        <v>141000</v>
      </c>
      <c r="V528" s="7">
        <v>415000</v>
      </c>
      <c r="W528" s="7">
        <v>30232</v>
      </c>
      <c r="X528" s="7">
        <v>345000</v>
      </c>
      <c r="Y528" s="7">
        <v>27900</v>
      </c>
      <c r="Z528" s="7">
        <v>78305</v>
      </c>
      <c r="AA528" s="8">
        <v>165000</v>
      </c>
      <c r="AB528" s="8">
        <v>489000</v>
      </c>
      <c r="AC528" s="8">
        <v>18250</v>
      </c>
      <c r="AD528" s="8">
        <v>223500</v>
      </c>
      <c r="AE528" s="8">
        <v>53500</v>
      </c>
      <c r="AF528" s="7">
        <v>38050</v>
      </c>
      <c r="AG528" s="7">
        <v>95200</v>
      </c>
      <c r="AH528" s="7">
        <v>62900</v>
      </c>
      <c r="AI528" s="7">
        <v>60800</v>
      </c>
      <c r="AJ528" s="7">
        <v>37650</v>
      </c>
      <c r="AK528" s="8">
        <v>25750</v>
      </c>
      <c r="AL528" s="8">
        <v>195000</v>
      </c>
      <c r="AM528" s="8">
        <v>252500</v>
      </c>
      <c r="AN528" s="8">
        <v>43300</v>
      </c>
      <c r="AO528" s="8">
        <v>9910</v>
      </c>
      <c r="AP528" s="7">
        <v>433000</v>
      </c>
      <c r="AQ528" s="7">
        <v>507000</v>
      </c>
      <c r="AR528" s="7">
        <v>13150</v>
      </c>
      <c r="AS528" s="7">
        <v>47600</v>
      </c>
      <c r="AT528" s="7">
        <v>107011</v>
      </c>
      <c r="AU528" s="8">
        <v>153500</v>
      </c>
      <c r="AV528" s="8">
        <v>36750</v>
      </c>
      <c r="AW528" s="8">
        <v>7100</v>
      </c>
      <c r="AX528" s="8">
        <v>220000</v>
      </c>
      <c r="AY528" s="8">
        <v>52500</v>
      </c>
    </row>
    <row r="529" spans="1:51" x14ac:dyDescent="0.4">
      <c r="A529" s="12">
        <v>40681</v>
      </c>
      <c r="B529" s="9">
        <v>74800</v>
      </c>
      <c r="C529" s="9">
        <v>32800</v>
      </c>
      <c r="D529" s="9">
        <v>82200</v>
      </c>
      <c r="E529" s="9">
        <v>214000</v>
      </c>
      <c r="F529" s="9">
        <v>79900</v>
      </c>
      <c r="G529" s="10">
        <v>68800</v>
      </c>
      <c r="H529" s="10">
        <v>98900</v>
      </c>
      <c r="I529" s="10">
        <v>196000</v>
      </c>
      <c r="J529" s="10">
        <v>131000</v>
      </c>
      <c r="K529" s="10">
        <v>238500</v>
      </c>
      <c r="L529" s="9">
        <v>460000</v>
      </c>
      <c r="M529" s="9">
        <v>893000</v>
      </c>
      <c r="N529" s="9">
        <v>114500</v>
      </c>
      <c r="O529" s="9">
        <v>189500</v>
      </c>
      <c r="P529" s="9">
        <v>103500</v>
      </c>
      <c r="Q529" s="10">
        <v>475000</v>
      </c>
      <c r="R529" s="10">
        <v>577000</v>
      </c>
      <c r="S529" s="10">
        <v>377500</v>
      </c>
      <c r="T529" s="10">
        <v>44950</v>
      </c>
      <c r="U529" s="10">
        <v>144000</v>
      </c>
      <c r="V529" s="9">
        <v>416000</v>
      </c>
      <c r="W529" s="9">
        <v>30725</v>
      </c>
      <c r="X529" s="9">
        <v>351500</v>
      </c>
      <c r="Y529" s="9">
        <v>27700</v>
      </c>
      <c r="Z529" s="9">
        <v>80944</v>
      </c>
      <c r="AA529" s="10">
        <v>165000</v>
      </c>
      <c r="AB529" s="10">
        <v>490500</v>
      </c>
      <c r="AC529" s="10">
        <v>18650</v>
      </c>
      <c r="AD529" s="10">
        <v>229000</v>
      </c>
      <c r="AE529" s="10">
        <v>54000</v>
      </c>
      <c r="AF529" s="9">
        <v>38200</v>
      </c>
      <c r="AG529" s="9">
        <v>96700</v>
      </c>
      <c r="AH529" s="9">
        <v>63500</v>
      </c>
      <c r="AI529" s="9">
        <v>61900</v>
      </c>
      <c r="AJ529" s="9">
        <v>38600</v>
      </c>
      <c r="AK529" s="10">
        <v>25750</v>
      </c>
      <c r="AL529" s="10">
        <v>192500</v>
      </c>
      <c r="AM529" s="10">
        <v>267000</v>
      </c>
      <c r="AN529" s="10">
        <v>44050</v>
      </c>
      <c r="AO529" s="10">
        <v>10250</v>
      </c>
      <c r="AP529" s="9">
        <v>438000</v>
      </c>
      <c r="AQ529" s="9">
        <v>513000</v>
      </c>
      <c r="AR529" s="9">
        <v>13400</v>
      </c>
      <c r="AS529" s="9">
        <v>48600</v>
      </c>
      <c r="AT529" s="9">
        <v>109455</v>
      </c>
      <c r="AU529" s="10">
        <v>154000</v>
      </c>
      <c r="AV529" s="10">
        <v>37250</v>
      </c>
      <c r="AW529" s="10">
        <v>7240</v>
      </c>
      <c r="AX529" s="10">
        <v>223500</v>
      </c>
      <c r="AY529" s="10">
        <v>53700</v>
      </c>
    </row>
    <row r="530" spans="1:51" x14ac:dyDescent="0.4">
      <c r="A530" s="11">
        <v>40680</v>
      </c>
      <c r="B530" s="7">
        <v>72100</v>
      </c>
      <c r="C530" s="7">
        <v>33100</v>
      </c>
      <c r="D530" s="7">
        <v>81000</v>
      </c>
      <c r="E530" s="7">
        <v>211500</v>
      </c>
      <c r="F530" s="7">
        <v>77500</v>
      </c>
      <c r="G530" s="8">
        <v>67200</v>
      </c>
      <c r="H530" s="8">
        <v>98000</v>
      </c>
      <c r="I530" s="8">
        <v>187000</v>
      </c>
      <c r="J530" s="8">
        <v>126000</v>
      </c>
      <c r="K530" s="8">
        <v>226000</v>
      </c>
      <c r="L530" s="7">
        <v>455000</v>
      </c>
      <c r="M530" s="7">
        <v>890000</v>
      </c>
      <c r="N530" s="7">
        <v>113500</v>
      </c>
      <c r="O530" s="7">
        <v>187500</v>
      </c>
      <c r="P530" s="7">
        <v>106000</v>
      </c>
      <c r="Q530" s="8">
        <v>445500</v>
      </c>
      <c r="R530" s="8">
        <v>533000</v>
      </c>
      <c r="S530" s="8">
        <v>362000</v>
      </c>
      <c r="T530" s="8">
        <v>42650</v>
      </c>
      <c r="U530" s="8">
        <v>141500</v>
      </c>
      <c r="V530" s="7">
        <v>400500</v>
      </c>
      <c r="W530" s="7">
        <v>30183</v>
      </c>
      <c r="X530" s="7">
        <v>345000</v>
      </c>
      <c r="Y530" s="7">
        <v>27600</v>
      </c>
      <c r="Z530" s="7">
        <v>79478</v>
      </c>
      <c r="AA530" s="8">
        <v>163500</v>
      </c>
      <c r="AB530" s="8">
        <v>501000</v>
      </c>
      <c r="AC530" s="8">
        <v>18300</v>
      </c>
      <c r="AD530" s="8">
        <v>217000</v>
      </c>
      <c r="AE530" s="8">
        <v>51800</v>
      </c>
      <c r="AF530" s="7">
        <v>38350</v>
      </c>
      <c r="AG530" s="7">
        <v>96300</v>
      </c>
      <c r="AH530" s="7">
        <v>62600</v>
      </c>
      <c r="AI530" s="7">
        <v>61700</v>
      </c>
      <c r="AJ530" s="7">
        <v>38300</v>
      </c>
      <c r="AK530" s="8">
        <v>25200</v>
      </c>
      <c r="AL530" s="8">
        <v>201500</v>
      </c>
      <c r="AM530" s="8">
        <v>271000</v>
      </c>
      <c r="AN530" s="8">
        <v>41850</v>
      </c>
      <c r="AO530" s="8">
        <v>10250</v>
      </c>
      <c r="AP530" s="7">
        <v>433000</v>
      </c>
      <c r="AQ530" s="7">
        <v>494500</v>
      </c>
      <c r="AR530" s="7">
        <v>13350</v>
      </c>
      <c r="AS530" s="7">
        <v>48600</v>
      </c>
      <c r="AT530" s="7">
        <v>110432</v>
      </c>
      <c r="AU530" s="8">
        <v>149000</v>
      </c>
      <c r="AV530" s="8">
        <v>37300</v>
      </c>
      <c r="AW530" s="8">
        <v>7220</v>
      </c>
      <c r="AX530" s="8">
        <v>216500</v>
      </c>
      <c r="AY530" s="8">
        <v>53800</v>
      </c>
    </row>
    <row r="531" spans="1:51" x14ac:dyDescent="0.4">
      <c r="A531" s="11">
        <v>40679</v>
      </c>
      <c r="B531" s="7">
        <v>70300</v>
      </c>
      <c r="C531" s="7">
        <v>34400</v>
      </c>
      <c r="D531" s="7">
        <v>80500</v>
      </c>
      <c r="E531" s="7">
        <v>211500</v>
      </c>
      <c r="F531" s="7">
        <v>76500</v>
      </c>
      <c r="G531" s="8">
        <v>66500</v>
      </c>
      <c r="H531" s="8">
        <v>95800</v>
      </c>
      <c r="I531" s="8">
        <v>182000</v>
      </c>
      <c r="J531" s="8">
        <v>128000</v>
      </c>
      <c r="K531" s="8">
        <v>224000</v>
      </c>
      <c r="L531" s="7">
        <v>457500</v>
      </c>
      <c r="M531" s="7">
        <v>901000</v>
      </c>
      <c r="N531" s="7">
        <v>114000</v>
      </c>
      <c r="O531" s="7">
        <v>191500</v>
      </c>
      <c r="P531" s="7">
        <v>108500</v>
      </c>
      <c r="Q531" s="8">
        <v>456000</v>
      </c>
      <c r="R531" s="8">
        <v>541000</v>
      </c>
      <c r="S531" s="8">
        <v>365500</v>
      </c>
      <c r="T531" s="8">
        <v>43650</v>
      </c>
      <c r="U531" s="8">
        <v>138500</v>
      </c>
      <c r="V531" s="7">
        <v>393500</v>
      </c>
      <c r="W531" s="7">
        <v>30626</v>
      </c>
      <c r="X531" s="7">
        <v>333000</v>
      </c>
      <c r="Y531" s="7">
        <v>27650</v>
      </c>
      <c r="Z531" s="7">
        <v>78696</v>
      </c>
      <c r="AA531" s="8">
        <v>164000</v>
      </c>
      <c r="AB531" s="8">
        <v>511000</v>
      </c>
      <c r="AC531" s="8">
        <v>18100</v>
      </c>
      <c r="AD531" s="8">
        <v>219500</v>
      </c>
      <c r="AE531" s="8">
        <v>51800</v>
      </c>
      <c r="AF531" s="7">
        <v>38650</v>
      </c>
      <c r="AG531" s="7">
        <v>97000</v>
      </c>
      <c r="AH531" s="7">
        <v>62900</v>
      </c>
      <c r="AI531" s="7">
        <v>62000</v>
      </c>
      <c r="AJ531" s="7">
        <v>38700</v>
      </c>
      <c r="AK531" s="8">
        <v>25500</v>
      </c>
      <c r="AL531" s="8">
        <v>200500</v>
      </c>
      <c r="AM531" s="8">
        <v>279000</v>
      </c>
      <c r="AN531" s="8">
        <v>42350</v>
      </c>
      <c r="AO531" s="8">
        <v>10150</v>
      </c>
      <c r="AP531" s="7">
        <v>430000</v>
      </c>
      <c r="AQ531" s="7">
        <v>492000</v>
      </c>
      <c r="AR531" s="7">
        <v>13550</v>
      </c>
      <c r="AS531" s="7">
        <v>47200</v>
      </c>
      <c r="AT531" s="7">
        <v>111409</v>
      </c>
      <c r="AU531" s="8">
        <v>148500</v>
      </c>
      <c r="AV531" s="8">
        <v>36500</v>
      </c>
      <c r="AW531" s="8">
        <v>7310</v>
      </c>
      <c r="AX531" s="8">
        <v>214000</v>
      </c>
      <c r="AY531" s="8">
        <v>53800</v>
      </c>
    </row>
    <row r="532" spans="1:51" x14ac:dyDescent="0.4">
      <c r="A532" s="11">
        <v>40676</v>
      </c>
      <c r="B532" s="7">
        <v>72100</v>
      </c>
      <c r="C532" s="7">
        <v>34500</v>
      </c>
      <c r="D532" s="7">
        <v>81300</v>
      </c>
      <c r="E532" s="7">
        <v>208500</v>
      </c>
      <c r="F532" s="7">
        <v>76500</v>
      </c>
      <c r="G532" s="8">
        <v>67100</v>
      </c>
      <c r="H532" s="8">
        <v>96000</v>
      </c>
      <c r="I532" s="8">
        <v>184000</v>
      </c>
      <c r="J532" s="8">
        <v>132500</v>
      </c>
      <c r="K532" s="8">
        <v>229500</v>
      </c>
      <c r="L532" s="7">
        <v>465000</v>
      </c>
      <c r="M532" s="7">
        <v>916000</v>
      </c>
      <c r="N532" s="7">
        <v>117000</v>
      </c>
      <c r="O532" s="7">
        <v>189000</v>
      </c>
      <c r="P532" s="7">
        <v>109500</v>
      </c>
      <c r="Q532" s="8">
        <v>460000</v>
      </c>
      <c r="R532" s="8">
        <v>541000</v>
      </c>
      <c r="S532" s="8">
        <v>361000</v>
      </c>
      <c r="T532" s="8">
        <v>43050</v>
      </c>
      <c r="U532" s="8">
        <v>132000</v>
      </c>
      <c r="V532" s="7">
        <v>390000</v>
      </c>
      <c r="W532" s="7">
        <v>31562</v>
      </c>
      <c r="X532" s="7">
        <v>337000</v>
      </c>
      <c r="Y532" s="7">
        <v>27950</v>
      </c>
      <c r="Z532" s="7">
        <v>80358</v>
      </c>
      <c r="AA532" s="8">
        <v>162000</v>
      </c>
      <c r="AB532" s="8">
        <v>502000</v>
      </c>
      <c r="AC532" s="8">
        <v>18400</v>
      </c>
      <c r="AD532" s="8">
        <v>222000</v>
      </c>
      <c r="AE532" s="8">
        <v>52700</v>
      </c>
      <c r="AF532" s="7">
        <v>39050</v>
      </c>
      <c r="AG532" s="7">
        <v>98100</v>
      </c>
      <c r="AH532" s="7">
        <v>62900</v>
      </c>
      <c r="AI532" s="7">
        <v>63400</v>
      </c>
      <c r="AJ532" s="7">
        <v>40150</v>
      </c>
      <c r="AK532" s="8">
        <v>24550</v>
      </c>
      <c r="AL532" s="8">
        <v>200000</v>
      </c>
      <c r="AM532" s="8">
        <v>271500</v>
      </c>
      <c r="AN532" s="8">
        <v>42500</v>
      </c>
      <c r="AO532" s="8">
        <v>10600</v>
      </c>
      <c r="AP532" s="7">
        <v>417500</v>
      </c>
      <c r="AQ532" s="7">
        <v>491000</v>
      </c>
      <c r="AR532" s="7">
        <v>13850</v>
      </c>
      <c r="AS532" s="7">
        <v>47950</v>
      </c>
      <c r="AT532" s="7">
        <v>112875</v>
      </c>
      <c r="AU532" s="8">
        <v>147500</v>
      </c>
      <c r="AV532" s="8">
        <v>37850</v>
      </c>
      <c r="AW532" s="8">
        <v>7380</v>
      </c>
      <c r="AX532" s="8">
        <v>209500</v>
      </c>
      <c r="AY532" s="8">
        <v>54300</v>
      </c>
    </row>
    <row r="533" spans="1:51" x14ac:dyDescent="0.4">
      <c r="A533" s="11">
        <v>40675</v>
      </c>
      <c r="B533" s="7">
        <v>74500</v>
      </c>
      <c r="C533" s="7">
        <v>33750</v>
      </c>
      <c r="D533" s="7">
        <v>81800</v>
      </c>
      <c r="E533" s="7">
        <v>216500</v>
      </c>
      <c r="F533" s="7">
        <v>75000</v>
      </c>
      <c r="G533" s="8">
        <v>67900</v>
      </c>
      <c r="H533" s="8">
        <v>95800</v>
      </c>
      <c r="I533" s="8">
        <v>186500</v>
      </c>
      <c r="J533" s="8">
        <v>131000</v>
      </c>
      <c r="K533" s="8">
        <v>236000</v>
      </c>
      <c r="L533" s="7">
        <v>462500</v>
      </c>
      <c r="M533" s="7">
        <v>885000</v>
      </c>
      <c r="N533" s="7">
        <v>119000</v>
      </c>
      <c r="O533" s="7">
        <v>188500</v>
      </c>
      <c r="P533" s="7">
        <v>107000</v>
      </c>
      <c r="Q533" s="8">
        <v>466500</v>
      </c>
      <c r="R533" s="8">
        <v>550000</v>
      </c>
      <c r="S533" s="8">
        <v>367500</v>
      </c>
      <c r="T533" s="8">
        <v>43350</v>
      </c>
      <c r="U533" s="8">
        <v>134000</v>
      </c>
      <c r="V533" s="7">
        <v>390000</v>
      </c>
      <c r="W533" s="7">
        <v>31315</v>
      </c>
      <c r="X533" s="7">
        <v>335000</v>
      </c>
      <c r="Y533" s="7">
        <v>27850</v>
      </c>
      <c r="Z533" s="7">
        <v>80455</v>
      </c>
      <c r="AA533" s="8">
        <v>161000</v>
      </c>
      <c r="AB533" s="8">
        <v>484500</v>
      </c>
      <c r="AC533" s="8">
        <v>18500</v>
      </c>
      <c r="AD533" s="8">
        <v>220000</v>
      </c>
      <c r="AE533" s="8">
        <v>53000</v>
      </c>
      <c r="AF533" s="7">
        <v>38700</v>
      </c>
      <c r="AG533" s="7">
        <v>98000</v>
      </c>
      <c r="AH533" s="7">
        <v>64400</v>
      </c>
      <c r="AI533" s="7">
        <v>64200</v>
      </c>
      <c r="AJ533" s="7">
        <v>39700</v>
      </c>
      <c r="AK533" s="8">
        <v>24600</v>
      </c>
      <c r="AL533" s="8">
        <v>200000</v>
      </c>
      <c r="AM533" s="8">
        <v>262000</v>
      </c>
      <c r="AN533" s="8">
        <v>43500</v>
      </c>
      <c r="AO533" s="8">
        <v>10700</v>
      </c>
      <c r="AP533" s="7">
        <v>401000</v>
      </c>
      <c r="AQ533" s="7">
        <v>499500</v>
      </c>
      <c r="AR533" s="7">
        <v>14050</v>
      </c>
      <c r="AS533" s="7">
        <v>49600</v>
      </c>
      <c r="AT533" s="7">
        <v>111409</v>
      </c>
      <c r="AU533" s="8">
        <v>148000</v>
      </c>
      <c r="AV533" s="8">
        <v>44500</v>
      </c>
      <c r="AW533" s="8">
        <v>7460</v>
      </c>
      <c r="AX533" s="8">
        <v>215500</v>
      </c>
      <c r="AY533" s="8">
        <v>55300</v>
      </c>
    </row>
    <row r="534" spans="1:51" x14ac:dyDescent="0.4">
      <c r="A534" s="12">
        <v>40674</v>
      </c>
      <c r="B534" s="9">
        <v>76000</v>
      </c>
      <c r="C534" s="9">
        <v>33700</v>
      </c>
      <c r="D534" s="9">
        <v>83900</v>
      </c>
      <c r="E534" s="9">
        <v>223000</v>
      </c>
      <c r="F534" s="9">
        <v>76400</v>
      </c>
      <c r="G534" s="10">
        <v>69100</v>
      </c>
      <c r="H534" s="10">
        <v>97400</v>
      </c>
      <c r="I534" s="10">
        <v>190000</v>
      </c>
      <c r="J534" s="10">
        <v>134500</v>
      </c>
      <c r="K534" s="10">
        <v>247500</v>
      </c>
      <c r="L534" s="9">
        <v>470000</v>
      </c>
      <c r="M534" s="9">
        <v>892000</v>
      </c>
      <c r="N534" s="9">
        <v>124000</v>
      </c>
      <c r="O534" s="9">
        <v>184500</v>
      </c>
      <c r="P534" s="9">
        <v>106000</v>
      </c>
      <c r="Q534" s="10">
        <v>485500</v>
      </c>
      <c r="R534" s="10">
        <v>572000</v>
      </c>
      <c r="S534" s="10">
        <v>389500</v>
      </c>
      <c r="T534" s="10">
        <v>45300</v>
      </c>
      <c r="U534" s="10">
        <v>143000</v>
      </c>
      <c r="V534" s="9">
        <v>394000</v>
      </c>
      <c r="W534" s="9">
        <v>32546</v>
      </c>
      <c r="X534" s="9">
        <v>350000</v>
      </c>
      <c r="Y534" s="9">
        <v>28550</v>
      </c>
      <c r="Z534" s="9">
        <v>81922</v>
      </c>
      <c r="AA534" s="10">
        <v>162500</v>
      </c>
      <c r="AB534" s="10">
        <v>491500</v>
      </c>
      <c r="AC534" s="10">
        <v>19100</v>
      </c>
      <c r="AD534" s="10">
        <v>231500</v>
      </c>
      <c r="AE534" s="10">
        <v>53400</v>
      </c>
      <c r="AF534" s="9">
        <v>39050</v>
      </c>
      <c r="AG534" s="9">
        <v>98200</v>
      </c>
      <c r="AH534" s="9">
        <v>65100</v>
      </c>
      <c r="AI534" s="9">
        <v>65200</v>
      </c>
      <c r="AJ534" s="9">
        <v>40300</v>
      </c>
      <c r="AK534" s="10">
        <v>25400</v>
      </c>
      <c r="AL534" s="10">
        <v>209500</v>
      </c>
      <c r="AM534" s="10">
        <v>264500</v>
      </c>
      <c r="AN534" s="10">
        <v>44400</v>
      </c>
      <c r="AO534" s="10">
        <v>11050</v>
      </c>
      <c r="AP534" s="9">
        <v>412000</v>
      </c>
      <c r="AQ534" s="9">
        <v>520000</v>
      </c>
      <c r="AR534" s="9">
        <v>14400</v>
      </c>
      <c r="AS534" s="9">
        <v>50900</v>
      </c>
      <c r="AT534" s="9">
        <v>110920</v>
      </c>
      <c r="AU534" s="10">
        <v>150000</v>
      </c>
      <c r="AV534" s="10">
        <v>44900</v>
      </c>
      <c r="AW534" s="10">
        <v>7430</v>
      </c>
      <c r="AX534" s="10">
        <v>226000</v>
      </c>
      <c r="AY534" s="10">
        <v>55900</v>
      </c>
    </row>
    <row r="535" spans="1:51" x14ac:dyDescent="0.4">
      <c r="A535" s="11">
        <v>40672</v>
      </c>
      <c r="B535" s="7">
        <v>74500</v>
      </c>
      <c r="C535" s="7">
        <v>33300</v>
      </c>
      <c r="D535" s="7">
        <v>82500</v>
      </c>
      <c r="E535" s="7">
        <v>221500</v>
      </c>
      <c r="F535" s="7">
        <v>76800</v>
      </c>
      <c r="G535" s="8">
        <v>69200</v>
      </c>
      <c r="H535" s="8">
        <v>91700</v>
      </c>
      <c r="I535" s="8">
        <v>185000</v>
      </c>
      <c r="J535" s="8">
        <v>133500</v>
      </c>
      <c r="K535" s="8">
        <v>238500</v>
      </c>
      <c r="L535" s="7">
        <v>469000</v>
      </c>
      <c r="M535" s="7">
        <v>891000</v>
      </c>
      <c r="N535" s="7">
        <v>119000</v>
      </c>
      <c r="O535" s="7">
        <v>186000</v>
      </c>
      <c r="P535" s="7">
        <v>102500</v>
      </c>
      <c r="Q535" s="8">
        <v>482500</v>
      </c>
      <c r="R535" s="8">
        <v>567000</v>
      </c>
      <c r="S535" s="8">
        <v>379000</v>
      </c>
      <c r="T535" s="8">
        <v>42850</v>
      </c>
      <c r="U535" s="8">
        <v>139500</v>
      </c>
      <c r="V535" s="7">
        <v>374500</v>
      </c>
      <c r="W535" s="7">
        <v>32694</v>
      </c>
      <c r="X535" s="7">
        <v>345000</v>
      </c>
      <c r="Y535" s="7">
        <v>28850</v>
      </c>
      <c r="Z535" s="7">
        <v>80455</v>
      </c>
      <c r="AA535" s="8">
        <v>165500</v>
      </c>
      <c r="AB535" s="8">
        <v>479000</v>
      </c>
      <c r="AC535" s="8">
        <v>18900</v>
      </c>
      <c r="AD535" s="8">
        <v>224000</v>
      </c>
      <c r="AE535" s="8">
        <v>52500</v>
      </c>
      <c r="AF535" s="7">
        <v>39650</v>
      </c>
      <c r="AG535" s="7">
        <v>97800</v>
      </c>
      <c r="AH535" s="7">
        <v>64700</v>
      </c>
      <c r="AI535" s="7">
        <v>65100</v>
      </c>
      <c r="AJ535" s="7">
        <v>39750</v>
      </c>
      <c r="AK535" s="8">
        <v>25000</v>
      </c>
      <c r="AL535" s="8">
        <v>208000</v>
      </c>
      <c r="AM535" s="8">
        <v>264500</v>
      </c>
      <c r="AN535" s="8">
        <v>41100</v>
      </c>
      <c r="AO535" s="8">
        <v>11100</v>
      </c>
      <c r="AP535" s="7">
        <v>402500</v>
      </c>
      <c r="AQ535" s="7">
        <v>505000</v>
      </c>
      <c r="AR535" s="7">
        <v>14400</v>
      </c>
      <c r="AS535" s="7">
        <v>50500</v>
      </c>
      <c r="AT535" s="7">
        <v>103591</v>
      </c>
      <c r="AU535" s="8">
        <v>149000</v>
      </c>
      <c r="AV535" s="8">
        <v>43100</v>
      </c>
      <c r="AW535" s="8">
        <v>7300</v>
      </c>
      <c r="AX535" s="8">
        <v>219500</v>
      </c>
      <c r="AY535" s="8">
        <v>55600</v>
      </c>
    </row>
    <row r="536" spans="1:51" x14ac:dyDescent="0.4">
      <c r="A536" s="11">
        <v>40669</v>
      </c>
      <c r="B536" s="7">
        <v>72500</v>
      </c>
      <c r="C536" s="7">
        <v>32500</v>
      </c>
      <c r="D536" s="7">
        <v>83100</v>
      </c>
      <c r="E536" s="7">
        <v>224500</v>
      </c>
      <c r="F536" s="7">
        <v>76700</v>
      </c>
      <c r="G536" s="8">
        <v>70400</v>
      </c>
      <c r="H536" s="8">
        <v>91600</v>
      </c>
      <c r="I536" s="8">
        <v>176500</v>
      </c>
      <c r="J536" s="8">
        <v>136500</v>
      </c>
      <c r="K536" s="8">
        <v>238500</v>
      </c>
      <c r="L536" s="7">
        <v>472500</v>
      </c>
      <c r="M536" s="7">
        <v>899000</v>
      </c>
      <c r="N536" s="7">
        <v>121000</v>
      </c>
      <c r="O536" s="7">
        <v>186500</v>
      </c>
      <c r="P536" s="7">
        <v>104000</v>
      </c>
      <c r="Q536" s="8">
        <v>473500</v>
      </c>
      <c r="R536" s="8">
        <v>540000</v>
      </c>
      <c r="S536" s="8">
        <v>373500</v>
      </c>
      <c r="T536" s="8">
        <v>42300</v>
      </c>
      <c r="U536" s="8">
        <v>139000</v>
      </c>
      <c r="V536" s="7">
        <v>373000</v>
      </c>
      <c r="W536" s="7">
        <v>33630</v>
      </c>
      <c r="X536" s="7">
        <v>352000</v>
      </c>
      <c r="Y536" s="7">
        <v>29400</v>
      </c>
      <c r="Z536" s="7">
        <v>81628</v>
      </c>
      <c r="AA536" s="8">
        <v>169000</v>
      </c>
      <c r="AB536" s="8">
        <v>494500</v>
      </c>
      <c r="AC536" s="8">
        <v>19350</v>
      </c>
      <c r="AD536" s="8">
        <v>218000</v>
      </c>
      <c r="AE536" s="8">
        <v>53400</v>
      </c>
      <c r="AF536" s="7">
        <v>39850</v>
      </c>
      <c r="AG536" s="7">
        <v>97800</v>
      </c>
      <c r="AH536" s="7">
        <v>65100</v>
      </c>
      <c r="AI536" s="7">
        <v>66500</v>
      </c>
      <c r="AJ536" s="7">
        <v>38350</v>
      </c>
      <c r="AK536" s="8">
        <v>25750</v>
      </c>
      <c r="AL536" s="8">
        <v>210500</v>
      </c>
      <c r="AM536" s="8">
        <v>274000</v>
      </c>
      <c r="AN536" s="8">
        <v>40800</v>
      </c>
      <c r="AO536" s="8">
        <v>11450</v>
      </c>
      <c r="AP536" s="7">
        <v>413000</v>
      </c>
      <c r="AQ536" s="7">
        <v>505000</v>
      </c>
      <c r="AR536" s="7">
        <v>14600</v>
      </c>
      <c r="AS536" s="7">
        <v>51300</v>
      </c>
      <c r="AT536" s="7">
        <v>104080</v>
      </c>
      <c r="AU536" s="8">
        <v>151000</v>
      </c>
      <c r="AV536" s="8">
        <v>44200</v>
      </c>
      <c r="AW536" s="8">
        <v>7360</v>
      </c>
      <c r="AX536" s="8">
        <v>217000</v>
      </c>
      <c r="AY536" s="8">
        <v>55400</v>
      </c>
    </row>
    <row r="537" spans="1:51" x14ac:dyDescent="0.4">
      <c r="A537" s="11">
        <v>40667</v>
      </c>
      <c r="B537" s="7">
        <v>74200</v>
      </c>
      <c r="C537" s="7">
        <v>32450</v>
      </c>
      <c r="D537" s="7">
        <v>87000</v>
      </c>
      <c r="E537" s="7">
        <v>227500</v>
      </c>
      <c r="F537" s="7">
        <v>78800</v>
      </c>
      <c r="G537" s="8">
        <v>69300</v>
      </c>
      <c r="H537" s="8">
        <v>94200</v>
      </c>
      <c r="I537" s="8">
        <v>185500</v>
      </c>
      <c r="J537" s="8">
        <v>138500</v>
      </c>
      <c r="K537" s="8">
        <v>240000</v>
      </c>
      <c r="L537" s="7">
        <v>475500</v>
      </c>
      <c r="M537" s="7">
        <v>915000</v>
      </c>
      <c r="N537" s="7">
        <v>124000</v>
      </c>
      <c r="O537" s="7">
        <v>188000</v>
      </c>
      <c r="P537" s="7">
        <v>105000</v>
      </c>
      <c r="Q537" s="8">
        <v>493000</v>
      </c>
      <c r="R537" s="8">
        <v>570000</v>
      </c>
      <c r="S537" s="8">
        <v>404000</v>
      </c>
      <c r="T537" s="8">
        <v>44700</v>
      </c>
      <c r="U537" s="8">
        <v>146500</v>
      </c>
      <c r="V537" s="7">
        <v>377000</v>
      </c>
      <c r="W537" s="7">
        <v>32990</v>
      </c>
      <c r="X537" s="7">
        <v>359000</v>
      </c>
      <c r="Y537" s="7">
        <v>27350</v>
      </c>
      <c r="Z537" s="7">
        <v>83486</v>
      </c>
      <c r="AA537" s="8">
        <v>166000</v>
      </c>
      <c r="AB537" s="8">
        <v>494500</v>
      </c>
      <c r="AC537" s="8">
        <v>19450</v>
      </c>
      <c r="AD537" s="8">
        <v>225500</v>
      </c>
      <c r="AE537" s="8">
        <v>53500</v>
      </c>
      <c r="AF537" s="7">
        <v>39500</v>
      </c>
      <c r="AG537" s="7">
        <v>98300</v>
      </c>
      <c r="AH537" s="7">
        <v>65300</v>
      </c>
      <c r="AI537" s="7">
        <v>66600</v>
      </c>
      <c r="AJ537" s="7">
        <v>38550</v>
      </c>
      <c r="AK537" s="8">
        <v>25800</v>
      </c>
      <c r="AL537" s="8">
        <v>212500</v>
      </c>
      <c r="AM537" s="8">
        <v>278500</v>
      </c>
      <c r="AN537" s="8">
        <v>43200</v>
      </c>
      <c r="AO537" s="8">
        <v>11600</v>
      </c>
      <c r="AP537" s="7">
        <v>434000</v>
      </c>
      <c r="AQ537" s="7">
        <v>502000</v>
      </c>
      <c r="AR537" s="7">
        <v>14400</v>
      </c>
      <c r="AS537" s="7">
        <v>52200</v>
      </c>
      <c r="AT537" s="7">
        <v>103102</v>
      </c>
      <c r="AU537" s="8">
        <v>152000</v>
      </c>
      <c r="AV537" s="8">
        <v>45950</v>
      </c>
      <c r="AW537" s="8">
        <v>7380</v>
      </c>
      <c r="AX537" s="8">
        <v>233000</v>
      </c>
      <c r="AY537" s="8">
        <v>55800</v>
      </c>
    </row>
    <row r="538" spans="1:51" x14ac:dyDescent="0.4">
      <c r="A538" s="11">
        <v>40666</v>
      </c>
      <c r="B538" s="7">
        <v>73300</v>
      </c>
      <c r="C538" s="7">
        <v>34450</v>
      </c>
      <c r="D538" s="7">
        <v>88800</v>
      </c>
      <c r="E538" s="7">
        <v>233000</v>
      </c>
      <c r="F538" s="7">
        <v>80800</v>
      </c>
      <c r="G538" s="8">
        <v>69300</v>
      </c>
      <c r="H538" s="8">
        <v>98900</v>
      </c>
      <c r="I538" s="8">
        <v>186000</v>
      </c>
      <c r="J538" s="8">
        <v>137000</v>
      </c>
      <c r="K538" s="8">
        <v>242000</v>
      </c>
      <c r="L538" s="7">
        <v>475000</v>
      </c>
      <c r="M538" s="7">
        <v>938000</v>
      </c>
      <c r="N538" s="7">
        <v>126000</v>
      </c>
      <c r="O538" s="7">
        <v>197500</v>
      </c>
      <c r="P538" s="7">
        <v>106000</v>
      </c>
      <c r="Q538" s="8">
        <v>514000</v>
      </c>
      <c r="R538" s="8">
        <v>588000</v>
      </c>
      <c r="S538" s="8">
        <v>400000</v>
      </c>
      <c r="T538" s="8">
        <v>46500</v>
      </c>
      <c r="U538" s="8">
        <v>146000</v>
      </c>
      <c r="V538" s="7">
        <v>374500</v>
      </c>
      <c r="W538" s="7">
        <v>32349</v>
      </c>
      <c r="X538" s="7">
        <v>363000</v>
      </c>
      <c r="Y538" s="7">
        <v>26650</v>
      </c>
      <c r="Z538" s="7">
        <v>86907</v>
      </c>
      <c r="AA538" s="8">
        <v>165000</v>
      </c>
      <c r="AB538" s="8">
        <v>505000</v>
      </c>
      <c r="AC538" s="8">
        <v>19950</v>
      </c>
      <c r="AD538" s="8">
        <v>234500</v>
      </c>
      <c r="AE538" s="8">
        <v>52800</v>
      </c>
      <c r="AF538" s="7">
        <v>39200</v>
      </c>
      <c r="AG538" s="7">
        <v>97900</v>
      </c>
      <c r="AH538" s="7">
        <v>65700</v>
      </c>
      <c r="AI538" s="7">
        <v>62600</v>
      </c>
      <c r="AJ538" s="7">
        <v>39400</v>
      </c>
      <c r="AK538" s="8">
        <v>25800</v>
      </c>
      <c r="AL538" s="8">
        <v>217000</v>
      </c>
      <c r="AM538" s="8">
        <v>282000</v>
      </c>
      <c r="AN538" s="8">
        <v>44250</v>
      </c>
      <c r="AO538" s="8">
        <v>11600</v>
      </c>
      <c r="AP538" s="7">
        <v>429000</v>
      </c>
      <c r="AQ538" s="7">
        <v>516000</v>
      </c>
      <c r="AR538" s="7">
        <v>14650</v>
      </c>
      <c r="AS538" s="7">
        <v>52400</v>
      </c>
      <c r="AT538" s="7">
        <v>102125</v>
      </c>
      <c r="AU538" s="8">
        <v>148500</v>
      </c>
      <c r="AV538" s="8">
        <v>45700</v>
      </c>
      <c r="AW538" s="8">
        <v>7430</v>
      </c>
      <c r="AX538" s="8">
        <v>228000</v>
      </c>
      <c r="AY538" s="8">
        <v>56900</v>
      </c>
    </row>
    <row r="539" spans="1:51" x14ac:dyDescent="0.4">
      <c r="A539" s="12">
        <v>40665</v>
      </c>
      <c r="B539" s="9">
        <v>77300</v>
      </c>
      <c r="C539" s="9">
        <v>34600</v>
      </c>
      <c r="D539" s="9">
        <v>90900</v>
      </c>
      <c r="E539" s="9">
        <v>233500</v>
      </c>
      <c r="F539" s="9">
        <v>81500</v>
      </c>
      <c r="G539" s="10">
        <v>69800</v>
      </c>
      <c r="H539" s="10">
        <v>101000</v>
      </c>
      <c r="I539" s="10">
        <v>191500</v>
      </c>
      <c r="J539" s="10">
        <v>136000</v>
      </c>
      <c r="K539" s="10">
        <v>254500</v>
      </c>
      <c r="L539" s="9">
        <v>474000</v>
      </c>
      <c r="M539" s="9">
        <v>932000</v>
      </c>
      <c r="N539" s="9">
        <v>130000</v>
      </c>
      <c r="O539" s="9">
        <v>197000</v>
      </c>
      <c r="P539" s="9">
        <v>104500</v>
      </c>
      <c r="Q539" s="10">
        <v>538000</v>
      </c>
      <c r="R539" s="10">
        <v>622000</v>
      </c>
      <c r="S539" s="10">
        <v>422000</v>
      </c>
      <c r="T539" s="10">
        <v>47950</v>
      </c>
      <c r="U539" s="10">
        <v>153000</v>
      </c>
      <c r="V539" s="9">
        <v>389500</v>
      </c>
      <c r="W539" s="9">
        <v>32202</v>
      </c>
      <c r="X539" s="9">
        <v>366000</v>
      </c>
      <c r="Y539" s="9">
        <v>26100</v>
      </c>
      <c r="Z539" s="9">
        <v>89449</v>
      </c>
      <c r="AA539" s="10">
        <v>163500</v>
      </c>
      <c r="AB539" s="10">
        <v>499000</v>
      </c>
      <c r="AC539" s="10">
        <v>20450</v>
      </c>
      <c r="AD539" s="10">
        <v>236000</v>
      </c>
      <c r="AE539" s="10">
        <v>53500</v>
      </c>
      <c r="AF539" s="9">
        <v>39300</v>
      </c>
      <c r="AG539" s="9">
        <v>98300</v>
      </c>
      <c r="AH539" s="9">
        <v>66200</v>
      </c>
      <c r="AI539" s="9">
        <v>63800</v>
      </c>
      <c r="AJ539" s="9">
        <v>39550</v>
      </c>
      <c r="AK539" s="10">
        <v>24850</v>
      </c>
      <c r="AL539" s="10">
        <v>218500</v>
      </c>
      <c r="AM539" s="10">
        <v>275000</v>
      </c>
      <c r="AN539" s="10">
        <v>46550</v>
      </c>
      <c r="AO539" s="10">
        <v>11650</v>
      </c>
      <c r="AP539" s="9">
        <v>426000</v>
      </c>
      <c r="AQ539" s="9">
        <v>540000</v>
      </c>
      <c r="AR539" s="9">
        <v>14600</v>
      </c>
      <c r="AS539" s="9">
        <v>52200</v>
      </c>
      <c r="AT539" s="9">
        <v>102125</v>
      </c>
      <c r="AU539" s="10">
        <v>157000</v>
      </c>
      <c r="AV539" s="10">
        <v>45100</v>
      </c>
      <c r="AW539" s="10">
        <v>7410</v>
      </c>
      <c r="AX539" s="10">
        <v>232500</v>
      </c>
      <c r="AY539" s="10">
        <v>56900</v>
      </c>
    </row>
    <row r="540" spans="1:51" x14ac:dyDescent="0.4">
      <c r="A540" s="11">
        <v>40662</v>
      </c>
      <c r="B540" s="7">
        <v>76900</v>
      </c>
      <c r="C540" s="7">
        <v>33800</v>
      </c>
      <c r="D540" s="7">
        <v>89900</v>
      </c>
      <c r="E540" s="7">
        <v>230000</v>
      </c>
      <c r="F540" s="7">
        <v>77500</v>
      </c>
      <c r="G540" s="8">
        <v>65500</v>
      </c>
      <c r="H540" s="8">
        <v>98500</v>
      </c>
      <c r="I540" s="8">
        <v>192000</v>
      </c>
      <c r="J540" s="8">
        <v>136000</v>
      </c>
      <c r="K540" s="8">
        <v>246500</v>
      </c>
      <c r="L540" s="7">
        <v>468000</v>
      </c>
      <c r="M540" s="7">
        <v>893000</v>
      </c>
      <c r="N540" s="7">
        <v>129000</v>
      </c>
      <c r="O540" s="7">
        <v>191500</v>
      </c>
      <c r="P540" s="7">
        <v>103500</v>
      </c>
      <c r="Q540" s="8">
        <v>535000</v>
      </c>
      <c r="R540" s="8">
        <v>640000</v>
      </c>
      <c r="S540" s="8">
        <v>422000</v>
      </c>
      <c r="T540" s="8">
        <v>48500</v>
      </c>
      <c r="U540" s="8">
        <v>159500</v>
      </c>
      <c r="V540" s="7">
        <v>378000</v>
      </c>
      <c r="W540" s="7">
        <v>32202</v>
      </c>
      <c r="X540" s="7">
        <v>359000</v>
      </c>
      <c r="Y540" s="7">
        <v>25600</v>
      </c>
      <c r="Z540" s="7">
        <v>87396</v>
      </c>
      <c r="AA540" s="8">
        <v>162500</v>
      </c>
      <c r="AB540" s="8">
        <v>488500</v>
      </c>
      <c r="AC540" s="8">
        <v>20550</v>
      </c>
      <c r="AD540" s="8">
        <v>237500</v>
      </c>
      <c r="AE540" s="8">
        <v>53200</v>
      </c>
      <c r="AF540" s="7">
        <v>38500</v>
      </c>
      <c r="AG540" s="7">
        <v>97100</v>
      </c>
      <c r="AH540" s="7">
        <v>63400</v>
      </c>
      <c r="AI540" s="7">
        <v>59800</v>
      </c>
      <c r="AJ540" s="7">
        <v>38500</v>
      </c>
      <c r="AK540" s="8">
        <v>24350</v>
      </c>
      <c r="AL540" s="8">
        <v>212500</v>
      </c>
      <c r="AM540" s="8">
        <v>283500</v>
      </c>
      <c r="AN540" s="8">
        <v>45850</v>
      </c>
      <c r="AO540" s="8">
        <v>11400</v>
      </c>
      <c r="AP540" s="7">
        <v>431000</v>
      </c>
      <c r="AQ540" s="7">
        <v>530000</v>
      </c>
      <c r="AR540" s="7">
        <v>14600</v>
      </c>
      <c r="AS540" s="7">
        <v>52500</v>
      </c>
      <c r="AT540" s="7">
        <v>100659</v>
      </c>
      <c r="AU540" s="8">
        <v>153000</v>
      </c>
      <c r="AV540" s="8">
        <v>45400</v>
      </c>
      <c r="AW540" s="8">
        <v>7390</v>
      </c>
      <c r="AX540" s="8">
        <v>232000</v>
      </c>
      <c r="AY540" s="8">
        <v>57500</v>
      </c>
    </row>
    <row r="541" spans="1:51" x14ac:dyDescent="0.4">
      <c r="A541" s="11">
        <v>40661</v>
      </c>
      <c r="B541" s="7">
        <v>79700</v>
      </c>
      <c r="C541" s="7">
        <v>34350</v>
      </c>
      <c r="D541" s="7">
        <v>87800</v>
      </c>
      <c r="E541" s="7">
        <v>220500</v>
      </c>
      <c r="F541" s="7">
        <v>77900</v>
      </c>
      <c r="G541" s="8">
        <v>64900</v>
      </c>
      <c r="H541" s="8">
        <v>97000</v>
      </c>
      <c r="I541" s="8">
        <v>209000</v>
      </c>
      <c r="J541" s="8">
        <v>143500</v>
      </c>
      <c r="K541" s="8">
        <v>250500</v>
      </c>
      <c r="L541" s="7">
        <v>474000</v>
      </c>
      <c r="M541" s="7">
        <v>900000</v>
      </c>
      <c r="N541" s="7">
        <v>126500</v>
      </c>
      <c r="O541" s="7">
        <v>189000</v>
      </c>
      <c r="P541" s="7">
        <v>108000</v>
      </c>
      <c r="Q541" s="8">
        <v>537000</v>
      </c>
      <c r="R541" s="8">
        <v>618000</v>
      </c>
      <c r="S541" s="8">
        <v>440500</v>
      </c>
      <c r="T541" s="8">
        <v>48050</v>
      </c>
      <c r="U541" s="8">
        <v>167000</v>
      </c>
      <c r="V541" s="7">
        <v>398000</v>
      </c>
      <c r="W541" s="7">
        <v>33482</v>
      </c>
      <c r="X541" s="7">
        <v>376500</v>
      </c>
      <c r="Y541" s="7">
        <v>25800</v>
      </c>
      <c r="Z541" s="7">
        <v>85930</v>
      </c>
      <c r="AA541" s="8">
        <v>161500</v>
      </c>
      <c r="AB541" s="8">
        <v>486000</v>
      </c>
      <c r="AC541" s="8">
        <v>19950</v>
      </c>
      <c r="AD541" s="8">
        <v>239000</v>
      </c>
      <c r="AE541" s="8">
        <v>52600</v>
      </c>
      <c r="AF541" s="7">
        <v>37950</v>
      </c>
      <c r="AG541" s="7">
        <v>97900</v>
      </c>
      <c r="AH541" s="7">
        <v>62900</v>
      </c>
      <c r="AI541" s="7">
        <v>62100</v>
      </c>
      <c r="AJ541" s="7">
        <v>39900</v>
      </c>
      <c r="AK541" s="8">
        <v>23600</v>
      </c>
      <c r="AL541" s="8">
        <v>210000</v>
      </c>
      <c r="AM541" s="8">
        <v>267500</v>
      </c>
      <c r="AN541" s="8">
        <v>46150</v>
      </c>
      <c r="AO541" s="8">
        <v>11500</v>
      </c>
      <c r="AP541" s="7">
        <v>429500</v>
      </c>
      <c r="AQ541" s="7">
        <v>523000</v>
      </c>
      <c r="AR541" s="7">
        <v>14000</v>
      </c>
      <c r="AS541" s="7">
        <v>49500</v>
      </c>
      <c r="AT541" s="7">
        <v>104568</v>
      </c>
      <c r="AU541" s="8">
        <v>158500</v>
      </c>
      <c r="AV541" s="8">
        <v>42700</v>
      </c>
      <c r="AW541" s="8">
        <v>7280</v>
      </c>
      <c r="AX541" s="8">
        <v>250000</v>
      </c>
      <c r="AY541" s="8">
        <v>54700</v>
      </c>
    </row>
    <row r="542" spans="1:51" x14ac:dyDescent="0.4">
      <c r="A542" s="11">
        <v>40660</v>
      </c>
      <c r="B542" s="7">
        <v>77600</v>
      </c>
      <c r="C542" s="7">
        <v>33900</v>
      </c>
      <c r="D542" s="7">
        <v>88400</v>
      </c>
      <c r="E542" s="7">
        <v>226000</v>
      </c>
      <c r="F542" s="7">
        <v>79700</v>
      </c>
      <c r="G542" s="8">
        <v>64500</v>
      </c>
      <c r="H542" s="8">
        <v>95000</v>
      </c>
      <c r="I542" s="8">
        <v>213500</v>
      </c>
      <c r="J542" s="8">
        <v>142000</v>
      </c>
      <c r="K542" s="8">
        <v>233500</v>
      </c>
      <c r="L542" s="7">
        <v>476000</v>
      </c>
      <c r="M542" s="7">
        <v>924000</v>
      </c>
      <c r="N542" s="7">
        <v>127000</v>
      </c>
      <c r="O542" s="7">
        <v>190000</v>
      </c>
      <c r="P542" s="7">
        <v>112000</v>
      </c>
      <c r="Q542" s="8">
        <v>523000</v>
      </c>
      <c r="R542" s="8">
        <v>603000</v>
      </c>
      <c r="S542" s="8">
        <v>427500</v>
      </c>
      <c r="T542" s="8">
        <v>48650</v>
      </c>
      <c r="U542" s="8">
        <v>158500</v>
      </c>
      <c r="V542" s="7">
        <v>396000</v>
      </c>
      <c r="W542" s="7">
        <v>33137</v>
      </c>
      <c r="X542" s="7">
        <v>375500</v>
      </c>
      <c r="Y542" s="7">
        <v>26300</v>
      </c>
      <c r="Z542" s="7">
        <v>84659</v>
      </c>
      <c r="AA542" s="8">
        <v>163000</v>
      </c>
      <c r="AB542" s="8">
        <v>486000</v>
      </c>
      <c r="AC542" s="8">
        <v>19350</v>
      </c>
      <c r="AD542" s="8">
        <v>249500</v>
      </c>
      <c r="AE542" s="8">
        <v>53800</v>
      </c>
      <c r="AF542" s="7">
        <v>38200</v>
      </c>
      <c r="AG542" s="7">
        <v>98400</v>
      </c>
      <c r="AH542" s="7">
        <v>62900</v>
      </c>
      <c r="AI542" s="7">
        <v>63200</v>
      </c>
      <c r="AJ542" s="7">
        <v>40700</v>
      </c>
      <c r="AK542" s="8">
        <v>24050</v>
      </c>
      <c r="AL542" s="8">
        <v>214000</v>
      </c>
      <c r="AM542" s="8">
        <v>280000</v>
      </c>
      <c r="AN542" s="8">
        <v>46000</v>
      </c>
      <c r="AO542" s="8">
        <v>11900</v>
      </c>
      <c r="AP542" s="7">
        <v>432500</v>
      </c>
      <c r="AQ542" s="7">
        <v>523000</v>
      </c>
      <c r="AR542" s="7">
        <v>13950</v>
      </c>
      <c r="AS542" s="7">
        <v>49400</v>
      </c>
      <c r="AT542" s="7">
        <v>102614</v>
      </c>
      <c r="AU542" s="8">
        <v>155500</v>
      </c>
      <c r="AV542" s="8">
        <v>43950</v>
      </c>
      <c r="AW542" s="8">
        <v>7340</v>
      </c>
      <c r="AX542" s="8">
        <v>242000</v>
      </c>
      <c r="AY542" s="8">
        <v>55400</v>
      </c>
    </row>
    <row r="543" spans="1:51" x14ac:dyDescent="0.4">
      <c r="A543" s="11">
        <v>40659</v>
      </c>
      <c r="B543" s="7">
        <v>82400</v>
      </c>
      <c r="C543" s="7">
        <v>34750</v>
      </c>
      <c r="D543" s="7">
        <v>82000</v>
      </c>
      <c r="E543" s="7">
        <v>220000</v>
      </c>
      <c r="F543" s="7">
        <v>77300</v>
      </c>
      <c r="G543" s="8">
        <v>63200</v>
      </c>
      <c r="H543" s="8">
        <v>97800</v>
      </c>
      <c r="I543" s="8">
        <v>222500</v>
      </c>
      <c r="J543" s="8">
        <v>141500</v>
      </c>
      <c r="K543" s="8">
        <v>245000</v>
      </c>
      <c r="L543" s="7">
        <v>471000</v>
      </c>
      <c r="M543" s="7">
        <v>897000</v>
      </c>
      <c r="N543" s="7">
        <v>120500</v>
      </c>
      <c r="O543" s="7">
        <v>189500</v>
      </c>
      <c r="P543" s="7">
        <v>114500</v>
      </c>
      <c r="Q543" s="8">
        <v>520000</v>
      </c>
      <c r="R543" s="8">
        <v>613000</v>
      </c>
      <c r="S543" s="8">
        <v>457000</v>
      </c>
      <c r="T543" s="8">
        <v>45850</v>
      </c>
      <c r="U543" s="8">
        <v>161000</v>
      </c>
      <c r="V543" s="7">
        <v>419000</v>
      </c>
      <c r="W543" s="7">
        <v>32497</v>
      </c>
      <c r="X543" s="7">
        <v>384000</v>
      </c>
      <c r="Y543" s="7">
        <v>26150</v>
      </c>
      <c r="Z543" s="7">
        <v>82899</v>
      </c>
      <c r="AA543" s="8">
        <v>160500</v>
      </c>
      <c r="AB543" s="8">
        <v>465000</v>
      </c>
      <c r="AC543" s="8">
        <v>18750</v>
      </c>
      <c r="AD543" s="8">
        <v>239500</v>
      </c>
      <c r="AE543" s="8">
        <v>55400</v>
      </c>
      <c r="AF543" s="7">
        <v>37800</v>
      </c>
      <c r="AG543" s="7">
        <v>98900</v>
      </c>
      <c r="AH543" s="7">
        <v>58800</v>
      </c>
      <c r="AI543" s="7">
        <v>63200</v>
      </c>
      <c r="AJ543" s="7">
        <v>39800</v>
      </c>
      <c r="AK543" s="8">
        <v>24100</v>
      </c>
      <c r="AL543" s="8">
        <v>208500</v>
      </c>
      <c r="AM543" s="8">
        <v>294500</v>
      </c>
      <c r="AN543" s="8">
        <v>43900</v>
      </c>
      <c r="AO543" s="8">
        <v>11250</v>
      </c>
      <c r="AP543" s="7">
        <v>426500</v>
      </c>
      <c r="AQ543" s="7">
        <v>554000</v>
      </c>
      <c r="AR543" s="7">
        <v>13750</v>
      </c>
      <c r="AS543" s="7">
        <v>47350</v>
      </c>
      <c r="AT543" s="7">
        <v>102125</v>
      </c>
      <c r="AU543" s="8">
        <v>162000</v>
      </c>
      <c r="AV543" s="8">
        <v>43450</v>
      </c>
      <c r="AW543" s="8">
        <v>7250</v>
      </c>
      <c r="AX543" s="8">
        <v>248500</v>
      </c>
      <c r="AY543" s="8">
        <v>54100</v>
      </c>
    </row>
    <row r="544" spans="1:51" x14ac:dyDescent="0.4">
      <c r="A544" s="12">
        <v>40658</v>
      </c>
      <c r="B544" s="9">
        <v>80500</v>
      </c>
      <c r="C544" s="9">
        <v>36450</v>
      </c>
      <c r="D544" s="9">
        <v>80900</v>
      </c>
      <c r="E544" s="9">
        <v>219500</v>
      </c>
      <c r="F544" s="9">
        <v>79000</v>
      </c>
      <c r="G544" s="10">
        <v>63400</v>
      </c>
      <c r="H544" s="10">
        <v>99300</v>
      </c>
      <c r="I544" s="10">
        <v>216000</v>
      </c>
      <c r="J544" s="10">
        <v>145000</v>
      </c>
      <c r="K544" s="10">
        <v>246000</v>
      </c>
      <c r="L544" s="9">
        <v>472000</v>
      </c>
      <c r="M544" s="9">
        <v>889000</v>
      </c>
      <c r="N544" s="9">
        <v>120500</v>
      </c>
      <c r="O544" s="9">
        <v>194500</v>
      </c>
      <c r="P544" s="9">
        <v>114500</v>
      </c>
      <c r="Q544" s="10">
        <v>537000</v>
      </c>
      <c r="R544" s="10">
        <v>621000</v>
      </c>
      <c r="S544" s="10">
        <v>487000</v>
      </c>
      <c r="T544" s="10">
        <v>45650</v>
      </c>
      <c r="U544" s="10">
        <v>158000</v>
      </c>
      <c r="V544" s="9">
        <v>435000</v>
      </c>
      <c r="W544" s="9">
        <v>33433</v>
      </c>
      <c r="X544" s="9">
        <v>385000</v>
      </c>
      <c r="Y544" s="9">
        <v>26200</v>
      </c>
      <c r="Z544" s="9">
        <v>84561</v>
      </c>
      <c r="AA544" s="10">
        <v>160000</v>
      </c>
      <c r="AB544" s="10">
        <v>470000</v>
      </c>
      <c r="AC544" s="10">
        <v>18200</v>
      </c>
      <c r="AD544" s="10">
        <v>236000</v>
      </c>
      <c r="AE544" s="10">
        <v>55400</v>
      </c>
      <c r="AF544" s="9">
        <v>38100</v>
      </c>
      <c r="AG544" s="9">
        <v>99000</v>
      </c>
      <c r="AH544" s="9">
        <v>58200</v>
      </c>
      <c r="AI544" s="9">
        <v>63800</v>
      </c>
      <c r="AJ544" s="9">
        <v>40900</v>
      </c>
      <c r="AK544" s="10">
        <v>24400</v>
      </c>
      <c r="AL544" s="10">
        <v>203000</v>
      </c>
      <c r="AM544" s="10">
        <v>294500</v>
      </c>
      <c r="AN544" s="10">
        <v>44250</v>
      </c>
      <c r="AO544" s="10">
        <v>11150</v>
      </c>
      <c r="AP544" s="9">
        <v>426500</v>
      </c>
      <c r="AQ544" s="9">
        <v>559000</v>
      </c>
      <c r="AR544" s="9">
        <v>13900</v>
      </c>
      <c r="AS544" s="9">
        <v>47050</v>
      </c>
      <c r="AT544" s="9">
        <v>104080</v>
      </c>
      <c r="AU544" s="10">
        <v>157000</v>
      </c>
      <c r="AV544" s="10">
        <v>43550</v>
      </c>
      <c r="AW544" s="10">
        <v>7200</v>
      </c>
      <c r="AX544" s="10">
        <v>254000</v>
      </c>
      <c r="AY544" s="10">
        <v>54600</v>
      </c>
    </row>
    <row r="545" spans="1:51" x14ac:dyDescent="0.4">
      <c r="A545" s="11">
        <v>40655</v>
      </c>
      <c r="B545" s="7">
        <v>78000</v>
      </c>
      <c r="C545" s="7">
        <v>36600</v>
      </c>
      <c r="D545" s="7">
        <v>81600</v>
      </c>
      <c r="E545" s="7">
        <v>223000</v>
      </c>
      <c r="F545" s="7">
        <v>79700</v>
      </c>
      <c r="G545" s="8">
        <v>61900</v>
      </c>
      <c r="H545" s="8">
        <v>99700</v>
      </c>
      <c r="I545" s="8">
        <v>210000</v>
      </c>
      <c r="J545" s="8">
        <v>146500</v>
      </c>
      <c r="K545" s="8">
        <v>233000</v>
      </c>
      <c r="L545" s="7">
        <v>481000</v>
      </c>
      <c r="M545" s="7">
        <v>904000</v>
      </c>
      <c r="N545" s="7">
        <v>118500</v>
      </c>
      <c r="O545" s="7">
        <v>194500</v>
      </c>
      <c r="P545" s="7">
        <v>115000</v>
      </c>
      <c r="Q545" s="8">
        <v>518000</v>
      </c>
      <c r="R545" s="8">
        <v>610000</v>
      </c>
      <c r="S545" s="8">
        <v>472000</v>
      </c>
      <c r="T545" s="8">
        <v>43600</v>
      </c>
      <c r="U545" s="8">
        <v>156000</v>
      </c>
      <c r="V545" s="7">
        <v>428500</v>
      </c>
      <c r="W545" s="7">
        <v>33777</v>
      </c>
      <c r="X545" s="7">
        <v>372000</v>
      </c>
      <c r="Y545" s="7">
        <v>26200</v>
      </c>
      <c r="Z545" s="7">
        <v>84952</v>
      </c>
      <c r="AA545" s="8">
        <v>158500</v>
      </c>
      <c r="AB545" s="8">
        <v>458500</v>
      </c>
      <c r="AC545" s="8">
        <v>18200</v>
      </c>
      <c r="AD545" s="8">
        <v>237000</v>
      </c>
      <c r="AE545" s="8">
        <v>55300</v>
      </c>
      <c r="AF545" s="7">
        <v>37950</v>
      </c>
      <c r="AG545" s="7">
        <v>99600</v>
      </c>
      <c r="AH545" s="7">
        <v>57600</v>
      </c>
      <c r="AI545" s="7">
        <v>62400</v>
      </c>
      <c r="AJ545" s="7">
        <v>40450</v>
      </c>
      <c r="AK545" s="8">
        <v>24850</v>
      </c>
      <c r="AL545" s="8">
        <v>207000</v>
      </c>
      <c r="AM545" s="8">
        <v>291000</v>
      </c>
      <c r="AN545" s="8">
        <v>40700</v>
      </c>
      <c r="AO545" s="8">
        <v>11250</v>
      </c>
      <c r="AP545" s="7">
        <v>426500</v>
      </c>
      <c r="AQ545" s="7">
        <v>559000</v>
      </c>
      <c r="AR545" s="7">
        <v>13900</v>
      </c>
      <c r="AS545" s="7">
        <v>47500</v>
      </c>
      <c r="AT545" s="7">
        <v>106523</v>
      </c>
      <c r="AU545" s="8">
        <v>148000</v>
      </c>
      <c r="AV545" s="8">
        <v>45500</v>
      </c>
      <c r="AW545" s="8">
        <v>7290</v>
      </c>
      <c r="AX545" s="8">
        <v>245000</v>
      </c>
      <c r="AY545" s="8">
        <v>54600</v>
      </c>
    </row>
    <row r="546" spans="1:51" x14ac:dyDescent="0.4">
      <c r="A546" s="11">
        <v>40654</v>
      </c>
      <c r="B546" s="7">
        <v>77300</v>
      </c>
      <c r="C546" s="7">
        <v>37000</v>
      </c>
      <c r="D546" s="7">
        <v>78600</v>
      </c>
      <c r="E546" s="7">
        <v>221000</v>
      </c>
      <c r="F546" s="7">
        <v>78100</v>
      </c>
      <c r="G546" s="8">
        <v>62600</v>
      </c>
      <c r="H546" s="8">
        <v>99000</v>
      </c>
      <c r="I546" s="8">
        <v>213500</v>
      </c>
      <c r="J546" s="8">
        <v>148000</v>
      </c>
      <c r="K546" s="8">
        <v>235500</v>
      </c>
      <c r="L546" s="7">
        <v>478500</v>
      </c>
      <c r="M546" s="7">
        <v>928000</v>
      </c>
      <c r="N546" s="7">
        <v>117500</v>
      </c>
      <c r="O546" s="7">
        <v>196500</v>
      </c>
      <c r="P546" s="7">
        <v>117500</v>
      </c>
      <c r="Q546" s="8">
        <v>521000</v>
      </c>
      <c r="R546" s="8">
        <v>613000</v>
      </c>
      <c r="S546" s="8">
        <v>478500</v>
      </c>
      <c r="T546" s="8">
        <v>44350</v>
      </c>
      <c r="U546" s="8">
        <v>154000</v>
      </c>
      <c r="V546" s="7">
        <v>445000</v>
      </c>
      <c r="W546" s="7">
        <v>32448</v>
      </c>
      <c r="X546" s="7">
        <v>365000</v>
      </c>
      <c r="Y546" s="7">
        <v>26050</v>
      </c>
      <c r="Z546" s="7">
        <v>84561</v>
      </c>
      <c r="AA546" s="8">
        <v>159500</v>
      </c>
      <c r="AB546" s="8">
        <v>459500</v>
      </c>
      <c r="AC546" s="8">
        <v>17800</v>
      </c>
      <c r="AD546" s="8">
        <v>226500</v>
      </c>
      <c r="AE546" s="8">
        <v>53100</v>
      </c>
      <c r="AF546" s="7">
        <v>37550</v>
      </c>
      <c r="AG546" s="7">
        <v>99000</v>
      </c>
      <c r="AH546" s="7">
        <v>57200</v>
      </c>
      <c r="AI546" s="7">
        <v>62700</v>
      </c>
      <c r="AJ546" s="7">
        <v>39850</v>
      </c>
      <c r="AK546" s="8">
        <v>25100</v>
      </c>
      <c r="AL546" s="8">
        <v>207500</v>
      </c>
      <c r="AM546" s="8">
        <v>287500</v>
      </c>
      <c r="AN546" s="8">
        <v>42000</v>
      </c>
      <c r="AO546" s="8">
        <v>11300</v>
      </c>
      <c r="AP546" s="7">
        <v>433500</v>
      </c>
      <c r="AQ546" s="7">
        <v>567000</v>
      </c>
      <c r="AR546" s="7">
        <v>13700</v>
      </c>
      <c r="AS546" s="7">
        <v>46250</v>
      </c>
      <c r="AT546" s="7">
        <v>106034</v>
      </c>
      <c r="AU546" s="8">
        <v>144000</v>
      </c>
      <c r="AV546" s="8">
        <v>44700</v>
      </c>
      <c r="AW546" s="8">
        <v>7240</v>
      </c>
      <c r="AX546" s="8">
        <v>248500</v>
      </c>
      <c r="AY546" s="8">
        <v>53700</v>
      </c>
    </row>
    <row r="547" spans="1:51" x14ac:dyDescent="0.4">
      <c r="A547" s="11">
        <v>40653</v>
      </c>
      <c r="B547" s="7">
        <v>76700</v>
      </c>
      <c r="C547" s="7">
        <v>34300</v>
      </c>
      <c r="D547" s="7">
        <v>79700</v>
      </c>
      <c r="E547" s="7">
        <v>227000</v>
      </c>
      <c r="F547" s="7">
        <v>77200</v>
      </c>
      <c r="G547" s="8">
        <v>63700</v>
      </c>
      <c r="H547" s="8">
        <v>96600</v>
      </c>
      <c r="I547" s="8">
        <v>197000</v>
      </c>
      <c r="J547" s="8">
        <v>146500</v>
      </c>
      <c r="K547" s="8">
        <v>232500</v>
      </c>
      <c r="L547" s="7">
        <v>489000</v>
      </c>
      <c r="M547" s="7">
        <v>916000</v>
      </c>
      <c r="N547" s="7">
        <v>120500</v>
      </c>
      <c r="O547" s="7">
        <v>198000</v>
      </c>
      <c r="P547" s="7">
        <v>119000</v>
      </c>
      <c r="Q547" s="8">
        <v>509000</v>
      </c>
      <c r="R547" s="8">
        <v>548000</v>
      </c>
      <c r="S547" s="8">
        <v>461000</v>
      </c>
      <c r="T547" s="8">
        <v>41650</v>
      </c>
      <c r="U547" s="8">
        <v>140000</v>
      </c>
      <c r="V547" s="7">
        <v>409000</v>
      </c>
      <c r="W547" s="7">
        <v>31808</v>
      </c>
      <c r="X547" s="7">
        <v>366000</v>
      </c>
      <c r="Y547" s="7">
        <v>26200</v>
      </c>
      <c r="Z547" s="7">
        <v>82606</v>
      </c>
      <c r="AA547" s="8">
        <v>159000</v>
      </c>
      <c r="AB547" s="8">
        <v>433000</v>
      </c>
      <c r="AC547" s="8">
        <v>18150</v>
      </c>
      <c r="AD547" s="8">
        <v>228500</v>
      </c>
      <c r="AE547" s="8">
        <v>52900</v>
      </c>
      <c r="AF547" s="7">
        <v>37550</v>
      </c>
      <c r="AG547" s="7">
        <v>101000</v>
      </c>
      <c r="AH547" s="7">
        <v>56700</v>
      </c>
      <c r="AI547" s="7">
        <v>63400</v>
      </c>
      <c r="AJ547" s="7">
        <v>40050</v>
      </c>
      <c r="AK547" s="8">
        <v>24350</v>
      </c>
      <c r="AL547" s="8">
        <v>204000</v>
      </c>
      <c r="AM547" s="8">
        <v>278500</v>
      </c>
      <c r="AN547" s="8">
        <v>39700</v>
      </c>
      <c r="AO547" s="8">
        <v>11100</v>
      </c>
      <c r="AP547" s="7">
        <v>420000</v>
      </c>
      <c r="AQ547" s="7">
        <v>549000</v>
      </c>
      <c r="AR547" s="7">
        <v>13950</v>
      </c>
      <c r="AS547" s="7">
        <v>47400</v>
      </c>
      <c r="AT547" s="7">
        <v>106523</v>
      </c>
      <c r="AU547" s="8">
        <v>143500</v>
      </c>
      <c r="AV547" s="8">
        <v>46000</v>
      </c>
      <c r="AW547" s="8">
        <v>7380</v>
      </c>
      <c r="AX547" s="8">
        <v>231000</v>
      </c>
      <c r="AY547" s="8">
        <v>54800</v>
      </c>
    </row>
    <row r="548" spans="1:51" x14ac:dyDescent="0.4">
      <c r="A548" s="11">
        <v>40652</v>
      </c>
      <c r="B548" s="7">
        <v>76700</v>
      </c>
      <c r="C548" s="7">
        <v>32800</v>
      </c>
      <c r="D548" s="7">
        <v>81200</v>
      </c>
      <c r="E548" s="7">
        <v>220000</v>
      </c>
      <c r="F548" s="7">
        <v>79000</v>
      </c>
      <c r="G548" s="8">
        <v>63500</v>
      </c>
      <c r="H548" s="8">
        <v>87500</v>
      </c>
      <c r="I548" s="8">
        <v>188500</v>
      </c>
      <c r="J548" s="8">
        <v>142500</v>
      </c>
      <c r="K548" s="8">
        <v>225500</v>
      </c>
      <c r="L548" s="7">
        <v>476000</v>
      </c>
      <c r="M548" s="7">
        <v>875000</v>
      </c>
      <c r="N548" s="7">
        <v>119000</v>
      </c>
      <c r="O548" s="7">
        <v>189000</v>
      </c>
      <c r="P548" s="7">
        <v>117000</v>
      </c>
      <c r="Q548" s="8">
        <v>508000</v>
      </c>
      <c r="R548" s="8">
        <v>518000</v>
      </c>
      <c r="S548" s="8">
        <v>462000</v>
      </c>
      <c r="T548" s="8">
        <v>42450</v>
      </c>
      <c r="U548" s="8">
        <v>143500</v>
      </c>
      <c r="V548" s="7">
        <v>398000</v>
      </c>
      <c r="W548" s="7">
        <v>32054</v>
      </c>
      <c r="X548" s="7">
        <v>360500</v>
      </c>
      <c r="Y548" s="7">
        <v>25950</v>
      </c>
      <c r="Z548" s="7">
        <v>75861</v>
      </c>
      <c r="AA548" s="8">
        <v>157500</v>
      </c>
      <c r="AB548" s="8">
        <v>421500</v>
      </c>
      <c r="AC548" s="8">
        <v>17650</v>
      </c>
      <c r="AD548" s="8">
        <v>228000</v>
      </c>
      <c r="AE548" s="8">
        <v>51400</v>
      </c>
      <c r="AF548" s="7">
        <v>37500</v>
      </c>
      <c r="AG548" s="7">
        <v>98000</v>
      </c>
      <c r="AH548" s="7">
        <v>54200</v>
      </c>
      <c r="AI548" s="7">
        <v>62700</v>
      </c>
      <c r="AJ548" s="7">
        <v>38600</v>
      </c>
      <c r="AK548" s="8">
        <v>23850</v>
      </c>
      <c r="AL548" s="8">
        <v>198500</v>
      </c>
      <c r="AM548" s="8">
        <v>287000</v>
      </c>
      <c r="AN548" s="8">
        <v>40900</v>
      </c>
      <c r="AO548" s="8">
        <v>10800</v>
      </c>
      <c r="AP548" s="7">
        <v>411000</v>
      </c>
      <c r="AQ548" s="7">
        <v>520000</v>
      </c>
      <c r="AR548" s="7">
        <v>13600</v>
      </c>
      <c r="AS548" s="7">
        <v>46600</v>
      </c>
      <c r="AT548" s="7">
        <v>102614</v>
      </c>
      <c r="AU548" s="8">
        <v>146500</v>
      </c>
      <c r="AV548" s="8">
        <v>44850</v>
      </c>
      <c r="AW548" s="8">
        <v>7220</v>
      </c>
      <c r="AX548" s="8">
        <v>219500</v>
      </c>
      <c r="AY548" s="8">
        <v>53600</v>
      </c>
    </row>
    <row r="549" spans="1:51" x14ac:dyDescent="0.4">
      <c r="A549" s="12">
        <v>40651</v>
      </c>
      <c r="B549" s="9">
        <v>77200</v>
      </c>
      <c r="C549" s="9">
        <v>33800</v>
      </c>
      <c r="D549" s="9">
        <v>84000</v>
      </c>
      <c r="E549" s="9">
        <v>221000</v>
      </c>
      <c r="F549" s="9">
        <v>79000</v>
      </c>
      <c r="G549" s="10">
        <v>64200</v>
      </c>
      <c r="H549" s="10">
        <v>88900</v>
      </c>
      <c r="I549" s="10">
        <v>202500</v>
      </c>
      <c r="J549" s="10">
        <v>141500</v>
      </c>
      <c r="K549" s="10">
        <v>226000</v>
      </c>
      <c r="L549" s="9">
        <v>476000</v>
      </c>
      <c r="M549" s="9">
        <v>867000</v>
      </c>
      <c r="N549" s="9">
        <v>123000</v>
      </c>
      <c r="O549" s="9">
        <v>189000</v>
      </c>
      <c r="P549" s="9">
        <v>112500</v>
      </c>
      <c r="Q549" s="10">
        <v>530000</v>
      </c>
      <c r="R549" s="10">
        <v>536000</v>
      </c>
      <c r="S549" s="10">
        <v>464500</v>
      </c>
      <c r="T549" s="10">
        <v>44600</v>
      </c>
      <c r="U549" s="10">
        <v>148000</v>
      </c>
      <c r="V549" s="9">
        <v>403000</v>
      </c>
      <c r="W549" s="9">
        <v>33630</v>
      </c>
      <c r="X549" s="9">
        <v>365000</v>
      </c>
      <c r="Y549" s="9">
        <v>25950</v>
      </c>
      <c r="Z549" s="9">
        <v>78696</v>
      </c>
      <c r="AA549" s="10">
        <v>158500</v>
      </c>
      <c r="AB549" s="10">
        <v>431500</v>
      </c>
      <c r="AC549" s="10">
        <v>17750</v>
      </c>
      <c r="AD549" s="10">
        <v>234000</v>
      </c>
      <c r="AE549" s="10">
        <v>52400</v>
      </c>
      <c r="AF549" s="9">
        <v>37700</v>
      </c>
      <c r="AG549" s="9">
        <v>98100</v>
      </c>
      <c r="AH549" s="9">
        <v>54300</v>
      </c>
      <c r="AI549" s="9">
        <v>62400</v>
      </c>
      <c r="AJ549" s="9">
        <v>36100</v>
      </c>
      <c r="AK549" s="10">
        <v>24350</v>
      </c>
      <c r="AL549" s="10">
        <v>193000</v>
      </c>
      <c r="AM549" s="10">
        <v>291000</v>
      </c>
      <c r="AN549" s="10">
        <v>42200</v>
      </c>
      <c r="AO549" s="10">
        <v>10950</v>
      </c>
      <c r="AP549" s="9">
        <v>412500</v>
      </c>
      <c r="AQ549" s="9">
        <v>513000</v>
      </c>
      <c r="AR549" s="9">
        <v>13700</v>
      </c>
      <c r="AS549" s="9">
        <v>46800</v>
      </c>
      <c r="AT549" s="9">
        <v>98216</v>
      </c>
      <c r="AU549" s="10">
        <v>149500</v>
      </c>
      <c r="AV549" s="10">
        <v>45500</v>
      </c>
      <c r="AW549" s="10">
        <v>7200</v>
      </c>
      <c r="AX549" s="10">
        <v>225000</v>
      </c>
      <c r="AY549" s="10">
        <v>53500</v>
      </c>
    </row>
    <row r="550" spans="1:51" x14ac:dyDescent="0.4">
      <c r="A550" s="11">
        <v>40648</v>
      </c>
      <c r="B550" s="7">
        <v>75600</v>
      </c>
      <c r="C550" s="7">
        <v>34150</v>
      </c>
      <c r="D550" s="7">
        <v>84000</v>
      </c>
      <c r="E550" s="7">
        <v>225500</v>
      </c>
      <c r="F550" s="7">
        <v>78500</v>
      </c>
      <c r="G550" s="8">
        <v>65600</v>
      </c>
      <c r="H550" s="8">
        <v>87800</v>
      </c>
      <c r="I550" s="8">
        <v>191500</v>
      </c>
      <c r="J550" s="8">
        <v>144000</v>
      </c>
      <c r="K550" s="8">
        <v>221500</v>
      </c>
      <c r="L550" s="7">
        <v>491000</v>
      </c>
      <c r="M550" s="7">
        <v>888000</v>
      </c>
      <c r="N550" s="7">
        <v>121000</v>
      </c>
      <c r="O550" s="7">
        <v>185000</v>
      </c>
      <c r="P550" s="7">
        <v>114500</v>
      </c>
      <c r="Q550" s="8">
        <v>533000</v>
      </c>
      <c r="R550" s="8">
        <v>533000</v>
      </c>
      <c r="S550" s="8">
        <v>442000</v>
      </c>
      <c r="T550" s="8">
        <v>44650</v>
      </c>
      <c r="U550" s="8">
        <v>138500</v>
      </c>
      <c r="V550" s="7">
        <v>382000</v>
      </c>
      <c r="W550" s="7">
        <v>33827</v>
      </c>
      <c r="X550" s="7">
        <v>354500</v>
      </c>
      <c r="Y550" s="7">
        <v>26150</v>
      </c>
      <c r="Z550" s="7">
        <v>80064</v>
      </c>
      <c r="AA550" s="8">
        <v>158000</v>
      </c>
      <c r="AB550" s="8">
        <v>438000</v>
      </c>
      <c r="AC550" s="8">
        <v>18600</v>
      </c>
      <c r="AD550" s="8">
        <v>229000</v>
      </c>
      <c r="AE550" s="8">
        <v>52400</v>
      </c>
      <c r="AF550" s="7">
        <v>37800</v>
      </c>
      <c r="AG550" s="7">
        <v>99600</v>
      </c>
      <c r="AH550" s="7">
        <v>54000</v>
      </c>
      <c r="AI550" s="7">
        <v>65300</v>
      </c>
      <c r="AJ550" s="7">
        <v>36300</v>
      </c>
      <c r="AK550" s="8">
        <v>24250</v>
      </c>
      <c r="AL550" s="8">
        <v>200000</v>
      </c>
      <c r="AM550" s="8">
        <v>280000</v>
      </c>
      <c r="AN550" s="8">
        <v>40950</v>
      </c>
      <c r="AO550" s="8">
        <v>10900</v>
      </c>
      <c r="AP550" s="7">
        <v>422500</v>
      </c>
      <c r="AQ550" s="7">
        <v>508000</v>
      </c>
      <c r="AR550" s="7">
        <v>14100</v>
      </c>
      <c r="AS550" s="7">
        <v>48350</v>
      </c>
      <c r="AT550" s="7">
        <v>98705</v>
      </c>
      <c r="AU550" s="8">
        <v>148000</v>
      </c>
      <c r="AV550" s="8">
        <v>45950</v>
      </c>
      <c r="AW550" s="8">
        <v>7310</v>
      </c>
      <c r="AX550" s="8">
        <v>213500</v>
      </c>
      <c r="AY550" s="8">
        <v>55100</v>
      </c>
    </row>
    <row r="551" spans="1:51" x14ac:dyDescent="0.4">
      <c r="A551" s="11">
        <v>40647</v>
      </c>
      <c r="B551" s="7">
        <v>75300</v>
      </c>
      <c r="C551" s="7">
        <v>33750</v>
      </c>
      <c r="D551" s="7">
        <v>84500</v>
      </c>
      <c r="E551" s="7">
        <v>231500</v>
      </c>
      <c r="F551" s="7">
        <v>74900</v>
      </c>
      <c r="G551" s="8">
        <v>64900</v>
      </c>
      <c r="H551" s="8">
        <v>88500</v>
      </c>
      <c r="I551" s="8">
        <v>194500</v>
      </c>
      <c r="J551" s="8">
        <v>146000</v>
      </c>
      <c r="K551" s="8">
        <v>222000</v>
      </c>
      <c r="L551" s="7">
        <v>490000</v>
      </c>
      <c r="M551" s="7">
        <v>900000</v>
      </c>
      <c r="N551" s="7">
        <v>122000</v>
      </c>
      <c r="O551" s="7">
        <v>181000</v>
      </c>
      <c r="P551" s="7">
        <v>116500</v>
      </c>
      <c r="Q551" s="8">
        <v>538000</v>
      </c>
      <c r="R551" s="8">
        <v>505000</v>
      </c>
      <c r="S551" s="8">
        <v>429500</v>
      </c>
      <c r="T551" s="8">
        <v>45750</v>
      </c>
      <c r="U551" s="8">
        <v>145000</v>
      </c>
      <c r="V551" s="7">
        <v>378500</v>
      </c>
      <c r="W551" s="7">
        <v>33531</v>
      </c>
      <c r="X551" s="7">
        <v>355000</v>
      </c>
      <c r="Y551" s="7">
        <v>26150</v>
      </c>
      <c r="Z551" s="7">
        <v>78207</v>
      </c>
      <c r="AA551" s="8">
        <v>159000</v>
      </c>
      <c r="AB551" s="8">
        <v>445500</v>
      </c>
      <c r="AC551" s="8">
        <v>18300</v>
      </c>
      <c r="AD551" s="8">
        <v>235500</v>
      </c>
      <c r="AE551" s="8">
        <v>53400</v>
      </c>
      <c r="AF551" s="7">
        <v>38200</v>
      </c>
      <c r="AG551" s="7">
        <v>100500</v>
      </c>
      <c r="AH551" s="7">
        <v>55000</v>
      </c>
      <c r="AI551" s="7">
        <v>66400</v>
      </c>
      <c r="AJ551" s="7">
        <v>36200</v>
      </c>
      <c r="AK551" s="8">
        <v>25000</v>
      </c>
      <c r="AL551" s="8">
        <v>198000</v>
      </c>
      <c r="AM551" s="8">
        <v>273500</v>
      </c>
      <c r="AN551" s="8">
        <v>41000</v>
      </c>
      <c r="AO551" s="8">
        <v>11150</v>
      </c>
      <c r="AP551" s="7">
        <v>420000</v>
      </c>
      <c r="AQ551" s="7">
        <v>497500</v>
      </c>
      <c r="AR551" s="7">
        <v>13950</v>
      </c>
      <c r="AS551" s="7">
        <v>48000</v>
      </c>
      <c r="AT551" s="7">
        <v>99682</v>
      </c>
      <c r="AU551" s="8">
        <v>151500</v>
      </c>
      <c r="AV551" s="8">
        <v>45950</v>
      </c>
      <c r="AW551" s="8">
        <v>7320</v>
      </c>
      <c r="AX551" s="8">
        <v>213000</v>
      </c>
      <c r="AY551" s="8">
        <v>55600</v>
      </c>
    </row>
    <row r="552" spans="1:51" x14ac:dyDescent="0.4">
      <c r="A552" s="11">
        <v>40646</v>
      </c>
      <c r="B552" s="7">
        <v>73500</v>
      </c>
      <c r="C552" s="7">
        <v>32350</v>
      </c>
      <c r="D552" s="7">
        <v>83800</v>
      </c>
      <c r="E552" s="7">
        <v>229000</v>
      </c>
      <c r="F552" s="7">
        <v>74200</v>
      </c>
      <c r="G552" s="8">
        <v>64700</v>
      </c>
      <c r="H552" s="8">
        <v>85500</v>
      </c>
      <c r="I552" s="8">
        <v>186000</v>
      </c>
      <c r="J552" s="8">
        <v>147000</v>
      </c>
      <c r="K552" s="8">
        <v>212500</v>
      </c>
      <c r="L552" s="7">
        <v>485500</v>
      </c>
      <c r="M552" s="7">
        <v>901000</v>
      </c>
      <c r="N552" s="7">
        <v>123500</v>
      </c>
      <c r="O552" s="7">
        <v>177000</v>
      </c>
      <c r="P552" s="7">
        <v>117500</v>
      </c>
      <c r="Q552" s="8">
        <v>535000</v>
      </c>
      <c r="R552" s="8">
        <v>504000</v>
      </c>
      <c r="S552" s="8">
        <v>429500</v>
      </c>
      <c r="T552" s="8">
        <v>45000</v>
      </c>
      <c r="U552" s="8">
        <v>148000</v>
      </c>
      <c r="V552" s="7">
        <v>377000</v>
      </c>
      <c r="W552" s="7">
        <v>33728</v>
      </c>
      <c r="X552" s="7">
        <v>335500</v>
      </c>
      <c r="Y552" s="7">
        <v>26250</v>
      </c>
      <c r="Z552" s="7">
        <v>77914</v>
      </c>
      <c r="AA552" s="8">
        <v>159000</v>
      </c>
      <c r="AB552" s="8">
        <v>452000</v>
      </c>
      <c r="AC552" s="8">
        <v>18350</v>
      </c>
      <c r="AD552" s="8">
        <v>232500</v>
      </c>
      <c r="AE552" s="8">
        <v>52900</v>
      </c>
      <c r="AF552" s="7">
        <v>38550</v>
      </c>
      <c r="AG552" s="7">
        <v>100500</v>
      </c>
      <c r="AH552" s="7">
        <v>54400</v>
      </c>
      <c r="AI552" s="7">
        <v>65600</v>
      </c>
      <c r="AJ552" s="7">
        <v>36650</v>
      </c>
      <c r="AK552" s="8">
        <v>25500</v>
      </c>
      <c r="AL552" s="8">
        <v>196000</v>
      </c>
      <c r="AM552" s="8">
        <v>277000</v>
      </c>
      <c r="AN552" s="8">
        <v>40800</v>
      </c>
      <c r="AO552" s="8">
        <v>11200</v>
      </c>
      <c r="AP552" s="7">
        <v>406000</v>
      </c>
      <c r="AQ552" s="7">
        <v>477500</v>
      </c>
      <c r="AR552" s="7">
        <v>14100</v>
      </c>
      <c r="AS552" s="7">
        <v>48550</v>
      </c>
      <c r="AT552" s="7">
        <v>100170</v>
      </c>
      <c r="AU552" s="8">
        <v>146500</v>
      </c>
      <c r="AV552" s="8">
        <v>46550</v>
      </c>
      <c r="AW552" s="8">
        <v>7400</v>
      </c>
      <c r="AX552" s="8">
        <v>212500</v>
      </c>
      <c r="AY552" s="8">
        <v>56700</v>
      </c>
    </row>
    <row r="553" spans="1:51" x14ac:dyDescent="0.4">
      <c r="A553" s="11">
        <v>40645</v>
      </c>
      <c r="B553" s="7">
        <v>70300</v>
      </c>
      <c r="C553" s="7">
        <v>31700</v>
      </c>
      <c r="D553" s="7">
        <v>83200</v>
      </c>
      <c r="E553" s="7">
        <v>222500</v>
      </c>
      <c r="F553" s="7">
        <v>74200</v>
      </c>
      <c r="G553" s="8">
        <v>62800</v>
      </c>
      <c r="H553" s="8">
        <v>85200</v>
      </c>
      <c r="I553" s="8">
        <v>187500</v>
      </c>
      <c r="J553" s="8">
        <v>145000</v>
      </c>
      <c r="K553" s="8">
        <v>200000</v>
      </c>
      <c r="L553" s="7">
        <v>482000</v>
      </c>
      <c r="M553" s="7">
        <v>882000</v>
      </c>
      <c r="N553" s="7">
        <v>123000</v>
      </c>
      <c r="O553" s="7">
        <v>174000</v>
      </c>
      <c r="P553" s="7">
        <v>115000</v>
      </c>
      <c r="Q553" s="8">
        <v>528000</v>
      </c>
      <c r="R553" s="8">
        <v>501000</v>
      </c>
      <c r="S553" s="8">
        <v>435000</v>
      </c>
      <c r="T553" s="8">
        <v>44300</v>
      </c>
      <c r="U553" s="8">
        <v>147500</v>
      </c>
      <c r="V553" s="7">
        <v>371500</v>
      </c>
      <c r="W553" s="7">
        <v>33236</v>
      </c>
      <c r="X553" s="7">
        <v>323500</v>
      </c>
      <c r="Y553" s="7">
        <v>26350</v>
      </c>
      <c r="Z553" s="7">
        <v>77523</v>
      </c>
      <c r="AA553" s="8">
        <v>159500</v>
      </c>
      <c r="AB553" s="8">
        <v>441500</v>
      </c>
      <c r="AC553" s="8">
        <v>18100</v>
      </c>
      <c r="AD553" s="8">
        <v>228500</v>
      </c>
      <c r="AE553" s="8">
        <v>53800</v>
      </c>
      <c r="AF553" s="7">
        <v>38550</v>
      </c>
      <c r="AG553" s="7">
        <v>99300</v>
      </c>
      <c r="AH553" s="7">
        <v>55000</v>
      </c>
      <c r="AI553" s="7">
        <v>66100</v>
      </c>
      <c r="AJ553" s="7">
        <v>35850</v>
      </c>
      <c r="AK553" s="8">
        <v>25650</v>
      </c>
      <c r="AL553" s="8">
        <v>195500</v>
      </c>
      <c r="AM553" s="8">
        <v>261500</v>
      </c>
      <c r="AN553" s="8">
        <v>39600</v>
      </c>
      <c r="AO553" s="8">
        <v>11000</v>
      </c>
      <c r="AP553" s="7">
        <v>400500</v>
      </c>
      <c r="AQ553" s="7">
        <v>460000</v>
      </c>
      <c r="AR553" s="7">
        <v>14150</v>
      </c>
      <c r="AS553" s="7">
        <v>47950</v>
      </c>
      <c r="AT553" s="7">
        <v>99193</v>
      </c>
      <c r="AU553" s="8">
        <v>145000</v>
      </c>
      <c r="AV553" s="8">
        <v>46950</v>
      </c>
      <c r="AW553" s="8">
        <v>7350</v>
      </c>
      <c r="AX553" s="8">
        <v>211000</v>
      </c>
      <c r="AY553" s="8">
        <v>56600</v>
      </c>
    </row>
    <row r="554" spans="1:51" x14ac:dyDescent="0.4">
      <c r="A554" s="12">
        <v>40644</v>
      </c>
      <c r="B554" s="9">
        <v>72300</v>
      </c>
      <c r="C554" s="9">
        <v>31800</v>
      </c>
      <c r="D554" s="9">
        <v>86700</v>
      </c>
      <c r="E554" s="9">
        <v>224500</v>
      </c>
      <c r="F554" s="9">
        <v>74700</v>
      </c>
      <c r="G554" s="10">
        <v>63100</v>
      </c>
      <c r="H554" s="10">
        <v>86400</v>
      </c>
      <c r="I554" s="10">
        <v>185000</v>
      </c>
      <c r="J554" s="10">
        <v>148000</v>
      </c>
      <c r="K554" s="10">
        <v>206000</v>
      </c>
      <c r="L554" s="9">
        <v>480000</v>
      </c>
      <c r="M554" s="9">
        <v>894000</v>
      </c>
      <c r="N554" s="9">
        <v>125500</v>
      </c>
      <c r="O554" s="9">
        <v>174000</v>
      </c>
      <c r="P554" s="9">
        <v>115500</v>
      </c>
      <c r="Q554" s="10">
        <v>545000</v>
      </c>
      <c r="R554" s="10">
        <v>517000</v>
      </c>
      <c r="S554" s="10">
        <v>444500</v>
      </c>
      <c r="T554" s="10">
        <v>45700</v>
      </c>
      <c r="U554" s="10">
        <v>152000</v>
      </c>
      <c r="V554" s="9">
        <v>386000</v>
      </c>
      <c r="W554" s="9">
        <v>33236</v>
      </c>
      <c r="X554" s="9">
        <v>331500</v>
      </c>
      <c r="Y554" s="9">
        <v>26650</v>
      </c>
      <c r="Z554" s="9">
        <v>79673</v>
      </c>
      <c r="AA554" s="10">
        <v>159000</v>
      </c>
      <c r="AB554" s="10">
        <v>449000</v>
      </c>
      <c r="AC554" s="10">
        <v>18050</v>
      </c>
      <c r="AD554" s="10">
        <v>232000</v>
      </c>
      <c r="AE554" s="10">
        <v>54000</v>
      </c>
      <c r="AF554" s="9">
        <v>39000</v>
      </c>
      <c r="AG554" s="9">
        <v>99900</v>
      </c>
      <c r="AH554" s="9">
        <v>55400</v>
      </c>
      <c r="AI554" s="9">
        <v>67100</v>
      </c>
      <c r="AJ554" s="9">
        <v>36850</v>
      </c>
      <c r="AK554" s="10">
        <v>25350</v>
      </c>
      <c r="AL554" s="10">
        <v>204000</v>
      </c>
      <c r="AM554" s="10">
        <v>268000</v>
      </c>
      <c r="AN554" s="10">
        <v>39900</v>
      </c>
      <c r="AO554" s="10">
        <v>11450</v>
      </c>
      <c r="AP554" s="9">
        <v>395000</v>
      </c>
      <c r="AQ554" s="9">
        <v>475500</v>
      </c>
      <c r="AR554" s="9">
        <v>14400</v>
      </c>
      <c r="AS554" s="9">
        <v>48400</v>
      </c>
      <c r="AT554" s="9">
        <v>101148</v>
      </c>
      <c r="AU554" s="10">
        <v>150500</v>
      </c>
      <c r="AV554" s="10">
        <v>46850</v>
      </c>
      <c r="AW554" s="10">
        <v>7450</v>
      </c>
      <c r="AX554" s="10">
        <v>210500</v>
      </c>
      <c r="AY554" s="10">
        <v>57000</v>
      </c>
    </row>
    <row r="555" spans="1:51" x14ac:dyDescent="0.4">
      <c r="A555" s="11">
        <v>40641</v>
      </c>
      <c r="B555" s="7">
        <v>72800</v>
      </c>
      <c r="C555" s="7">
        <v>31300</v>
      </c>
      <c r="D555" s="7">
        <v>85700</v>
      </c>
      <c r="E555" s="7">
        <v>233500</v>
      </c>
      <c r="F555" s="7">
        <v>73900</v>
      </c>
      <c r="G555" s="8">
        <v>64800</v>
      </c>
      <c r="H555" s="8">
        <v>84400</v>
      </c>
      <c r="I555" s="8">
        <v>178000</v>
      </c>
      <c r="J555" s="8">
        <v>146000</v>
      </c>
      <c r="K555" s="8">
        <v>205000</v>
      </c>
      <c r="L555" s="7">
        <v>486500</v>
      </c>
      <c r="M555" s="7">
        <v>898000</v>
      </c>
      <c r="N555" s="7">
        <v>126000</v>
      </c>
      <c r="O555" s="7">
        <v>173000</v>
      </c>
      <c r="P555" s="7">
        <v>118000</v>
      </c>
      <c r="Q555" s="8">
        <v>547000</v>
      </c>
      <c r="R555" s="8">
        <v>502000</v>
      </c>
      <c r="S555" s="8">
        <v>441000</v>
      </c>
      <c r="T555" s="8">
        <v>44050</v>
      </c>
      <c r="U555" s="8">
        <v>150500</v>
      </c>
      <c r="V555" s="7">
        <v>397000</v>
      </c>
      <c r="W555" s="7">
        <v>34270</v>
      </c>
      <c r="X555" s="7">
        <v>327000</v>
      </c>
      <c r="Y555" s="7">
        <v>26800</v>
      </c>
      <c r="Z555" s="7">
        <v>81140</v>
      </c>
      <c r="AA555" s="8">
        <v>160500</v>
      </c>
      <c r="AB555" s="8">
        <v>454500</v>
      </c>
      <c r="AC555" s="8">
        <v>18300</v>
      </c>
      <c r="AD555" s="8">
        <v>231000</v>
      </c>
      <c r="AE555" s="8">
        <v>54000</v>
      </c>
      <c r="AF555" s="7">
        <v>39300</v>
      </c>
      <c r="AG555" s="7">
        <v>100500</v>
      </c>
      <c r="AH555" s="7">
        <v>56000</v>
      </c>
      <c r="AI555" s="7">
        <v>67600</v>
      </c>
      <c r="AJ555" s="7">
        <v>37500</v>
      </c>
      <c r="AK555" s="8">
        <v>25350</v>
      </c>
      <c r="AL555" s="8">
        <v>197500</v>
      </c>
      <c r="AM555" s="8">
        <v>263000</v>
      </c>
      <c r="AN555" s="8">
        <v>39700</v>
      </c>
      <c r="AO555" s="8">
        <v>11650</v>
      </c>
      <c r="AP555" s="7">
        <v>403500</v>
      </c>
      <c r="AQ555" s="7">
        <v>479000</v>
      </c>
      <c r="AR555" s="7">
        <v>14700</v>
      </c>
      <c r="AS555" s="7">
        <v>49050</v>
      </c>
      <c r="AT555" s="7">
        <v>99682</v>
      </c>
      <c r="AU555" s="8">
        <v>150000</v>
      </c>
      <c r="AV555" s="8">
        <v>47000</v>
      </c>
      <c r="AW555" s="8">
        <v>7510</v>
      </c>
      <c r="AX555" s="8">
        <v>204000</v>
      </c>
      <c r="AY555" s="8">
        <v>57600</v>
      </c>
    </row>
    <row r="556" spans="1:51" x14ac:dyDescent="0.4">
      <c r="A556" s="11">
        <v>40640</v>
      </c>
      <c r="B556" s="7">
        <v>72500</v>
      </c>
      <c r="C556" s="7">
        <v>32000</v>
      </c>
      <c r="D556" s="7">
        <v>80800</v>
      </c>
      <c r="E556" s="7">
        <v>236500</v>
      </c>
      <c r="F556" s="7">
        <v>71000</v>
      </c>
      <c r="G556" s="8">
        <v>63700</v>
      </c>
      <c r="H556" s="8">
        <v>81500</v>
      </c>
      <c r="I556" s="8">
        <v>159000</v>
      </c>
      <c r="J556" s="8">
        <v>144000</v>
      </c>
      <c r="K556" s="8">
        <v>205500</v>
      </c>
      <c r="L556" s="7">
        <v>490000</v>
      </c>
      <c r="M556" s="7">
        <v>909000</v>
      </c>
      <c r="N556" s="7">
        <v>117500</v>
      </c>
      <c r="O556" s="7">
        <v>172500</v>
      </c>
      <c r="P556" s="7">
        <v>118000</v>
      </c>
      <c r="Q556" s="8">
        <v>528000</v>
      </c>
      <c r="R556" s="8">
        <v>512000</v>
      </c>
      <c r="S556" s="8">
        <v>440000</v>
      </c>
      <c r="T556" s="8">
        <v>42600</v>
      </c>
      <c r="U556" s="8">
        <v>152000</v>
      </c>
      <c r="V556" s="7">
        <v>388000</v>
      </c>
      <c r="W556" s="7">
        <v>34024</v>
      </c>
      <c r="X556" s="7">
        <v>331500</v>
      </c>
      <c r="Y556" s="7">
        <v>26900</v>
      </c>
      <c r="Z556" s="7">
        <v>79478</v>
      </c>
      <c r="AA556" s="8">
        <v>162000</v>
      </c>
      <c r="AB556" s="8">
        <v>460500</v>
      </c>
      <c r="AC556" s="8">
        <v>18400</v>
      </c>
      <c r="AD556" s="8">
        <v>221000</v>
      </c>
      <c r="AE556" s="8">
        <v>53800</v>
      </c>
      <c r="AF556" s="7">
        <v>39400</v>
      </c>
      <c r="AG556" s="7">
        <v>101500</v>
      </c>
      <c r="AH556" s="7">
        <v>57000</v>
      </c>
      <c r="AI556" s="7">
        <v>68500</v>
      </c>
      <c r="AJ556" s="7">
        <v>37000</v>
      </c>
      <c r="AK556" s="8">
        <v>25250</v>
      </c>
      <c r="AL556" s="8">
        <v>201500</v>
      </c>
      <c r="AM556" s="8">
        <v>255500</v>
      </c>
      <c r="AN556" s="8">
        <v>37250</v>
      </c>
      <c r="AO556" s="8">
        <v>11500</v>
      </c>
      <c r="AP556" s="7">
        <v>408500</v>
      </c>
      <c r="AQ556" s="7">
        <v>471000</v>
      </c>
      <c r="AR556" s="7">
        <v>14950</v>
      </c>
      <c r="AS556" s="7">
        <v>49750</v>
      </c>
      <c r="AT556" s="7">
        <v>100659</v>
      </c>
      <c r="AU556" s="8">
        <v>151000</v>
      </c>
      <c r="AV556" s="8">
        <v>48000</v>
      </c>
      <c r="AW556" s="8">
        <v>7640</v>
      </c>
      <c r="AX556" s="8">
        <v>202000</v>
      </c>
      <c r="AY556" s="8">
        <v>58200</v>
      </c>
    </row>
    <row r="557" spans="1:51" x14ac:dyDescent="0.4">
      <c r="A557" s="11">
        <v>40639</v>
      </c>
      <c r="B557" s="7">
        <v>72900</v>
      </c>
      <c r="C557" s="7">
        <v>32500</v>
      </c>
      <c r="D557" s="7">
        <v>80100</v>
      </c>
      <c r="E557" s="7">
        <v>236000</v>
      </c>
      <c r="F557" s="7">
        <v>69900</v>
      </c>
      <c r="G557" s="8">
        <v>64600</v>
      </c>
      <c r="H557" s="8">
        <v>80600</v>
      </c>
      <c r="I557" s="8">
        <v>157500</v>
      </c>
      <c r="J557" s="8">
        <v>143500</v>
      </c>
      <c r="K557" s="8">
        <v>210500</v>
      </c>
      <c r="L557" s="7">
        <v>493000</v>
      </c>
      <c r="M557" s="7">
        <v>923000</v>
      </c>
      <c r="N557" s="7">
        <v>114000</v>
      </c>
      <c r="O557" s="7">
        <v>171000</v>
      </c>
      <c r="P557" s="7">
        <v>120000</v>
      </c>
      <c r="Q557" s="8">
        <v>520000</v>
      </c>
      <c r="R557" s="8">
        <v>518000</v>
      </c>
      <c r="S557" s="8">
        <v>430000</v>
      </c>
      <c r="T557" s="8">
        <v>42600</v>
      </c>
      <c r="U557" s="8">
        <v>153000</v>
      </c>
      <c r="V557" s="7">
        <v>387000</v>
      </c>
      <c r="W557" s="7">
        <v>34565</v>
      </c>
      <c r="X557" s="7">
        <v>331000</v>
      </c>
      <c r="Y557" s="7">
        <v>27150</v>
      </c>
      <c r="Z557" s="7">
        <v>80162</v>
      </c>
      <c r="AA557" s="8">
        <v>164000</v>
      </c>
      <c r="AB557" s="8">
        <v>460000</v>
      </c>
      <c r="AC557" s="8">
        <v>18400</v>
      </c>
      <c r="AD557" s="8">
        <v>222000</v>
      </c>
      <c r="AE557" s="8">
        <v>54700</v>
      </c>
      <c r="AF557" s="7">
        <v>39900</v>
      </c>
      <c r="AG557" s="7">
        <v>101500</v>
      </c>
      <c r="AH557" s="7">
        <v>57100</v>
      </c>
      <c r="AI557" s="7">
        <v>69200</v>
      </c>
      <c r="AJ557" s="7">
        <v>36800</v>
      </c>
      <c r="AK557" s="8">
        <v>26000</v>
      </c>
      <c r="AL557" s="8">
        <v>205500</v>
      </c>
      <c r="AM557" s="8">
        <v>252000</v>
      </c>
      <c r="AN557" s="8">
        <v>36900</v>
      </c>
      <c r="AO557" s="8">
        <v>11500</v>
      </c>
      <c r="AP557" s="7">
        <v>414500</v>
      </c>
      <c r="AQ557" s="7">
        <v>477500</v>
      </c>
      <c r="AR557" s="7">
        <v>14800</v>
      </c>
      <c r="AS557" s="7">
        <v>50200</v>
      </c>
      <c r="AT557" s="7">
        <v>102614</v>
      </c>
      <c r="AU557" s="8">
        <v>154000</v>
      </c>
      <c r="AV557" s="8">
        <v>47300</v>
      </c>
      <c r="AW557" s="8">
        <v>7740</v>
      </c>
      <c r="AX557" s="8">
        <v>197500</v>
      </c>
      <c r="AY557" s="8">
        <v>57700</v>
      </c>
    </row>
    <row r="558" spans="1:51" x14ac:dyDescent="0.4">
      <c r="A558" s="11">
        <v>40638</v>
      </c>
      <c r="B558" s="7">
        <v>69900</v>
      </c>
      <c r="C558" s="7">
        <v>32450</v>
      </c>
      <c r="D558" s="7">
        <v>80500</v>
      </c>
      <c r="E558" s="7">
        <v>240000</v>
      </c>
      <c r="F558" s="7">
        <v>71200</v>
      </c>
      <c r="G558" s="8">
        <v>65500</v>
      </c>
      <c r="H558" s="8">
        <v>82600</v>
      </c>
      <c r="I558" s="8">
        <v>155500</v>
      </c>
      <c r="J558" s="8">
        <v>141000</v>
      </c>
      <c r="K558" s="8">
        <v>204000</v>
      </c>
      <c r="L558" s="7">
        <v>505000</v>
      </c>
      <c r="M558" s="7">
        <v>945000</v>
      </c>
      <c r="N558" s="7">
        <v>115000</v>
      </c>
      <c r="O558" s="7">
        <v>172500</v>
      </c>
      <c r="P558" s="7">
        <v>122000</v>
      </c>
      <c r="Q558" s="8">
        <v>514000</v>
      </c>
      <c r="R558" s="8">
        <v>499500</v>
      </c>
      <c r="S558" s="8">
        <v>411000</v>
      </c>
      <c r="T558" s="8">
        <v>41150</v>
      </c>
      <c r="U558" s="8">
        <v>149000</v>
      </c>
      <c r="V558" s="7">
        <v>386500</v>
      </c>
      <c r="W558" s="7">
        <v>35402</v>
      </c>
      <c r="X558" s="7">
        <v>314000</v>
      </c>
      <c r="Y558" s="7">
        <v>27350</v>
      </c>
      <c r="Z558" s="7">
        <v>82997</v>
      </c>
      <c r="AA558" s="8">
        <v>166000</v>
      </c>
      <c r="AB558" s="8">
        <v>469000</v>
      </c>
      <c r="AC558" s="8">
        <v>19000</v>
      </c>
      <c r="AD558" s="8">
        <v>214000</v>
      </c>
      <c r="AE558" s="8">
        <v>55600</v>
      </c>
      <c r="AF558" s="7">
        <v>40250</v>
      </c>
      <c r="AG558" s="7">
        <v>103500</v>
      </c>
      <c r="AH558" s="7">
        <v>58400</v>
      </c>
      <c r="AI558" s="7">
        <v>69700</v>
      </c>
      <c r="AJ558" s="7">
        <v>36800</v>
      </c>
      <c r="AK558" s="8">
        <v>25950</v>
      </c>
      <c r="AL558" s="8">
        <v>205500</v>
      </c>
      <c r="AM558" s="8">
        <v>256500</v>
      </c>
      <c r="AN558" s="8">
        <v>34450</v>
      </c>
      <c r="AO558" s="8">
        <v>11800</v>
      </c>
      <c r="AP558" s="7">
        <v>419500</v>
      </c>
      <c r="AQ558" s="7">
        <v>468500</v>
      </c>
      <c r="AR558" s="7">
        <v>15200</v>
      </c>
      <c r="AS558" s="7">
        <v>51500</v>
      </c>
      <c r="AT558" s="7">
        <v>103591</v>
      </c>
      <c r="AU558" s="8">
        <v>155500</v>
      </c>
      <c r="AV558" s="8">
        <v>49300</v>
      </c>
      <c r="AW558" s="8">
        <v>7780</v>
      </c>
      <c r="AX558" s="8">
        <v>194500</v>
      </c>
      <c r="AY558" s="8">
        <v>58300</v>
      </c>
    </row>
    <row r="559" spans="1:51" x14ac:dyDescent="0.4">
      <c r="A559" s="12">
        <v>40637</v>
      </c>
      <c r="B559" s="9">
        <v>69100</v>
      </c>
      <c r="C559" s="9">
        <v>31800</v>
      </c>
      <c r="D559" s="9">
        <v>80200</v>
      </c>
      <c r="E559" s="9">
        <v>246500</v>
      </c>
      <c r="F559" s="9">
        <v>71300</v>
      </c>
      <c r="G559" s="10">
        <v>66100</v>
      </c>
      <c r="H559" s="10">
        <v>81800</v>
      </c>
      <c r="I559" s="10">
        <v>156000</v>
      </c>
      <c r="J559" s="10">
        <v>139500</v>
      </c>
      <c r="K559" s="10">
        <v>201500</v>
      </c>
      <c r="L559" s="9">
        <v>505000</v>
      </c>
      <c r="M559" s="9">
        <v>945000</v>
      </c>
      <c r="N559" s="9">
        <v>116000</v>
      </c>
      <c r="O559" s="9">
        <v>169500</v>
      </c>
      <c r="P559" s="9">
        <v>121000</v>
      </c>
      <c r="Q559" s="10">
        <v>504000</v>
      </c>
      <c r="R559" s="10">
        <v>494500</v>
      </c>
      <c r="S559" s="10">
        <v>404000</v>
      </c>
      <c r="T559" s="10">
        <v>40250</v>
      </c>
      <c r="U559" s="10">
        <v>143500</v>
      </c>
      <c r="V559" s="9">
        <v>374000</v>
      </c>
      <c r="W559" s="9">
        <v>33433</v>
      </c>
      <c r="X559" s="9">
        <v>312500</v>
      </c>
      <c r="Y559" s="9">
        <v>27550</v>
      </c>
      <c r="Z559" s="9">
        <v>82704</v>
      </c>
      <c r="AA559" s="10">
        <v>165000</v>
      </c>
      <c r="AB559" s="10">
        <v>480000</v>
      </c>
      <c r="AC559" s="10">
        <v>19300</v>
      </c>
      <c r="AD559" s="10">
        <v>215500</v>
      </c>
      <c r="AE559" s="10">
        <v>56500</v>
      </c>
      <c r="AF559" s="9">
        <v>40500</v>
      </c>
      <c r="AG559" s="9">
        <v>102500</v>
      </c>
      <c r="AH559" s="9">
        <v>58100</v>
      </c>
      <c r="AI559" s="9">
        <v>69300</v>
      </c>
      <c r="AJ559" s="9">
        <v>35600</v>
      </c>
      <c r="AK559" s="10">
        <v>25350</v>
      </c>
      <c r="AL559" s="10">
        <v>205000</v>
      </c>
      <c r="AM559" s="10">
        <v>256500</v>
      </c>
      <c r="AN559" s="10">
        <v>33600</v>
      </c>
      <c r="AO559" s="10">
        <v>11800</v>
      </c>
      <c r="AP559" s="9">
        <v>420000</v>
      </c>
      <c r="AQ559" s="9">
        <v>446500</v>
      </c>
      <c r="AR559" s="9">
        <v>15400</v>
      </c>
      <c r="AS559" s="9">
        <v>51500</v>
      </c>
      <c r="AT559" s="9">
        <v>102614</v>
      </c>
      <c r="AU559" s="10">
        <v>156000</v>
      </c>
      <c r="AV559" s="10">
        <v>49700</v>
      </c>
      <c r="AW559" s="10">
        <v>7780</v>
      </c>
      <c r="AX559" s="10">
        <v>191000</v>
      </c>
      <c r="AY559" s="10">
        <v>58500</v>
      </c>
    </row>
    <row r="560" spans="1:51" x14ac:dyDescent="0.4">
      <c r="A560" s="11">
        <v>40634</v>
      </c>
      <c r="B560" s="7">
        <v>68700</v>
      </c>
      <c r="C560" s="7">
        <v>31600</v>
      </c>
      <c r="D560" s="7">
        <v>80000</v>
      </c>
      <c r="E560" s="7">
        <v>243000</v>
      </c>
      <c r="F560" s="7">
        <v>72000</v>
      </c>
      <c r="G560" s="8">
        <v>66800</v>
      </c>
      <c r="H560" s="8">
        <v>81800</v>
      </c>
      <c r="I560" s="8">
        <v>170000</v>
      </c>
      <c r="J560" s="8">
        <v>142000</v>
      </c>
      <c r="K560" s="8">
        <v>203500</v>
      </c>
      <c r="L560" s="7">
        <v>500000</v>
      </c>
      <c r="M560" s="7">
        <v>940000</v>
      </c>
      <c r="N560" s="7">
        <v>115000</v>
      </c>
      <c r="O560" s="7">
        <v>172000</v>
      </c>
      <c r="P560" s="7">
        <v>121000</v>
      </c>
      <c r="Q560" s="8">
        <v>520000</v>
      </c>
      <c r="R560" s="8">
        <v>498000</v>
      </c>
      <c r="S560" s="8">
        <v>417500</v>
      </c>
      <c r="T560" s="8">
        <v>40200</v>
      </c>
      <c r="U560" s="8">
        <v>152000</v>
      </c>
      <c r="V560" s="7">
        <v>387500</v>
      </c>
      <c r="W560" s="7">
        <v>33580</v>
      </c>
      <c r="X560" s="7">
        <v>322000</v>
      </c>
      <c r="Y560" s="7">
        <v>27250</v>
      </c>
      <c r="Z560" s="7">
        <v>82117</v>
      </c>
      <c r="AA560" s="8">
        <v>165500</v>
      </c>
      <c r="AB560" s="8">
        <v>460000</v>
      </c>
      <c r="AC560" s="8">
        <v>18850</v>
      </c>
      <c r="AD560" s="8">
        <v>212000</v>
      </c>
      <c r="AE560" s="8">
        <v>54700</v>
      </c>
      <c r="AF560" s="7">
        <v>40300</v>
      </c>
      <c r="AG560" s="7">
        <v>103000</v>
      </c>
      <c r="AH560" s="7">
        <v>57900</v>
      </c>
      <c r="AI560" s="7">
        <v>70300</v>
      </c>
      <c r="AJ560" s="7">
        <v>35450</v>
      </c>
      <c r="AK560" s="8">
        <v>25350</v>
      </c>
      <c r="AL560" s="8">
        <v>204500</v>
      </c>
      <c r="AM560" s="8">
        <v>248000</v>
      </c>
      <c r="AN560" s="8">
        <v>33800</v>
      </c>
      <c r="AO560" s="8">
        <v>11900</v>
      </c>
      <c r="AP560" s="7">
        <v>418000</v>
      </c>
      <c r="AQ560" s="7">
        <v>458000</v>
      </c>
      <c r="AR560" s="7">
        <v>14750</v>
      </c>
      <c r="AS560" s="7">
        <v>49950</v>
      </c>
      <c r="AT560" s="7">
        <v>103102</v>
      </c>
      <c r="AU560" s="8">
        <v>153500</v>
      </c>
      <c r="AV560" s="8">
        <v>48000</v>
      </c>
      <c r="AW560" s="8">
        <v>7740</v>
      </c>
      <c r="AX560" s="8">
        <v>213000</v>
      </c>
      <c r="AY560" s="8">
        <v>56700</v>
      </c>
    </row>
    <row r="561" spans="1:51" x14ac:dyDescent="0.4">
      <c r="A561" s="11">
        <v>40633</v>
      </c>
      <c r="B561" s="7">
        <v>69000</v>
      </c>
      <c r="C561" s="7">
        <v>31300</v>
      </c>
      <c r="D561" s="7">
        <v>79200</v>
      </c>
      <c r="E561" s="7">
        <v>242500</v>
      </c>
      <c r="F561" s="7">
        <v>71800</v>
      </c>
      <c r="G561" s="8">
        <v>65800</v>
      </c>
      <c r="H561" s="8">
        <v>81800</v>
      </c>
      <c r="I561" s="8">
        <v>165000</v>
      </c>
      <c r="J561" s="8">
        <v>140000</v>
      </c>
      <c r="K561" s="8">
        <v>203000</v>
      </c>
      <c r="L561" s="7">
        <v>505000</v>
      </c>
      <c r="M561" s="7">
        <v>932000</v>
      </c>
      <c r="N561" s="7">
        <v>115000</v>
      </c>
      <c r="O561" s="7">
        <v>168000</v>
      </c>
      <c r="P561" s="7">
        <v>117500</v>
      </c>
      <c r="Q561" s="8">
        <v>518000</v>
      </c>
      <c r="R561" s="8">
        <v>494000</v>
      </c>
      <c r="S561" s="8">
        <v>399000</v>
      </c>
      <c r="T561" s="8">
        <v>39900</v>
      </c>
      <c r="U561" s="8">
        <v>152000</v>
      </c>
      <c r="V561" s="7">
        <v>387500</v>
      </c>
      <c r="W561" s="7">
        <v>33876</v>
      </c>
      <c r="X561" s="7">
        <v>327500</v>
      </c>
      <c r="Y561" s="7">
        <v>26900</v>
      </c>
      <c r="Z561" s="7">
        <v>78793</v>
      </c>
      <c r="AA561" s="8">
        <v>163500</v>
      </c>
      <c r="AB561" s="8">
        <v>449000</v>
      </c>
      <c r="AC561" s="8">
        <v>18900</v>
      </c>
      <c r="AD561" s="8">
        <v>209000</v>
      </c>
      <c r="AE561" s="8">
        <v>55500</v>
      </c>
      <c r="AF561" s="7">
        <v>38900</v>
      </c>
      <c r="AG561" s="7">
        <v>103000</v>
      </c>
      <c r="AH561" s="7">
        <v>57100</v>
      </c>
      <c r="AI561" s="7">
        <v>70200</v>
      </c>
      <c r="AJ561" s="7">
        <v>34400</v>
      </c>
      <c r="AK561" s="8">
        <v>25450</v>
      </c>
      <c r="AL561" s="8">
        <v>191500</v>
      </c>
      <c r="AM561" s="8">
        <v>250500</v>
      </c>
      <c r="AN561" s="8">
        <v>34050</v>
      </c>
      <c r="AO561" s="8">
        <v>12050</v>
      </c>
      <c r="AP561" s="7">
        <v>411500</v>
      </c>
      <c r="AQ561" s="7">
        <v>460000</v>
      </c>
      <c r="AR561" s="7">
        <v>14550</v>
      </c>
      <c r="AS561" s="7">
        <v>49850</v>
      </c>
      <c r="AT561" s="7">
        <v>102614</v>
      </c>
      <c r="AU561" s="8">
        <v>156000</v>
      </c>
      <c r="AV561" s="8">
        <v>47450</v>
      </c>
      <c r="AW561" s="8">
        <v>7580</v>
      </c>
      <c r="AX561" s="8">
        <v>211000</v>
      </c>
      <c r="AY561" s="8">
        <v>57500</v>
      </c>
    </row>
    <row r="562" spans="1:51" x14ac:dyDescent="0.4">
      <c r="A562" s="11">
        <v>40632</v>
      </c>
      <c r="B562" s="7">
        <v>68600</v>
      </c>
      <c r="C562" s="7">
        <v>31550</v>
      </c>
      <c r="D562" s="7">
        <v>78600</v>
      </c>
      <c r="E562" s="7">
        <v>229500</v>
      </c>
      <c r="F562" s="7">
        <v>69500</v>
      </c>
      <c r="G562" s="8">
        <v>62300</v>
      </c>
      <c r="H562" s="8">
        <v>81200</v>
      </c>
      <c r="I562" s="8">
        <v>160500</v>
      </c>
      <c r="J562" s="8">
        <v>143000</v>
      </c>
      <c r="K562" s="8">
        <v>210000</v>
      </c>
      <c r="L562" s="7">
        <v>514000</v>
      </c>
      <c r="M562" s="7">
        <v>926000</v>
      </c>
      <c r="N562" s="7">
        <v>111000</v>
      </c>
      <c r="O562" s="7">
        <v>168000</v>
      </c>
      <c r="P562" s="7">
        <v>116500</v>
      </c>
      <c r="Q562" s="8">
        <v>510000</v>
      </c>
      <c r="R562" s="8">
        <v>493000</v>
      </c>
      <c r="S562" s="8">
        <v>398500</v>
      </c>
      <c r="T562" s="8">
        <v>39500</v>
      </c>
      <c r="U562" s="8">
        <v>152000</v>
      </c>
      <c r="V562" s="7">
        <v>394500</v>
      </c>
      <c r="W562" s="7">
        <v>33531</v>
      </c>
      <c r="X562" s="7">
        <v>327500</v>
      </c>
      <c r="Y562" s="7">
        <v>26400</v>
      </c>
      <c r="Z562" s="7">
        <v>77718</v>
      </c>
      <c r="AA562" s="8">
        <v>161000</v>
      </c>
      <c r="AB562" s="8">
        <v>435000</v>
      </c>
      <c r="AC562" s="8">
        <v>18350</v>
      </c>
      <c r="AD562" s="8">
        <v>208500</v>
      </c>
      <c r="AE562" s="8">
        <v>56500</v>
      </c>
      <c r="AF562" s="7">
        <v>38550</v>
      </c>
      <c r="AG562" s="7">
        <v>101500</v>
      </c>
      <c r="AH562" s="7">
        <v>56300</v>
      </c>
      <c r="AI562" s="7">
        <v>68100</v>
      </c>
      <c r="AJ562" s="7">
        <v>33650</v>
      </c>
      <c r="AK562" s="8">
        <v>25400</v>
      </c>
      <c r="AL562" s="8">
        <v>190500</v>
      </c>
      <c r="AM562" s="8">
        <v>248000</v>
      </c>
      <c r="AN562" s="8">
        <v>34500</v>
      </c>
      <c r="AO562" s="8">
        <v>11700</v>
      </c>
      <c r="AP562" s="7">
        <v>406000</v>
      </c>
      <c r="AQ562" s="7">
        <v>450000</v>
      </c>
      <c r="AR562" s="7">
        <v>14250</v>
      </c>
      <c r="AS562" s="7">
        <v>48750</v>
      </c>
      <c r="AT562" s="7">
        <v>105545</v>
      </c>
      <c r="AU562" s="8">
        <v>157500</v>
      </c>
      <c r="AV562" s="8">
        <v>46250</v>
      </c>
      <c r="AW562" s="8">
        <v>7440</v>
      </c>
      <c r="AX562" s="8">
        <v>211500</v>
      </c>
      <c r="AY562" s="8">
        <v>56900</v>
      </c>
    </row>
    <row r="563" spans="1:51" x14ac:dyDescent="0.4">
      <c r="A563" s="11">
        <v>40631</v>
      </c>
      <c r="B563" s="7">
        <v>68700</v>
      </c>
      <c r="C563" s="7">
        <v>31000</v>
      </c>
      <c r="D563" s="7">
        <v>77500</v>
      </c>
      <c r="E563" s="7">
        <v>227000</v>
      </c>
      <c r="F563" s="7">
        <v>69500</v>
      </c>
      <c r="G563" s="8">
        <v>62200</v>
      </c>
      <c r="H563" s="8">
        <v>80300</v>
      </c>
      <c r="I563" s="8">
        <v>166000</v>
      </c>
      <c r="J563" s="8">
        <v>144000</v>
      </c>
      <c r="K563" s="8">
        <v>207000</v>
      </c>
      <c r="L563" s="7">
        <v>517000</v>
      </c>
      <c r="M563" s="7">
        <v>916000</v>
      </c>
      <c r="N563" s="7">
        <v>108000</v>
      </c>
      <c r="O563" s="7">
        <v>161000</v>
      </c>
      <c r="P563" s="7">
        <v>116500</v>
      </c>
      <c r="Q563" s="8">
        <v>487500</v>
      </c>
      <c r="R563" s="8">
        <v>486500</v>
      </c>
      <c r="S563" s="8">
        <v>404000</v>
      </c>
      <c r="T563" s="8">
        <v>38050</v>
      </c>
      <c r="U563" s="8">
        <v>159500</v>
      </c>
      <c r="V563" s="7">
        <v>404500</v>
      </c>
      <c r="W563" s="7">
        <v>32497</v>
      </c>
      <c r="X563" s="7">
        <v>319500</v>
      </c>
      <c r="Y563" s="7">
        <v>26150</v>
      </c>
      <c r="Z563" s="7">
        <v>76545</v>
      </c>
      <c r="AA563" s="8">
        <v>160500</v>
      </c>
      <c r="AB563" s="8">
        <v>417500</v>
      </c>
      <c r="AC563" s="8">
        <v>17600</v>
      </c>
      <c r="AD563" s="8">
        <v>204500</v>
      </c>
      <c r="AE563" s="8">
        <v>56700</v>
      </c>
      <c r="AF563" s="7">
        <v>37900</v>
      </c>
      <c r="AG563" s="7">
        <v>103000</v>
      </c>
      <c r="AH563" s="7">
        <v>55500</v>
      </c>
      <c r="AI563" s="7">
        <v>65100</v>
      </c>
      <c r="AJ563" s="7">
        <v>34100</v>
      </c>
      <c r="AK563" s="8">
        <v>25450</v>
      </c>
      <c r="AL563" s="8">
        <v>187000</v>
      </c>
      <c r="AM563" s="8">
        <v>250000</v>
      </c>
      <c r="AN563" s="8">
        <v>33100</v>
      </c>
      <c r="AO563" s="8">
        <v>11350</v>
      </c>
      <c r="AP563" s="7">
        <v>390500</v>
      </c>
      <c r="AQ563" s="7">
        <v>443000</v>
      </c>
      <c r="AR563" s="7">
        <v>14150</v>
      </c>
      <c r="AS563" s="7">
        <v>47850</v>
      </c>
      <c r="AT563" s="7">
        <v>104080</v>
      </c>
      <c r="AU563" s="8">
        <v>152000</v>
      </c>
      <c r="AV563" s="8">
        <v>44500</v>
      </c>
      <c r="AW563" s="8">
        <v>7470</v>
      </c>
      <c r="AX563" s="8">
        <v>219500</v>
      </c>
      <c r="AY563" s="8">
        <v>56000</v>
      </c>
    </row>
    <row r="564" spans="1:51" x14ac:dyDescent="0.4">
      <c r="A564" s="12">
        <v>40630</v>
      </c>
      <c r="B564" s="9">
        <v>67400</v>
      </c>
      <c r="C564" s="9">
        <v>30900</v>
      </c>
      <c r="D564" s="9">
        <v>77400</v>
      </c>
      <c r="E564" s="9">
        <v>230000</v>
      </c>
      <c r="F564" s="9">
        <v>68000</v>
      </c>
      <c r="G564" s="10">
        <v>62000</v>
      </c>
      <c r="H564" s="10">
        <v>79700</v>
      </c>
      <c r="I564" s="10">
        <v>157500</v>
      </c>
      <c r="J564" s="10">
        <v>143000</v>
      </c>
      <c r="K564" s="10">
        <v>199500</v>
      </c>
      <c r="L564" s="9">
        <v>516000</v>
      </c>
      <c r="M564" s="9">
        <v>916000</v>
      </c>
      <c r="N564" s="9">
        <v>107500</v>
      </c>
      <c r="O564" s="9">
        <v>161500</v>
      </c>
      <c r="P564" s="9">
        <v>117500</v>
      </c>
      <c r="Q564" s="10">
        <v>487500</v>
      </c>
      <c r="R564" s="10">
        <v>480000</v>
      </c>
      <c r="S564" s="10">
        <v>392000</v>
      </c>
      <c r="T564" s="10">
        <v>38300</v>
      </c>
      <c r="U564" s="10">
        <v>152500</v>
      </c>
      <c r="V564" s="9">
        <v>401500</v>
      </c>
      <c r="W564" s="9">
        <v>33383</v>
      </c>
      <c r="X564" s="9">
        <v>313000</v>
      </c>
      <c r="Y564" s="9">
        <v>26350</v>
      </c>
      <c r="Z564" s="9">
        <v>76252</v>
      </c>
      <c r="AA564" s="10">
        <v>161000</v>
      </c>
      <c r="AB564" s="10">
        <v>424000</v>
      </c>
      <c r="AC564" s="10">
        <v>17450</v>
      </c>
      <c r="AD564" s="10">
        <v>197000</v>
      </c>
      <c r="AE564" s="10">
        <v>56900</v>
      </c>
      <c r="AF564" s="9">
        <v>38100</v>
      </c>
      <c r="AG564" s="9">
        <v>102500</v>
      </c>
      <c r="AH564" s="9">
        <v>55500</v>
      </c>
      <c r="AI564" s="9">
        <v>62100</v>
      </c>
      <c r="AJ564" s="9">
        <v>34850</v>
      </c>
      <c r="AK564" s="10">
        <v>25600</v>
      </c>
      <c r="AL564" s="10">
        <v>185500</v>
      </c>
      <c r="AM564" s="10">
        <v>243500</v>
      </c>
      <c r="AN564" s="10">
        <v>33050</v>
      </c>
      <c r="AO564" s="10">
        <v>11300</v>
      </c>
      <c r="AP564" s="9">
        <v>385500</v>
      </c>
      <c r="AQ564" s="9">
        <v>436500</v>
      </c>
      <c r="AR564" s="9">
        <v>14350</v>
      </c>
      <c r="AS564" s="9">
        <v>47950</v>
      </c>
      <c r="AT564" s="9">
        <v>104080</v>
      </c>
      <c r="AU564" s="10">
        <v>149500</v>
      </c>
      <c r="AV564" s="10">
        <v>43500</v>
      </c>
      <c r="AW564" s="10">
        <v>7550</v>
      </c>
      <c r="AX564" s="10">
        <v>214000</v>
      </c>
      <c r="AY564" s="10">
        <v>56900</v>
      </c>
    </row>
    <row r="565" spans="1:51" x14ac:dyDescent="0.4">
      <c r="A565" s="11">
        <v>40627</v>
      </c>
      <c r="B565" s="7">
        <v>66700</v>
      </c>
      <c r="C565" s="7">
        <v>29900</v>
      </c>
      <c r="D565" s="7">
        <v>81200</v>
      </c>
      <c r="E565" s="7">
        <v>230000</v>
      </c>
      <c r="F565" s="7">
        <v>68000</v>
      </c>
      <c r="G565" s="8">
        <v>60600</v>
      </c>
      <c r="H565" s="8">
        <v>79400</v>
      </c>
      <c r="I565" s="8">
        <v>154500</v>
      </c>
      <c r="J565" s="8">
        <v>140500</v>
      </c>
      <c r="K565" s="8">
        <v>199000</v>
      </c>
      <c r="L565" s="7">
        <v>502000</v>
      </c>
      <c r="M565" s="7">
        <v>910000</v>
      </c>
      <c r="N565" s="7">
        <v>111500</v>
      </c>
      <c r="O565" s="7">
        <v>161500</v>
      </c>
      <c r="P565" s="7">
        <v>116500</v>
      </c>
      <c r="Q565" s="8">
        <v>493000</v>
      </c>
      <c r="R565" s="8">
        <v>477000</v>
      </c>
      <c r="S565" s="8">
        <v>392000</v>
      </c>
      <c r="T565" s="8">
        <v>40550</v>
      </c>
      <c r="U565" s="8">
        <v>148000</v>
      </c>
      <c r="V565" s="7">
        <v>393000</v>
      </c>
      <c r="W565" s="7">
        <v>32694</v>
      </c>
      <c r="X565" s="7">
        <v>312000</v>
      </c>
      <c r="Y565" s="7">
        <v>26550</v>
      </c>
      <c r="Z565" s="7">
        <v>76252</v>
      </c>
      <c r="AA565" s="8">
        <v>160500</v>
      </c>
      <c r="AB565" s="8">
        <v>430000</v>
      </c>
      <c r="AC565" s="8">
        <v>17700</v>
      </c>
      <c r="AD565" s="8">
        <v>201000</v>
      </c>
      <c r="AE565" s="8">
        <v>57200</v>
      </c>
      <c r="AF565" s="7">
        <v>38250</v>
      </c>
      <c r="AG565" s="7">
        <v>103000</v>
      </c>
      <c r="AH565" s="7">
        <v>56100</v>
      </c>
      <c r="AI565" s="7">
        <v>64600</v>
      </c>
      <c r="AJ565" s="7">
        <v>34800</v>
      </c>
      <c r="AK565" s="8">
        <v>25050</v>
      </c>
      <c r="AL565" s="8">
        <v>188000</v>
      </c>
      <c r="AM565" s="8">
        <v>247000</v>
      </c>
      <c r="AN565" s="8">
        <v>35550</v>
      </c>
      <c r="AO565" s="8">
        <v>11600</v>
      </c>
      <c r="AP565" s="7">
        <v>393000</v>
      </c>
      <c r="AQ565" s="7">
        <v>431000</v>
      </c>
      <c r="AR565" s="7">
        <v>14450</v>
      </c>
      <c r="AS565" s="7">
        <v>48600</v>
      </c>
      <c r="AT565" s="7">
        <v>103591</v>
      </c>
      <c r="AU565" s="8">
        <v>145500</v>
      </c>
      <c r="AV565" s="8">
        <v>44100</v>
      </c>
      <c r="AW565" s="8">
        <v>7580</v>
      </c>
      <c r="AX565" s="8">
        <v>210000</v>
      </c>
      <c r="AY565" s="8">
        <v>56500</v>
      </c>
    </row>
    <row r="566" spans="1:51" x14ac:dyDescent="0.4">
      <c r="A566" s="11">
        <v>40626</v>
      </c>
      <c r="B566" s="7">
        <v>66900</v>
      </c>
      <c r="C566" s="7">
        <v>29100</v>
      </c>
      <c r="D566" s="7">
        <v>81700</v>
      </c>
      <c r="E566" s="7">
        <v>226000</v>
      </c>
      <c r="F566" s="7">
        <v>66900</v>
      </c>
      <c r="G566" s="8">
        <v>60300</v>
      </c>
      <c r="H566" s="8">
        <v>76500</v>
      </c>
      <c r="I566" s="8">
        <v>156000</v>
      </c>
      <c r="J566" s="8">
        <v>139500</v>
      </c>
      <c r="K566" s="8">
        <v>198500</v>
      </c>
      <c r="L566" s="7">
        <v>497500</v>
      </c>
      <c r="M566" s="7">
        <v>880000</v>
      </c>
      <c r="N566" s="7">
        <v>109000</v>
      </c>
      <c r="O566" s="7">
        <v>158000</v>
      </c>
      <c r="P566" s="7">
        <v>114000</v>
      </c>
      <c r="Q566" s="8">
        <v>486500</v>
      </c>
      <c r="R566" s="8">
        <v>478500</v>
      </c>
      <c r="S566" s="8">
        <v>397500</v>
      </c>
      <c r="T566" s="8">
        <v>40650</v>
      </c>
      <c r="U566" s="8">
        <v>150000</v>
      </c>
      <c r="V566" s="7">
        <v>402000</v>
      </c>
      <c r="W566" s="7">
        <v>31709</v>
      </c>
      <c r="X566" s="7">
        <v>308500</v>
      </c>
      <c r="Y566" s="7">
        <v>26600</v>
      </c>
      <c r="Z566" s="7">
        <v>72732</v>
      </c>
      <c r="AA566" s="8">
        <v>159000</v>
      </c>
      <c r="AB566" s="8">
        <v>438500</v>
      </c>
      <c r="AC566" s="8">
        <v>17700</v>
      </c>
      <c r="AD566" s="8">
        <v>203500</v>
      </c>
      <c r="AE566" s="8">
        <v>54700</v>
      </c>
      <c r="AF566" s="7">
        <v>38200</v>
      </c>
      <c r="AG566" s="7">
        <v>101500</v>
      </c>
      <c r="AH566" s="7">
        <v>55800</v>
      </c>
      <c r="AI566" s="7">
        <v>65700</v>
      </c>
      <c r="AJ566" s="7">
        <v>34550</v>
      </c>
      <c r="AK566" s="8">
        <v>25300</v>
      </c>
      <c r="AL566" s="8">
        <v>193500</v>
      </c>
      <c r="AM566" s="8">
        <v>247500</v>
      </c>
      <c r="AN566" s="8">
        <v>35550</v>
      </c>
      <c r="AO566" s="8">
        <v>11450</v>
      </c>
      <c r="AP566" s="7">
        <v>386000</v>
      </c>
      <c r="AQ566" s="7">
        <v>427000</v>
      </c>
      <c r="AR566" s="7">
        <v>14050</v>
      </c>
      <c r="AS566" s="7">
        <v>48400</v>
      </c>
      <c r="AT566" s="7">
        <v>102614</v>
      </c>
      <c r="AU566" s="8">
        <v>145000</v>
      </c>
      <c r="AV566" s="8">
        <v>44000</v>
      </c>
      <c r="AW566" s="8">
        <v>7500</v>
      </c>
      <c r="AX566" s="8">
        <v>210500</v>
      </c>
      <c r="AY566" s="8">
        <v>55600</v>
      </c>
    </row>
    <row r="567" spans="1:51" x14ac:dyDescent="0.4">
      <c r="A567" s="11">
        <v>40625</v>
      </c>
      <c r="B567" s="7">
        <v>64700</v>
      </c>
      <c r="C567" s="7">
        <v>29050</v>
      </c>
      <c r="D567" s="7">
        <v>82100</v>
      </c>
      <c r="E567" s="7">
        <v>226000</v>
      </c>
      <c r="F567" s="7">
        <v>63500</v>
      </c>
      <c r="G567" s="8">
        <v>59700</v>
      </c>
      <c r="H567" s="8">
        <v>75100</v>
      </c>
      <c r="I567" s="8">
        <v>153000</v>
      </c>
      <c r="J567" s="8">
        <v>139500</v>
      </c>
      <c r="K567" s="8">
        <v>190500</v>
      </c>
      <c r="L567" s="7">
        <v>499500</v>
      </c>
      <c r="M567" s="7">
        <v>873000</v>
      </c>
      <c r="N567" s="7">
        <v>109000</v>
      </c>
      <c r="O567" s="7">
        <v>159500</v>
      </c>
      <c r="P567" s="7">
        <v>114500</v>
      </c>
      <c r="Q567" s="8">
        <v>487500</v>
      </c>
      <c r="R567" s="8">
        <v>455500</v>
      </c>
      <c r="S567" s="8">
        <v>388500</v>
      </c>
      <c r="T567" s="8">
        <v>40600</v>
      </c>
      <c r="U567" s="8">
        <v>143500</v>
      </c>
      <c r="V567" s="7">
        <v>387000</v>
      </c>
      <c r="W567" s="7">
        <v>32743</v>
      </c>
      <c r="X567" s="7">
        <v>292000</v>
      </c>
      <c r="Y567" s="7">
        <v>26600</v>
      </c>
      <c r="Z567" s="7">
        <v>71853</v>
      </c>
      <c r="AA567" s="8">
        <v>159000</v>
      </c>
      <c r="AB567" s="8">
        <v>437500</v>
      </c>
      <c r="AC567" s="8">
        <v>17700</v>
      </c>
      <c r="AD567" s="8">
        <v>199500</v>
      </c>
      <c r="AE567" s="8">
        <v>53600</v>
      </c>
      <c r="AF567" s="7">
        <v>38250</v>
      </c>
      <c r="AG567" s="7">
        <v>101000</v>
      </c>
      <c r="AH567" s="7">
        <v>55000</v>
      </c>
      <c r="AI567" s="7">
        <v>65600</v>
      </c>
      <c r="AJ567" s="7">
        <v>34450</v>
      </c>
      <c r="AK567" s="8">
        <v>25900</v>
      </c>
      <c r="AL567" s="8">
        <v>194500</v>
      </c>
      <c r="AM567" s="8">
        <v>252000</v>
      </c>
      <c r="AN567" s="8">
        <v>34600</v>
      </c>
      <c r="AO567" s="8">
        <v>11300</v>
      </c>
      <c r="AP567" s="7">
        <v>369000</v>
      </c>
      <c r="AQ567" s="7">
        <v>418500</v>
      </c>
      <c r="AR567" s="7">
        <v>14250</v>
      </c>
      <c r="AS567" s="7">
        <v>47900</v>
      </c>
      <c r="AT567" s="7">
        <v>102125</v>
      </c>
      <c r="AU567" s="8">
        <v>138000</v>
      </c>
      <c r="AV567" s="8">
        <v>43100</v>
      </c>
      <c r="AW567" s="8">
        <v>7590</v>
      </c>
      <c r="AX567" s="8">
        <v>212500</v>
      </c>
      <c r="AY567" s="8">
        <v>55500</v>
      </c>
    </row>
    <row r="568" spans="1:51" x14ac:dyDescent="0.4">
      <c r="A568" s="11">
        <v>40624</v>
      </c>
      <c r="B568" s="7">
        <v>63800</v>
      </c>
      <c r="C568" s="7">
        <v>27850</v>
      </c>
      <c r="D568" s="7">
        <v>81300</v>
      </c>
      <c r="E568" s="7">
        <v>221500</v>
      </c>
      <c r="F568" s="7">
        <v>63200</v>
      </c>
      <c r="G568" s="8">
        <v>60100</v>
      </c>
      <c r="H568" s="8">
        <v>75100</v>
      </c>
      <c r="I568" s="8">
        <v>164000</v>
      </c>
      <c r="J568" s="8">
        <v>138500</v>
      </c>
      <c r="K568" s="8">
        <v>189000</v>
      </c>
      <c r="L568" s="7">
        <v>507000</v>
      </c>
      <c r="M568" s="7">
        <v>875000</v>
      </c>
      <c r="N568" s="7">
        <v>103500</v>
      </c>
      <c r="O568" s="7">
        <v>157000</v>
      </c>
      <c r="P568" s="7">
        <v>114500</v>
      </c>
      <c r="Q568" s="8">
        <v>496500</v>
      </c>
      <c r="R568" s="8">
        <v>460000</v>
      </c>
      <c r="S568" s="8">
        <v>392000</v>
      </c>
      <c r="T568" s="8">
        <v>40900</v>
      </c>
      <c r="U568" s="8">
        <v>144000</v>
      </c>
      <c r="V568" s="7">
        <v>400000</v>
      </c>
      <c r="W568" s="7">
        <v>28509</v>
      </c>
      <c r="X568" s="7">
        <v>287500</v>
      </c>
      <c r="Y568" s="7">
        <v>26450</v>
      </c>
      <c r="Z568" s="7">
        <v>74590</v>
      </c>
      <c r="AA568" s="8">
        <v>158500</v>
      </c>
      <c r="AB568" s="8">
        <v>437500</v>
      </c>
      <c r="AC568" s="8">
        <v>17600</v>
      </c>
      <c r="AD568" s="8">
        <v>200500</v>
      </c>
      <c r="AE568" s="8">
        <v>53600</v>
      </c>
      <c r="AF568" s="7">
        <v>38250</v>
      </c>
      <c r="AG568" s="7">
        <v>102000</v>
      </c>
      <c r="AH568" s="7">
        <v>54600</v>
      </c>
      <c r="AI568" s="7">
        <v>64400</v>
      </c>
      <c r="AJ568" s="7">
        <v>34450</v>
      </c>
      <c r="AK568" s="8">
        <v>26250</v>
      </c>
      <c r="AL568" s="8">
        <v>190500</v>
      </c>
      <c r="AM568" s="8">
        <v>252000</v>
      </c>
      <c r="AN568" s="8">
        <v>35150</v>
      </c>
      <c r="AO568" s="8">
        <v>11350</v>
      </c>
      <c r="AP568" s="7">
        <v>370000</v>
      </c>
      <c r="AQ568" s="7">
        <v>424000</v>
      </c>
      <c r="AR568" s="7">
        <v>14200</v>
      </c>
      <c r="AS568" s="7">
        <v>48400</v>
      </c>
      <c r="AT568" s="7">
        <v>99193</v>
      </c>
      <c r="AU568" s="8">
        <v>132000</v>
      </c>
      <c r="AV568" s="8">
        <v>43950</v>
      </c>
      <c r="AW568" s="8">
        <v>7450</v>
      </c>
      <c r="AX568" s="8">
        <v>222500</v>
      </c>
      <c r="AY568" s="8">
        <v>55600</v>
      </c>
    </row>
    <row r="569" spans="1:51" x14ac:dyDescent="0.4">
      <c r="A569" s="12">
        <v>40623</v>
      </c>
      <c r="B569" s="9">
        <v>61600</v>
      </c>
      <c r="C569" s="9">
        <v>28500</v>
      </c>
      <c r="D569" s="9">
        <v>80500</v>
      </c>
      <c r="E569" s="9">
        <v>226500</v>
      </c>
      <c r="F569" s="9">
        <v>64200</v>
      </c>
      <c r="G569" s="10">
        <v>60400</v>
      </c>
      <c r="H569" s="10">
        <v>76300</v>
      </c>
      <c r="I569" s="10">
        <v>158500</v>
      </c>
      <c r="J569" s="10">
        <v>139000</v>
      </c>
      <c r="K569" s="10">
        <v>181000</v>
      </c>
      <c r="L569" s="9">
        <v>508000</v>
      </c>
      <c r="M569" s="9">
        <v>890000</v>
      </c>
      <c r="N569" s="9">
        <v>105000</v>
      </c>
      <c r="O569" s="9">
        <v>163000</v>
      </c>
      <c r="P569" s="9">
        <v>115000</v>
      </c>
      <c r="Q569" s="10">
        <v>479000</v>
      </c>
      <c r="R569" s="10">
        <v>450000</v>
      </c>
      <c r="S569" s="10">
        <v>373000</v>
      </c>
      <c r="T569" s="10">
        <v>39550</v>
      </c>
      <c r="U569" s="10">
        <v>140500</v>
      </c>
      <c r="V569" s="9">
        <v>380000</v>
      </c>
      <c r="W569" s="9">
        <v>28952</v>
      </c>
      <c r="X569" s="9">
        <v>279000</v>
      </c>
      <c r="Y569" s="9">
        <v>26450</v>
      </c>
      <c r="Z569" s="9">
        <v>74785</v>
      </c>
      <c r="AA569" s="10">
        <v>160500</v>
      </c>
      <c r="AB569" s="10">
        <v>421500</v>
      </c>
      <c r="AC569" s="10">
        <v>17500</v>
      </c>
      <c r="AD569" s="10">
        <v>200500</v>
      </c>
      <c r="AE569" s="10">
        <v>53600</v>
      </c>
      <c r="AF569" s="9">
        <v>38700</v>
      </c>
      <c r="AG569" s="9">
        <v>102500</v>
      </c>
      <c r="AH569" s="9">
        <v>54400</v>
      </c>
      <c r="AI569" s="9">
        <v>65000</v>
      </c>
      <c r="AJ569" s="9">
        <v>35000</v>
      </c>
      <c r="AK569" s="10">
        <v>26050</v>
      </c>
      <c r="AL569" s="10">
        <v>191500</v>
      </c>
      <c r="AM569" s="10">
        <v>249500</v>
      </c>
      <c r="AN569" s="10">
        <v>34200</v>
      </c>
      <c r="AO569" s="10">
        <v>11500</v>
      </c>
      <c r="AP569" s="9">
        <v>374500</v>
      </c>
      <c r="AQ569" s="9">
        <v>415000</v>
      </c>
      <c r="AR569" s="9">
        <v>14550</v>
      </c>
      <c r="AS569" s="9">
        <v>49250</v>
      </c>
      <c r="AT569" s="9">
        <v>99682</v>
      </c>
      <c r="AU569" s="10">
        <v>142000</v>
      </c>
      <c r="AV569" s="10">
        <v>43550</v>
      </c>
      <c r="AW569" s="10">
        <v>7530</v>
      </c>
      <c r="AX569" s="10">
        <v>213500</v>
      </c>
      <c r="AY569" s="10">
        <v>56300</v>
      </c>
    </row>
    <row r="570" spans="1:51" x14ac:dyDescent="0.4">
      <c r="A570" s="11">
        <v>40620</v>
      </c>
      <c r="B570" s="7">
        <v>60900</v>
      </c>
      <c r="C570" s="7">
        <v>28550</v>
      </c>
      <c r="D570" s="7">
        <v>79700</v>
      </c>
      <c r="E570" s="7">
        <v>227000</v>
      </c>
      <c r="F570" s="7">
        <v>63900</v>
      </c>
      <c r="G570" s="8">
        <v>57800</v>
      </c>
      <c r="H570" s="8">
        <v>75100</v>
      </c>
      <c r="I570" s="8">
        <v>151000</v>
      </c>
      <c r="J570" s="8">
        <v>138000</v>
      </c>
      <c r="K570" s="8">
        <v>179500</v>
      </c>
      <c r="L570" s="7">
        <v>502000</v>
      </c>
      <c r="M570" s="7">
        <v>891000</v>
      </c>
      <c r="N570" s="7">
        <v>104000</v>
      </c>
      <c r="O570" s="7">
        <v>165000</v>
      </c>
      <c r="P570" s="7">
        <v>113000</v>
      </c>
      <c r="Q570" s="8">
        <v>473000</v>
      </c>
      <c r="R570" s="8">
        <v>428500</v>
      </c>
      <c r="S570" s="8">
        <v>371500</v>
      </c>
      <c r="T570" s="8">
        <v>38200</v>
      </c>
      <c r="U570" s="8">
        <v>140000</v>
      </c>
      <c r="V570" s="7">
        <v>374000</v>
      </c>
      <c r="W570" s="7">
        <v>27672</v>
      </c>
      <c r="X570" s="7">
        <v>276000</v>
      </c>
      <c r="Y570" s="7">
        <v>26100</v>
      </c>
      <c r="Z570" s="7">
        <v>74688</v>
      </c>
      <c r="AA570" s="8">
        <v>158000</v>
      </c>
      <c r="AB570" s="8">
        <v>405000</v>
      </c>
      <c r="AC570" s="8">
        <v>17200</v>
      </c>
      <c r="AD570" s="8">
        <v>198500</v>
      </c>
      <c r="AE570" s="8">
        <v>53100</v>
      </c>
      <c r="AF570" s="7">
        <v>37950</v>
      </c>
      <c r="AG570" s="7">
        <v>104000</v>
      </c>
      <c r="AH570" s="7">
        <v>54400</v>
      </c>
      <c r="AI570" s="7">
        <v>61500</v>
      </c>
      <c r="AJ570" s="7">
        <v>34850</v>
      </c>
      <c r="AK570" s="8">
        <v>26050</v>
      </c>
      <c r="AL570" s="8">
        <v>187500</v>
      </c>
      <c r="AM570" s="8">
        <v>242000</v>
      </c>
      <c r="AN570" s="8">
        <v>33100</v>
      </c>
      <c r="AO570" s="8">
        <v>11250</v>
      </c>
      <c r="AP570" s="7">
        <v>370000</v>
      </c>
      <c r="AQ570" s="7">
        <v>413000</v>
      </c>
      <c r="AR570" s="7">
        <v>14400</v>
      </c>
      <c r="AS570" s="7">
        <v>49900</v>
      </c>
      <c r="AT570" s="7">
        <v>98216</v>
      </c>
      <c r="AU570" s="8">
        <v>142000</v>
      </c>
      <c r="AV570" s="8">
        <v>43300</v>
      </c>
      <c r="AW570" s="8">
        <v>7650</v>
      </c>
      <c r="AX570" s="8">
        <v>209500</v>
      </c>
      <c r="AY570" s="8">
        <v>56500</v>
      </c>
    </row>
    <row r="571" spans="1:51" x14ac:dyDescent="0.4">
      <c r="A571" s="11">
        <v>40619</v>
      </c>
      <c r="B571" s="7">
        <v>59500</v>
      </c>
      <c r="C571" s="7">
        <v>28950</v>
      </c>
      <c r="D571" s="7">
        <v>76400</v>
      </c>
      <c r="E571" s="7">
        <v>227500</v>
      </c>
      <c r="F571" s="7">
        <v>62300</v>
      </c>
      <c r="G571" s="8">
        <v>58500</v>
      </c>
      <c r="H571" s="8">
        <v>73600</v>
      </c>
      <c r="I571" s="8">
        <v>147000</v>
      </c>
      <c r="J571" s="8">
        <v>134000</v>
      </c>
      <c r="K571" s="8">
        <v>178500</v>
      </c>
      <c r="L571" s="7">
        <v>486500</v>
      </c>
      <c r="M571" s="7">
        <v>890000</v>
      </c>
      <c r="N571" s="7">
        <v>98300</v>
      </c>
      <c r="O571" s="7">
        <v>165000</v>
      </c>
      <c r="P571" s="7">
        <v>112500</v>
      </c>
      <c r="Q571" s="8">
        <v>470500</v>
      </c>
      <c r="R571" s="8">
        <v>431500</v>
      </c>
      <c r="S571" s="8">
        <v>366500</v>
      </c>
      <c r="T571" s="8">
        <v>37450</v>
      </c>
      <c r="U571" s="8">
        <v>139500</v>
      </c>
      <c r="V571" s="7">
        <v>380000</v>
      </c>
      <c r="W571" s="7">
        <v>27278</v>
      </c>
      <c r="X571" s="7">
        <v>271000</v>
      </c>
      <c r="Y571" s="7">
        <v>26300</v>
      </c>
      <c r="Z571" s="7">
        <v>73710</v>
      </c>
      <c r="AA571" s="8">
        <v>160000</v>
      </c>
      <c r="AB571" s="8">
        <v>413500</v>
      </c>
      <c r="AC571" s="8">
        <v>17000</v>
      </c>
      <c r="AD571" s="8">
        <v>187500</v>
      </c>
      <c r="AE571" s="8">
        <v>52600</v>
      </c>
      <c r="AF571" s="7">
        <v>37850</v>
      </c>
      <c r="AG571" s="7">
        <v>101500</v>
      </c>
      <c r="AH571" s="7">
        <v>54900</v>
      </c>
      <c r="AI571" s="7">
        <v>58600</v>
      </c>
      <c r="AJ571" s="7">
        <v>35250</v>
      </c>
      <c r="AK571" s="8">
        <v>25500</v>
      </c>
      <c r="AL571" s="8">
        <v>187000</v>
      </c>
      <c r="AM571" s="8">
        <v>243000</v>
      </c>
      <c r="AN571" s="8">
        <v>33100</v>
      </c>
      <c r="AO571" s="8">
        <v>10750</v>
      </c>
      <c r="AP571" s="7">
        <v>365000</v>
      </c>
      <c r="AQ571" s="7">
        <v>418000</v>
      </c>
      <c r="AR571" s="7">
        <v>14400</v>
      </c>
      <c r="AS571" s="7">
        <v>49550</v>
      </c>
      <c r="AT571" s="7">
        <v>97141</v>
      </c>
      <c r="AU571" s="8">
        <v>139500</v>
      </c>
      <c r="AV571" s="8">
        <v>42550</v>
      </c>
      <c r="AW571" s="8">
        <v>7370</v>
      </c>
      <c r="AX571" s="8">
        <v>207500</v>
      </c>
      <c r="AY571" s="8">
        <v>56400</v>
      </c>
    </row>
    <row r="572" spans="1:51" x14ac:dyDescent="0.4">
      <c r="A572" s="11">
        <v>40618</v>
      </c>
      <c r="B572" s="7">
        <v>60400</v>
      </c>
      <c r="C572" s="7">
        <v>29200</v>
      </c>
      <c r="D572" s="7">
        <v>76800</v>
      </c>
      <c r="E572" s="7">
        <v>232500</v>
      </c>
      <c r="F572" s="7">
        <v>62000</v>
      </c>
      <c r="G572" s="8">
        <v>58700</v>
      </c>
      <c r="H572" s="8">
        <v>74400</v>
      </c>
      <c r="I572" s="8">
        <v>136000</v>
      </c>
      <c r="J572" s="8">
        <v>133000</v>
      </c>
      <c r="K572" s="8">
        <v>182000</v>
      </c>
      <c r="L572" s="7">
        <v>482000</v>
      </c>
      <c r="M572" s="7">
        <v>886000</v>
      </c>
      <c r="N572" s="7">
        <v>98000</v>
      </c>
      <c r="O572" s="7">
        <v>167500</v>
      </c>
      <c r="P572" s="7">
        <v>116500</v>
      </c>
      <c r="Q572" s="8">
        <v>453000</v>
      </c>
      <c r="R572" s="8">
        <v>442500</v>
      </c>
      <c r="S572" s="8">
        <v>361000</v>
      </c>
      <c r="T572" s="8">
        <v>36800</v>
      </c>
      <c r="U572" s="8">
        <v>138000</v>
      </c>
      <c r="V572" s="7">
        <v>373000</v>
      </c>
      <c r="W572" s="7">
        <v>27229</v>
      </c>
      <c r="X572" s="7">
        <v>270000</v>
      </c>
      <c r="Y572" s="7">
        <v>26500</v>
      </c>
      <c r="Z572" s="7">
        <v>71071</v>
      </c>
      <c r="AA572" s="8">
        <v>160000</v>
      </c>
      <c r="AB572" s="8">
        <v>424500</v>
      </c>
      <c r="AC572" s="8">
        <v>16800</v>
      </c>
      <c r="AD572" s="8">
        <v>189500</v>
      </c>
      <c r="AE572" s="8">
        <v>54100</v>
      </c>
      <c r="AF572" s="7">
        <v>38300</v>
      </c>
      <c r="AG572" s="7">
        <v>102000</v>
      </c>
      <c r="AH572" s="7">
        <v>55600</v>
      </c>
      <c r="AI572" s="7">
        <v>58700</v>
      </c>
      <c r="AJ572" s="7">
        <v>35900</v>
      </c>
      <c r="AK572" s="8">
        <v>26200</v>
      </c>
      <c r="AL572" s="8">
        <v>188000</v>
      </c>
      <c r="AM572" s="8">
        <v>237500</v>
      </c>
      <c r="AN572" s="8">
        <v>31700</v>
      </c>
      <c r="AO572" s="8">
        <v>10700</v>
      </c>
      <c r="AP572" s="7">
        <v>360000</v>
      </c>
      <c r="AQ572" s="7">
        <v>412500</v>
      </c>
      <c r="AR572" s="7">
        <v>14500</v>
      </c>
      <c r="AS572" s="7">
        <v>49500</v>
      </c>
      <c r="AT572" s="7">
        <v>100170</v>
      </c>
      <c r="AU572" s="8">
        <v>138500</v>
      </c>
      <c r="AV572" s="8">
        <v>44000</v>
      </c>
      <c r="AW572" s="8">
        <v>7200</v>
      </c>
      <c r="AX572" s="8">
        <v>199500</v>
      </c>
      <c r="AY572" s="8">
        <v>55900</v>
      </c>
    </row>
    <row r="573" spans="1:51" x14ac:dyDescent="0.4">
      <c r="A573" s="11">
        <v>40617</v>
      </c>
      <c r="B573" s="7">
        <v>59200</v>
      </c>
      <c r="C573" s="7">
        <v>28700</v>
      </c>
      <c r="D573" s="7">
        <v>76400</v>
      </c>
      <c r="E573" s="7">
        <v>234500</v>
      </c>
      <c r="F573" s="7">
        <v>60000</v>
      </c>
      <c r="G573" s="8">
        <v>56500</v>
      </c>
      <c r="H573" s="8">
        <v>73000</v>
      </c>
      <c r="I573" s="8">
        <v>130000</v>
      </c>
      <c r="J573" s="8">
        <v>131000</v>
      </c>
      <c r="K573" s="8">
        <v>181500</v>
      </c>
      <c r="L573" s="7">
        <v>471000</v>
      </c>
      <c r="M573" s="7">
        <v>860000</v>
      </c>
      <c r="N573" s="7">
        <v>98600</v>
      </c>
      <c r="O573" s="7">
        <v>168500</v>
      </c>
      <c r="P573" s="7">
        <v>116500</v>
      </c>
      <c r="Q573" s="8">
        <v>429500</v>
      </c>
      <c r="R573" s="8">
        <v>421500</v>
      </c>
      <c r="S573" s="8">
        <v>374000</v>
      </c>
      <c r="T573" s="8">
        <v>34150</v>
      </c>
      <c r="U573" s="8">
        <v>139000</v>
      </c>
      <c r="V573" s="7">
        <v>382000</v>
      </c>
      <c r="W573" s="7">
        <v>26884</v>
      </c>
      <c r="X573" s="7">
        <v>264500</v>
      </c>
      <c r="Y573" s="7">
        <v>25800</v>
      </c>
      <c r="Z573" s="7">
        <v>68529</v>
      </c>
      <c r="AA573" s="8">
        <v>157000</v>
      </c>
      <c r="AB573" s="8">
        <v>419000</v>
      </c>
      <c r="AC573" s="8">
        <v>16500</v>
      </c>
      <c r="AD573" s="8">
        <v>185500</v>
      </c>
      <c r="AE573" s="8">
        <v>53600</v>
      </c>
      <c r="AF573" s="7">
        <v>37850</v>
      </c>
      <c r="AG573" s="7">
        <v>100500</v>
      </c>
      <c r="AH573" s="7">
        <v>56200</v>
      </c>
      <c r="AI573" s="7">
        <v>55600</v>
      </c>
      <c r="AJ573" s="7">
        <v>36000</v>
      </c>
      <c r="AK573" s="8">
        <v>25200</v>
      </c>
      <c r="AL573" s="8">
        <v>182000</v>
      </c>
      <c r="AM573" s="8">
        <v>243000</v>
      </c>
      <c r="AN573" s="8">
        <v>29150</v>
      </c>
      <c r="AO573" s="8">
        <v>10600</v>
      </c>
      <c r="AP573" s="7">
        <v>360000</v>
      </c>
      <c r="AQ573" s="7">
        <v>407500</v>
      </c>
      <c r="AR573" s="7">
        <v>14150</v>
      </c>
      <c r="AS573" s="7">
        <v>47050</v>
      </c>
      <c r="AT573" s="7">
        <v>99193</v>
      </c>
      <c r="AU573" s="8">
        <v>137000</v>
      </c>
      <c r="AV573" s="8">
        <v>42000</v>
      </c>
      <c r="AW573" s="8">
        <v>7050</v>
      </c>
      <c r="AX573" s="8">
        <v>198500</v>
      </c>
      <c r="AY573" s="8">
        <v>54000</v>
      </c>
    </row>
    <row r="574" spans="1:51" x14ac:dyDescent="0.4">
      <c r="A574" s="12">
        <v>40616</v>
      </c>
      <c r="B574" s="9">
        <v>61200</v>
      </c>
      <c r="C574" s="9">
        <v>30100</v>
      </c>
      <c r="D574" s="9">
        <v>77500</v>
      </c>
      <c r="E574" s="9">
        <v>234000</v>
      </c>
      <c r="F574" s="9">
        <v>61500</v>
      </c>
      <c r="G574" s="10">
        <v>56900</v>
      </c>
      <c r="H574" s="10">
        <v>74400</v>
      </c>
      <c r="I574" s="10">
        <v>137000</v>
      </c>
      <c r="J574" s="10">
        <v>136000</v>
      </c>
      <c r="K574" s="10">
        <v>185500</v>
      </c>
      <c r="L574" s="9">
        <v>488000</v>
      </c>
      <c r="M574" s="9">
        <v>900000</v>
      </c>
      <c r="N574" s="9">
        <v>101000</v>
      </c>
      <c r="O574" s="9">
        <v>167000</v>
      </c>
      <c r="P574" s="9">
        <v>119000</v>
      </c>
      <c r="Q574" s="10">
        <v>432000</v>
      </c>
      <c r="R574" s="10">
        <v>404000</v>
      </c>
      <c r="S574" s="10">
        <v>375000</v>
      </c>
      <c r="T574" s="10">
        <v>34300</v>
      </c>
      <c r="U574" s="10">
        <v>140000</v>
      </c>
      <c r="V574" s="9">
        <v>385000</v>
      </c>
      <c r="W574" s="9">
        <v>26933</v>
      </c>
      <c r="X574" s="9">
        <v>272000</v>
      </c>
      <c r="Y574" s="9">
        <v>26450</v>
      </c>
      <c r="Z574" s="9">
        <v>72341</v>
      </c>
      <c r="AA574" s="10">
        <v>160500</v>
      </c>
      <c r="AB574" s="10">
        <v>419500</v>
      </c>
      <c r="AC574" s="10">
        <v>16900</v>
      </c>
      <c r="AD574" s="10">
        <v>190000</v>
      </c>
      <c r="AE574" s="10">
        <v>55200</v>
      </c>
      <c r="AF574" s="9">
        <v>38650</v>
      </c>
      <c r="AG574" s="9">
        <v>104000</v>
      </c>
      <c r="AH574" s="9">
        <v>57500</v>
      </c>
      <c r="AI574" s="9">
        <v>58000</v>
      </c>
      <c r="AJ574" s="9">
        <v>36500</v>
      </c>
      <c r="AK574" s="10">
        <v>26000</v>
      </c>
      <c r="AL574" s="10">
        <v>185000</v>
      </c>
      <c r="AM574" s="10">
        <v>241000</v>
      </c>
      <c r="AN574" s="10">
        <v>29000</v>
      </c>
      <c r="AO574" s="10">
        <v>10900</v>
      </c>
      <c r="AP574" s="9">
        <v>372000</v>
      </c>
      <c r="AQ574" s="9">
        <v>409500</v>
      </c>
      <c r="AR574" s="9">
        <v>14450</v>
      </c>
      <c r="AS574" s="9">
        <v>48300</v>
      </c>
      <c r="AT574" s="9">
        <v>102614</v>
      </c>
      <c r="AU574" s="10">
        <v>141000</v>
      </c>
      <c r="AV574" s="10">
        <v>44000</v>
      </c>
      <c r="AW574" s="10">
        <v>7230</v>
      </c>
      <c r="AX574" s="10">
        <v>198500</v>
      </c>
      <c r="AY574" s="10">
        <v>55200</v>
      </c>
    </row>
    <row r="575" spans="1:51" x14ac:dyDescent="0.4">
      <c r="A575" s="11">
        <v>40613</v>
      </c>
      <c r="B575" s="7">
        <v>60600</v>
      </c>
      <c r="C575" s="7">
        <v>27700</v>
      </c>
      <c r="D575" s="7">
        <v>77200</v>
      </c>
      <c r="E575" s="7">
        <v>235500</v>
      </c>
      <c r="F575" s="7">
        <v>65700</v>
      </c>
      <c r="G575" s="8">
        <v>61400</v>
      </c>
      <c r="H575" s="8">
        <v>73000</v>
      </c>
      <c r="I575" s="8">
        <v>129000</v>
      </c>
      <c r="J575" s="8">
        <v>123500</v>
      </c>
      <c r="K575" s="8">
        <v>182500</v>
      </c>
      <c r="L575" s="7">
        <v>450500</v>
      </c>
      <c r="M575" s="7">
        <v>862000</v>
      </c>
      <c r="N575" s="7">
        <v>102000</v>
      </c>
      <c r="O575" s="7">
        <v>166000</v>
      </c>
      <c r="P575" s="7">
        <v>118000</v>
      </c>
      <c r="Q575" s="8">
        <v>435000</v>
      </c>
      <c r="R575" s="8">
        <v>404500</v>
      </c>
      <c r="S575" s="8">
        <v>367500</v>
      </c>
      <c r="T575" s="8">
        <v>34600</v>
      </c>
      <c r="U575" s="8">
        <v>124000</v>
      </c>
      <c r="V575" s="7">
        <v>346500</v>
      </c>
      <c r="W575" s="7">
        <v>28558</v>
      </c>
      <c r="X575" s="7">
        <v>271000</v>
      </c>
      <c r="Y575" s="7">
        <v>27050</v>
      </c>
      <c r="Z575" s="7">
        <v>75567</v>
      </c>
      <c r="AA575" s="8">
        <v>160500</v>
      </c>
      <c r="AB575" s="8">
        <v>427000</v>
      </c>
      <c r="AC575" s="8">
        <v>17200</v>
      </c>
      <c r="AD575" s="8">
        <v>186000</v>
      </c>
      <c r="AE575" s="8">
        <v>55300</v>
      </c>
      <c r="AF575" s="7">
        <v>39650</v>
      </c>
      <c r="AG575" s="7">
        <v>106500</v>
      </c>
      <c r="AH575" s="7">
        <v>56800</v>
      </c>
      <c r="AI575" s="7">
        <v>65000</v>
      </c>
      <c r="AJ575" s="7">
        <v>35000</v>
      </c>
      <c r="AK575" s="8">
        <v>26000</v>
      </c>
      <c r="AL575" s="8">
        <v>185000</v>
      </c>
      <c r="AM575" s="8">
        <v>250000</v>
      </c>
      <c r="AN575" s="8">
        <v>30550</v>
      </c>
      <c r="AO575" s="8">
        <v>11200</v>
      </c>
      <c r="AP575" s="7">
        <v>368000</v>
      </c>
      <c r="AQ575" s="7">
        <v>388500</v>
      </c>
      <c r="AR575" s="7">
        <v>14600</v>
      </c>
      <c r="AS575" s="7">
        <v>48900</v>
      </c>
      <c r="AT575" s="7">
        <v>103591</v>
      </c>
      <c r="AU575" s="8">
        <v>143500</v>
      </c>
      <c r="AV575" s="8">
        <v>46150</v>
      </c>
      <c r="AW575" s="8">
        <v>7590</v>
      </c>
      <c r="AX575" s="8">
        <v>186000</v>
      </c>
      <c r="AY575" s="8">
        <v>56100</v>
      </c>
    </row>
    <row r="576" spans="1:51" x14ac:dyDescent="0.4">
      <c r="A576" s="11">
        <v>40612</v>
      </c>
      <c r="B576" s="7">
        <v>61600</v>
      </c>
      <c r="C576" s="7">
        <v>27700</v>
      </c>
      <c r="D576" s="7">
        <v>78800</v>
      </c>
      <c r="E576" s="7">
        <v>238000</v>
      </c>
      <c r="F576" s="7">
        <v>68700</v>
      </c>
      <c r="G576" s="8">
        <v>62200</v>
      </c>
      <c r="H576" s="8">
        <v>73700</v>
      </c>
      <c r="I576" s="8">
        <v>138500</v>
      </c>
      <c r="J576" s="8">
        <v>125500</v>
      </c>
      <c r="K576" s="8">
        <v>188500</v>
      </c>
      <c r="L576" s="7">
        <v>456000</v>
      </c>
      <c r="M576" s="7">
        <v>866000</v>
      </c>
      <c r="N576" s="7">
        <v>106000</v>
      </c>
      <c r="O576" s="7">
        <v>167500</v>
      </c>
      <c r="P576" s="7">
        <v>119500</v>
      </c>
      <c r="Q576" s="8">
        <v>445000</v>
      </c>
      <c r="R576" s="8">
        <v>417000</v>
      </c>
      <c r="S576" s="8">
        <v>367500</v>
      </c>
      <c r="T576" s="8">
        <v>35150</v>
      </c>
      <c r="U576" s="8">
        <v>126000</v>
      </c>
      <c r="V576" s="7">
        <v>355500</v>
      </c>
      <c r="W576" s="7">
        <v>27721</v>
      </c>
      <c r="X576" s="7">
        <v>277500</v>
      </c>
      <c r="Y576" s="7">
        <v>27250</v>
      </c>
      <c r="Z576" s="7">
        <v>77132</v>
      </c>
      <c r="AA576" s="8">
        <v>163500</v>
      </c>
      <c r="AB576" s="8">
        <v>427500</v>
      </c>
      <c r="AC576" s="8">
        <v>17350</v>
      </c>
      <c r="AD576" s="8">
        <v>192500</v>
      </c>
      <c r="AE576" s="8">
        <v>55500</v>
      </c>
      <c r="AF576" s="7">
        <v>39600</v>
      </c>
      <c r="AG576" s="7">
        <v>106000</v>
      </c>
      <c r="AH576" s="7">
        <v>57300</v>
      </c>
      <c r="AI576" s="7">
        <v>67000</v>
      </c>
      <c r="AJ576" s="7">
        <v>34250</v>
      </c>
      <c r="AK576" s="8">
        <v>26000</v>
      </c>
      <c r="AL576" s="8">
        <v>189000</v>
      </c>
      <c r="AM576" s="8">
        <v>251000</v>
      </c>
      <c r="AN576" s="8">
        <v>31800</v>
      </c>
      <c r="AO576" s="8">
        <v>11550</v>
      </c>
      <c r="AP576" s="7">
        <v>369500</v>
      </c>
      <c r="AQ576" s="7">
        <v>401000</v>
      </c>
      <c r="AR576" s="7">
        <v>14700</v>
      </c>
      <c r="AS576" s="7">
        <v>49650</v>
      </c>
      <c r="AT576" s="7">
        <v>105057</v>
      </c>
      <c r="AU576" s="8">
        <v>148000</v>
      </c>
      <c r="AV576" s="8">
        <v>47200</v>
      </c>
      <c r="AW576" s="8">
        <v>7660</v>
      </c>
      <c r="AX576" s="8">
        <v>191500</v>
      </c>
      <c r="AY576" s="8">
        <v>56900</v>
      </c>
    </row>
    <row r="577" spans="1:51" x14ac:dyDescent="0.4">
      <c r="A577" s="11">
        <v>40611</v>
      </c>
      <c r="B577" s="7">
        <v>62900</v>
      </c>
      <c r="C577" s="7">
        <v>28400</v>
      </c>
      <c r="D577" s="7">
        <v>80100</v>
      </c>
      <c r="E577" s="7">
        <v>240000</v>
      </c>
      <c r="F577" s="7">
        <v>69200</v>
      </c>
      <c r="G577" s="8">
        <v>62700</v>
      </c>
      <c r="H577" s="8">
        <v>76500</v>
      </c>
      <c r="I577" s="8">
        <v>141000</v>
      </c>
      <c r="J577" s="8">
        <v>129500</v>
      </c>
      <c r="K577" s="8">
        <v>188500</v>
      </c>
      <c r="L577" s="7">
        <v>465500</v>
      </c>
      <c r="M577" s="7">
        <v>890000</v>
      </c>
      <c r="N577" s="7">
        <v>104000</v>
      </c>
      <c r="O577" s="7">
        <v>169500</v>
      </c>
      <c r="P577" s="7">
        <v>122500</v>
      </c>
      <c r="Q577" s="8">
        <v>453000</v>
      </c>
      <c r="R577" s="8">
        <v>417500</v>
      </c>
      <c r="S577" s="8">
        <v>354000</v>
      </c>
      <c r="T577" s="8">
        <v>36350</v>
      </c>
      <c r="U577" s="8">
        <v>124500</v>
      </c>
      <c r="V577" s="7">
        <v>348500</v>
      </c>
      <c r="W577" s="7">
        <v>28509</v>
      </c>
      <c r="X577" s="7">
        <v>280000</v>
      </c>
      <c r="Y577" s="7">
        <v>27450</v>
      </c>
      <c r="Z577" s="7">
        <v>77914</v>
      </c>
      <c r="AA577" s="8">
        <v>166000</v>
      </c>
      <c r="AB577" s="8">
        <v>430000</v>
      </c>
      <c r="AC577" s="8">
        <v>17750</v>
      </c>
      <c r="AD577" s="8">
        <v>193000</v>
      </c>
      <c r="AE577" s="8">
        <v>56600</v>
      </c>
      <c r="AF577" s="7">
        <v>39900</v>
      </c>
      <c r="AG577" s="7">
        <v>108500</v>
      </c>
      <c r="AH577" s="7">
        <v>58500</v>
      </c>
      <c r="AI577" s="7">
        <v>66900</v>
      </c>
      <c r="AJ577" s="7">
        <v>35500</v>
      </c>
      <c r="AK577" s="8">
        <v>25900</v>
      </c>
      <c r="AL577" s="8">
        <v>188000</v>
      </c>
      <c r="AM577" s="8">
        <v>248500</v>
      </c>
      <c r="AN577" s="8">
        <v>32800</v>
      </c>
      <c r="AO577" s="8">
        <v>11450</v>
      </c>
      <c r="AP577" s="7">
        <v>362500</v>
      </c>
      <c r="AQ577" s="7">
        <v>399000</v>
      </c>
      <c r="AR577" s="7">
        <v>14650</v>
      </c>
      <c r="AS577" s="7">
        <v>50900</v>
      </c>
      <c r="AT577" s="7">
        <v>107011</v>
      </c>
      <c r="AU577" s="8">
        <v>145000</v>
      </c>
      <c r="AV577" s="8">
        <v>47650</v>
      </c>
      <c r="AW577" s="8">
        <v>7890</v>
      </c>
      <c r="AX577" s="8">
        <v>192000</v>
      </c>
      <c r="AY577" s="8">
        <v>58000</v>
      </c>
    </row>
    <row r="578" spans="1:51" x14ac:dyDescent="0.4">
      <c r="A578" s="11">
        <v>40610</v>
      </c>
      <c r="B578" s="7">
        <v>62600</v>
      </c>
      <c r="C578" s="7">
        <v>28650</v>
      </c>
      <c r="D578" s="7">
        <v>80600</v>
      </c>
      <c r="E578" s="7">
        <v>240000</v>
      </c>
      <c r="F578" s="7">
        <v>68600</v>
      </c>
      <c r="G578" s="8">
        <v>62100</v>
      </c>
      <c r="H578" s="8">
        <v>77200</v>
      </c>
      <c r="I578" s="8">
        <v>141000</v>
      </c>
      <c r="J578" s="8">
        <v>129500</v>
      </c>
      <c r="K578" s="8">
        <v>185000</v>
      </c>
      <c r="L578" s="7">
        <v>461500</v>
      </c>
      <c r="M578" s="7">
        <v>899000</v>
      </c>
      <c r="N578" s="7">
        <v>104500</v>
      </c>
      <c r="O578" s="7">
        <v>174500</v>
      </c>
      <c r="P578" s="7">
        <v>130500</v>
      </c>
      <c r="Q578" s="8">
        <v>451500</v>
      </c>
      <c r="R578" s="8">
        <v>403000</v>
      </c>
      <c r="S578" s="8">
        <v>355000</v>
      </c>
      <c r="T578" s="8">
        <v>37650</v>
      </c>
      <c r="U578" s="8">
        <v>121500</v>
      </c>
      <c r="V578" s="7">
        <v>347500</v>
      </c>
      <c r="W578" s="7">
        <v>27820</v>
      </c>
      <c r="X578" s="7">
        <v>277500</v>
      </c>
      <c r="Y578" s="7">
        <v>27350</v>
      </c>
      <c r="Z578" s="7">
        <v>76545</v>
      </c>
      <c r="AA578" s="8">
        <v>163500</v>
      </c>
      <c r="AB578" s="8">
        <v>423000</v>
      </c>
      <c r="AC578" s="8">
        <v>17300</v>
      </c>
      <c r="AD578" s="8">
        <v>186500</v>
      </c>
      <c r="AE578" s="8">
        <v>56500</v>
      </c>
      <c r="AF578" s="7">
        <v>39550</v>
      </c>
      <c r="AG578" s="7">
        <v>109500</v>
      </c>
      <c r="AH578" s="7">
        <v>58600</v>
      </c>
      <c r="AI578" s="7">
        <v>69400</v>
      </c>
      <c r="AJ578" s="7">
        <v>35900</v>
      </c>
      <c r="AK578" s="8">
        <v>25850</v>
      </c>
      <c r="AL578" s="8">
        <v>187500</v>
      </c>
      <c r="AM578" s="8">
        <v>245500</v>
      </c>
      <c r="AN578" s="8">
        <v>33450</v>
      </c>
      <c r="AO578" s="8">
        <v>11450</v>
      </c>
      <c r="AP578" s="7">
        <v>370500</v>
      </c>
      <c r="AQ578" s="7">
        <v>388000</v>
      </c>
      <c r="AR578" s="7">
        <v>14150</v>
      </c>
      <c r="AS578" s="7">
        <v>50300</v>
      </c>
      <c r="AT578" s="7">
        <v>109455</v>
      </c>
      <c r="AU578" s="8">
        <v>148000</v>
      </c>
      <c r="AV578" s="8">
        <v>48250</v>
      </c>
      <c r="AW578" s="8">
        <v>7790</v>
      </c>
      <c r="AX578" s="8">
        <v>187500</v>
      </c>
      <c r="AY578" s="8">
        <v>57800</v>
      </c>
    </row>
    <row r="579" spans="1:51" x14ac:dyDescent="0.4">
      <c r="A579" s="12">
        <v>40609</v>
      </c>
      <c r="B579" s="9">
        <v>63000</v>
      </c>
      <c r="C579" s="9">
        <v>28900</v>
      </c>
      <c r="D579" s="9">
        <v>80300</v>
      </c>
      <c r="E579" s="9">
        <v>237500</v>
      </c>
      <c r="F579" s="9">
        <v>66500</v>
      </c>
      <c r="G579" s="10">
        <v>61600</v>
      </c>
      <c r="H579" s="10">
        <v>77100</v>
      </c>
      <c r="I579" s="10">
        <v>138000</v>
      </c>
      <c r="J579" s="10">
        <v>128000</v>
      </c>
      <c r="K579" s="10">
        <v>182500</v>
      </c>
      <c r="L579" s="9">
        <v>457500</v>
      </c>
      <c r="M579" s="9">
        <v>906000</v>
      </c>
      <c r="N579" s="9">
        <v>101000</v>
      </c>
      <c r="O579" s="9">
        <v>173500</v>
      </c>
      <c r="P579" s="9">
        <v>131500</v>
      </c>
      <c r="Q579" s="10">
        <v>441500</v>
      </c>
      <c r="R579" s="10">
        <v>395500</v>
      </c>
      <c r="S579" s="10">
        <v>336500</v>
      </c>
      <c r="T579" s="10">
        <v>36950</v>
      </c>
      <c r="U579" s="10">
        <v>118500</v>
      </c>
      <c r="V579" s="9">
        <v>349500</v>
      </c>
      <c r="W579" s="9">
        <v>27820</v>
      </c>
      <c r="X579" s="9">
        <v>279000</v>
      </c>
      <c r="Y579" s="9">
        <v>27600</v>
      </c>
      <c r="Z579" s="9">
        <v>74199</v>
      </c>
      <c r="AA579" s="10">
        <v>162000</v>
      </c>
      <c r="AB579" s="10">
        <v>415000</v>
      </c>
      <c r="AC579" s="10">
        <v>17150</v>
      </c>
      <c r="AD579" s="10">
        <v>182500</v>
      </c>
      <c r="AE579" s="10">
        <v>55000</v>
      </c>
      <c r="AF579" s="9">
        <v>39500</v>
      </c>
      <c r="AG579" s="9">
        <v>107000</v>
      </c>
      <c r="AH579" s="9">
        <v>60000</v>
      </c>
      <c r="AI579" s="9">
        <v>69800</v>
      </c>
      <c r="AJ579" s="9">
        <v>35900</v>
      </c>
      <c r="AK579" s="10">
        <v>26000</v>
      </c>
      <c r="AL579" s="10">
        <v>186000</v>
      </c>
      <c r="AM579" s="10">
        <v>238000</v>
      </c>
      <c r="AN579" s="10">
        <v>32800</v>
      </c>
      <c r="AO579" s="10">
        <v>11250</v>
      </c>
      <c r="AP579" s="9">
        <v>364500</v>
      </c>
      <c r="AQ579" s="9">
        <v>386000</v>
      </c>
      <c r="AR579" s="9">
        <v>14050</v>
      </c>
      <c r="AS579" s="9">
        <v>49400</v>
      </c>
      <c r="AT579" s="9">
        <v>110920</v>
      </c>
      <c r="AU579" s="10">
        <v>146000</v>
      </c>
      <c r="AV579" s="10">
        <v>47750</v>
      </c>
      <c r="AW579" s="10">
        <v>7800</v>
      </c>
      <c r="AX579" s="10">
        <v>189000</v>
      </c>
      <c r="AY579" s="10">
        <v>57400</v>
      </c>
    </row>
    <row r="580" spans="1:51" x14ac:dyDescent="0.4">
      <c r="A580" s="11">
        <v>40606</v>
      </c>
      <c r="B580" s="7">
        <v>62500</v>
      </c>
      <c r="C580" s="7">
        <v>29200</v>
      </c>
      <c r="D580" s="7">
        <v>78200</v>
      </c>
      <c r="E580" s="7">
        <v>244000</v>
      </c>
      <c r="F580" s="7">
        <v>68500</v>
      </c>
      <c r="G580" s="8">
        <v>63600</v>
      </c>
      <c r="H580" s="8">
        <v>78300</v>
      </c>
      <c r="I580" s="8">
        <v>142000</v>
      </c>
      <c r="J580" s="8">
        <v>130500</v>
      </c>
      <c r="K580" s="8">
        <v>183500</v>
      </c>
      <c r="L580" s="7">
        <v>465000</v>
      </c>
      <c r="M580" s="7">
        <v>945000</v>
      </c>
      <c r="N580" s="7">
        <v>102000</v>
      </c>
      <c r="O580" s="7">
        <v>174000</v>
      </c>
      <c r="P580" s="7">
        <v>133500</v>
      </c>
      <c r="Q580" s="8">
        <v>443500</v>
      </c>
      <c r="R580" s="8">
        <v>402500</v>
      </c>
      <c r="S580" s="8">
        <v>332500</v>
      </c>
      <c r="T580" s="8">
        <v>37700</v>
      </c>
      <c r="U580" s="8">
        <v>114000</v>
      </c>
      <c r="V580" s="7">
        <v>347500</v>
      </c>
      <c r="W580" s="7">
        <v>28361</v>
      </c>
      <c r="X580" s="7">
        <v>287000</v>
      </c>
      <c r="Y580" s="7">
        <v>27500</v>
      </c>
      <c r="Z580" s="7">
        <v>76838</v>
      </c>
      <c r="AA580" s="8">
        <v>164500</v>
      </c>
      <c r="AB580" s="8">
        <v>407500</v>
      </c>
      <c r="AC580" s="8">
        <v>17200</v>
      </c>
      <c r="AD580" s="8">
        <v>190000</v>
      </c>
      <c r="AE580" s="8">
        <v>56000</v>
      </c>
      <c r="AF580" s="7">
        <v>39600</v>
      </c>
      <c r="AG580" s="7">
        <v>109500</v>
      </c>
      <c r="AH580" s="7">
        <v>60700</v>
      </c>
      <c r="AI580" s="7">
        <v>68700</v>
      </c>
      <c r="AJ580" s="7">
        <v>36200</v>
      </c>
      <c r="AK580" s="8">
        <v>26450</v>
      </c>
      <c r="AL580" s="8">
        <v>192500</v>
      </c>
      <c r="AM580" s="8">
        <v>240000</v>
      </c>
      <c r="AN580" s="8">
        <v>33800</v>
      </c>
      <c r="AO580" s="8">
        <v>11550</v>
      </c>
      <c r="AP580" s="7">
        <v>366000</v>
      </c>
      <c r="AQ580" s="7">
        <v>389000</v>
      </c>
      <c r="AR580" s="7">
        <v>14050</v>
      </c>
      <c r="AS580" s="7">
        <v>50000</v>
      </c>
      <c r="AT580" s="7">
        <v>112386</v>
      </c>
      <c r="AU580" s="8">
        <v>136000</v>
      </c>
      <c r="AV580" s="8">
        <v>47200</v>
      </c>
      <c r="AW580" s="8">
        <v>7890</v>
      </c>
      <c r="AX580" s="8">
        <v>186000</v>
      </c>
      <c r="AY580" s="8">
        <v>58000</v>
      </c>
    </row>
    <row r="581" spans="1:51" x14ac:dyDescent="0.4">
      <c r="A581" s="11">
        <v>40605</v>
      </c>
      <c r="B581" s="7">
        <v>62700</v>
      </c>
      <c r="C581" s="7">
        <v>28450</v>
      </c>
      <c r="D581" s="7">
        <v>76100</v>
      </c>
      <c r="E581" s="7">
        <v>240000</v>
      </c>
      <c r="F581" s="7">
        <v>67500</v>
      </c>
      <c r="G581" s="8">
        <v>63000</v>
      </c>
      <c r="H581" s="8">
        <v>77600</v>
      </c>
      <c r="I581" s="8">
        <v>137000</v>
      </c>
      <c r="J581" s="8">
        <v>132000</v>
      </c>
      <c r="K581" s="8">
        <v>184000</v>
      </c>
      <c r="L581" s="7">
        <v>462000</v>
      </c>
      <c r="M581" s="7">
        <v>923000</v>
      </c>
      <c r="N581" s="7">
        <v>97400</v>
      </c>
      <c r="O581" s="7">
        <v>174000</v>
      </c>
      <c r="P581" s="7">
        <v>132500</v>
      </c>
      <c r="Q581" s="8">
        <v>436500</v>
      </c>
      <c r="R581" s="8">
        <v>385000</v>
      </c>
      <c r="S581" s="8">
        <v>336000</v>
      </c>
      <c r="T581" s="8">
        <v>36500</v>
      </c>
      <c r="U581" s="8">
        <v>112500</v>
      </c>
      <c r="V581" s="7">
        <v>331500</v>
      </c>
      <c r="W581" s="7">
        <v>27524</v>
      </c>
      <c r="X581" s="7">
        <v>278000</v>
      </c>
      <c r="Y581" s="7">
        <v>27200</v>
      </c>
      <c r="Z581" s="7">
        <v>75958</v>
      </c>
      <c r="AA581" s="8">
        <v>160500</v>
      </c>
      <c r="AB581" s="8">
        <v>382500</v>
      </c>
      <c r="AC581" s="8">
        <v>16900</v>
      </c>
      <c r="AD581" s="8">
        <v>180500</v>
      </c>
      <c r="AE581" s="8">
        <v>55300</v>
      </c>
      <c r="AF581" s="7">
        <v>39200</v>
      </c>
      <c r="AG581" s="7">
        <v>108500</v>
      </c>
      <c r="AH581" s="7">
        <v>59000</v>
      </c>
      <c r="AI581" s="7">
        <v>68900</v>
      </c>
      <c r="AJ581" s="7">
        <v>36250</v>
      </c>
      <c r="AK581" s="8">
        <v>26100</v>
      </c>
      <c r="AL581" s="8">
        <v>190500</v>
      </c>
      <c r="AM581" s="8">
        <v>238000</v>
      </c>
      <c r="AN581" s="8">
        <v>34150</v>
      </c>
      <c r="AO581" s="8">
        <v>11150</v>
      </c>
      <c r="AP581" s="7">
        <v>360000</v>
      </c>
      <c r="AQ581" s="7">
        <v>388000</v>
      </c>
      <c r="AR581" s="7">
        <v>13650</v>
      </c>
      <c r="AS581" s="7">
        <v>47950</v>
      </c>
      <c r="AT581" s="7">
        <v>110920</v>
      </c>
      <c r="AU581" s="8">
        <v>139500</v>
      </c>
      <c r="AV581" s="8">
        <v>44550</v>
      </c>
      <c r="AW581" s="8">
        <v>7820</v>
      </c>
      <c r="AX581" s="8">
        <v>181000</v>
      </c>
      <c r="AY581" s="8">
        <v>56300</v>
      </c>
    </row>
    <row r="582" spans="1:51" x14ac:dyDescent="0.4">
      <c r="A582" s="11">
        <v>40604</v>
      </c>
      <c r="B582" s="7">
        <v>58800</v>
      </c>
      <c r="C582" s="7">
        <v>27550</v>
      </c>
      <c r="D582" s="7">
        <v>71400</v>
      </c>
      <c r="E582" s="7">
        <v>230500</v>
      </c>
      <c r="F582" s="7">
        <v>65700</v>
      </c>
      <c r="G582" s="8">
        <v>61000</v>
      </c>
      <c r="H582" s="8">
        <v>76500</v>
      </c>
      <c r="I582" s="8">
        <v>134000</v>
      </c>
      <c r="J582" s="8">
        <v>128000</v>
      </c>
      <c r="K582" s="8">
        <v>179000</v>
      </c>
      <c r="L582" s="7">
        <v>459500</v>
      </c>
      <c r="M582" s="7">
        <v>918000</v>
      </c>
      <c r="N582" s="7">
        <v>93400</v>
      </c>
      <c r="O582" s="7">
        <v>168500</v>
      </c>
      <c r="P582" s="7">
        <v>128500</v>
      </c>
      <c r="Q582" s="8">
        <v>422500</v>
      </c>
      <c r="R582" s="8">
        <v>377500</v>
      </c>
      <c r="S582" s="8">
        <v>336500</v>
      </c>
      <c r="T582" s="8">
        <v>35700</v>
      </c>
      <c r="U582" s="8">
        <v>108000</v>
      </c>
      <c r="V582" s="7">
        <v>315000</v>
      </c>
      <c r="W582" s="7">
        <v>27081</v>
      </c>
      <c r="X582" s="7">
        <v>270000</v>
      </c>
      <c r="Y582" s="7">
        <v>27450</v>
      </c>
      <c r="Z582" s="7">
        <v>73026</v>
      </c>
      <c r="AA582" s="8">
        <v>161500</v>
      </c>
      <c r="AB582" s="8">
        <v>378000</v>
      </c>
      <c r="AC582" s="8">
        <v>16800</v>
      </c>
      <c r="AD582" s="8">
        <v>170500</v>
      </c>
      <c r="AE582" s="8">
        <v>53900</v>
      </c>
      <c r="AF582" s="7">
        <v>39150</v>
      </c>
      <c r="AG582" s="7">
        <v>105000</v>
      </c>
      <c r="AH582" s="7">
        <v>58200</v>
      </c>
      <c r="AI582" s="7">
        <v>68200</v>
      </c>
      <c r="AJ582" s="7">
        <v>35800</v>
      </c>
      <c r="AK582" s="8">
        <v>24900</v>
      </c>
      <c r="AL582" s="8">
        <v>189000</v>
      </c>
      <c r="AM582" s="8">
        <v>227000</v>
      </c>
      <c r="AN582" s="8">
        <v>33800</v>
      </c>
      <c r="AO582" s="8">
        <v>10700</v>
      </c>
      <c r="AP582" s="7">
        <v>352000</v>
      </c>
      <c r="AQ582" s="7">
        <v>383500</v>
      </c>
      <c r="AR582" s="7">
        <v>13450</v>
      </c>
      <c r="AS582" s="7">
        <v>46350</v>
      </c>
      <c r="AT582" s="7">
        <v>108966</v>
      </c>
      <c r="AU582" s="8">
        <v>137000</v>
      </c>
      <c r="AV582" s="8">
        <v>43500</v>
      </c>
      <c r="AW582" s="8">
        <v>7600</v>
      </c>
      <c r="AX582" s="8">
        <v>172500</v>
      </c>
      <c r="AY582" s="8">
        <v>54600</v>
      </c>
    </row>
    <row r="583" spans="1:51" x14ac:dyDescent="0.4">
      <c r="A583" s="11">
        <v>40602</v>
      </c>
      <c r="B583" s="7">
        <v>57400</v>
      </c>
      <c r="C583" s="7">
        <v>28350</v>
      </c>
      <c r="D583" s="7">
        <v>74500</v>
      </c>
      <c r="E583" s="7">
        <v>223500</v>
      </c>
      <c r="F583" s="7">
        <v>67300</v>
      </c>
      <c r="G583" s="8">
        <v>61500</v>
      </c>
      <c r="H583" s="8">
        <v>77600</v>
      </c>
      <c r="I583" s="8">
        <v>132500</v>
      </c>
      <c r="J583" s="8">
        <v>129500</v>
      </c>
      <c r="K583" s="8">
        <v>178000</v>
      </c>
      <c r="L583" s="7">
        <v>460000</v>
      </c>
      <c r="M583" s="7">
        <v>923000</v>
      </c>
      <c r="N583" s="7">
        <v>99300</v>
      </c>
      <c r="O583" s="7">
        <v>166500</v>
      </c>
      <c r="P583" s="7">
        <v>129000</v>
      </c>
      <c r="Q583" s="8">
        <v>435000</v>
      </c>
      <c r="R583" s="8">
        <v>372000</v>
      </c>
      <c r="S583" s="8">
        <v>334000</v>
      </c>
      <c r="T583" s="8">
        <v>36400</v>
      </c>
      <c r="U583" s="8">
        <v>107500</v>
      </c>
      <c r="V583" s="7">
        <v>311000</v>
      </c>
      <c r="W583" s="7">
        <v>27820</v>
      </c>
      <c r="X583" s="7">
        <v>262500</v>
      </c>
      <c r="Y583" s="7">
        <v>27600</v>
      </c>
      <c r="Z583" s="7">
        <v>74003</v>
      </c>
      <c r="AA583" s="8">
        <v>163000</v>
      </c>
      <c r="AB583" s="8">
        <v>392000</v>
      </c>
      <c r="AC583" s="8">
        <v>16900</v>
      </c>
      <c r="AD583" s="8">
        <v>179000</v>
      </c>
      <c r="AE583" s="8">
        <v>52500</v>
      </c>
      <c r="AF583" s="7">
        <v>39100</v>
      </c>
      <c r="AG583" s="7">
        <v>106500</v>
      </c>
      <c r="AH583" s="7">
        <v>57300</v>
      </c>
      <c r="AI583" s="7">
        <v>68900</v>
      </c>
      <c r="AJ583" s="7">
        <v>35800</v>
      </c>
      <c r="AK583" s="8">
        <v>25050</v>
      </c>
      <c r="AL583" s="8">
        <v>189500</v>
      </c>
      <c r="AM583" s="8">
        <v>226000</v>
      </c>
      <c r="AN583" s="8">
        <v>34500</v>
      </c>
      <c r="AO583" s="8">
        <v>10750</v>
      </c>
      <c r="AP583" s="7">
        <v>358000</v>
      </c>
      <c r="AQ583" s="7">
        <v>372000</v>
      </c>
      <c r="AR583" s="7">
        <v>13650</v>
      </c>
      <c r="AS583" s="7">
        <v>47100</v>
      </c>
      <c r="AT583" s="7">
        <v>108477</v>
      </c>
      <c r="AU583" s="8">
        <v>141500</v>
      </c>
      <c r="AV583" s="8">
        <v>45000</v>
      </c>
      <c r="AW583" s="8">
        <v>7590</v>
      </c>
      <c r="AX583" s="8">
        <v>175000</v>
      </c>
      <c r="AY583" s="8">
        <v>55200</v>
      </c>
    </row>
    <row r="584" spans="1:51" x14ac:dyDescent="0.4">
      <c r="A584" s="12">
        <v>40599</v>
      </c>
      <c r="B584" s="9">
        <v>57400</v>
      </c>
      <c r="C584" s="9">
        <v>28000</v>
      </c>
      <c r="D584" s="9">
        <v>75500</v>
      </c>
      <c r="E584" s="9">
        <v>222500</v>
      </c>
      <c r="F584" s="9">
        <v>69100</v>
      </c>
      <c r="G584" s="10">
        <v>64000</v>
      </c>
      <c r="H584" s="10">
        <v>79200</v>
      </c>
      <c r="I584" s="10">
        <v>138500</v>
      </c>
      <c r="J584" s="10">
        <v>131000</v>
      </c>
      <c r="K584" s="10">
        <v>175000</v>
      </c>
      <c r="L584" s="9">
        <v>461000</v>
      </c>
      <c r="M584" s="9">
        <v>926000</v>
      </c>
      <c r="N584" s="9">
        <v>103000</v>
      </c>
      <c r="O584" s="9">
        <v>163500</v>
      </c>
      <c r="P584" s="9">
        <v>128500</v>
      </c>
      <c r="Q584" s="10">
        <v>451500</v>
      </c>
      <c r="R584" s="10">
        <v>388000</v>
      </c>
      <c r="S584" s="10">
        <v>337000</v>
      </c>
      <c r="T584" s="10">
        <v>37200</v>
      </c>
      <c r="U584" s="10">
        <v>113500</v>
      </c>
      <c r="V584" s="9">
        <v>317500</v>
      </c>
      <c r="W584" s="9">
        <v>28361</v>
      </c>
      <c r="X584" s="9">
        <v>264500</v>
      </c>
      <c r="Y584" s="9">
        <v>28150</v>
      </c>
      <c r="Z584" s="9">
        <v>76741</v>
      </c>
      <c r="AA584" s="10">
        <v>165000</v>
      </c>
      <c r="AB584" s="10">
        <v>404500</v>
      </c>
      <c r="AC584" s="10">
        <v>16700</v>
      </c>
      <c r="AD584" s="10">
        <v>187500</v>
      </c>
      <c r="AE584" s="10">
        <v>52800</v>
      </c>
      <c r="AF584" s="9">
        <v>39550</v>
      </c>
      <c r="AG584" s="9">
        <v>108000</v>
      </c>
      <c r="AH584" s="9">
        <v>59400</v>
      </c>
      <c r="AI584" s="9">
        <v>69300</v>
      </c>
      <c r="AJ584" s="9">
        <v>36400</v>
      </c>
      <c r="AK584" s="10">
        <v>25000</v>
      </c>
      <c r="AL584" s="10">
        <v>186000</v>
      </c>
      <c r="AM584" s="10">
        <v>233000</v>
      </c>
      <c r="AN584" s="10">
        <v>35100</v>
      </c>
      <c r="AO584" s="10">
        <v>11550</v>
      </c>
      <c r="AP584" s="9">
        <v>368000</v>
      </c>
      <c r="AQ584" s="9">
        <v>371500</v>
      </c>
      <c r="AR584" s="9">
        <v>13700</v>
      </c>
      <c r="AS584" s="9">
        <v>47950</v>
      </c>
      <c r="AT584" s="9">
        <v>114341</v>
      </c>
      <c r="AU584" s="10">
        <v>139500</v>
      </c>
      <c r="AV584" s="10">
        <v>43900</v>
      </c>
      <c r="AW584" s="10">
        <v>7810</v>
      </c>
      <c r="AX584" s="10">
        <v>180500</v>
      </c>
      <c r="AY584" s="10">
        <v>55500</v>
      </c>
    </row>
    <row r="585" spans="1:51" x14ac:dyDescent="0.4">
      <c r="A585" s="11">
        <v>40598</v>
      </c>
      <c r="B585" s="7">
        <v>56400</v>
      </c>
      <c r="C585" s="7">
        <v>26900</v>
      </c>
      <c r="D585" s="7">
        <v>70900</v>
      </c>
      <c r="E585" s="7">
        <v>223000</v>
      </c>
      <c r="F585" s="7">
        <v>67600</v>
      </c>
      <c r="G585" s="8">
        <v>61100</v>
      </c>
      <c r="H585" s="8">
        <v>79200</v>
      </c>
      <c r="I585" s="8">
        <v>140500</v>
      </c>
      <c r="J585" s="8">
        <v>127500</v>
      </c>
      <c r="K585" s="8">
        <v>171000</v>
      </c>
      <c r="L585" s="7">
        <v>466500</v>
      </c>
      <c r="M585" s="7">
        <v>929000</v>
      </c>
      <c r="N585" s="7">
        <v>99500</v>
      </c>
      <c r="O585" s="7">
        <v>163500</v>
      </c>
      <c r="P585" s="7">
        <v>128000</v>
      </c>
      <c r="Q585" s="8">
        <v>446500</v>
      </c>
      <c r="R585" s="8">
        <v>390000</v>
      </c>
      <c r="S585" s="8">
        <v>333000</v>
      </c>
      <c r="T585" s="8">
        <v>36350</v>
      </c>
      <c r="U585" s="8">
        <v>109000</v>
      </c>
      <c r="V585" s="7">
        <v>307500</v>
      </c>
      <c r="W585" s="7">
        <v>28558</v>
      </c>
      <c r="X585" s="7">
        <v>265500</v>
      </c>
      <c r="Y585" s="7">
        <v>28500</v>
      </c>
      <c r="Z585" s="7">
        <v>74394</v>
      </c>
      <c r="AA585" s="8">
        <v>162500</v>
      </c>
      <c r="AB585" s="8">
        <v>395000</v>
      </c>
      <c r="AC585" s="8">
        <v>16800</v>
      </c>
      <c r="AD585" s="8">
        <v>178500</v>
      </c>
      <c r="AE585" s="8">
        <v>52300</v>
      </c>
      <c r="AF585" s="7">
        <v>39800</v>
      </c>
      <c r="AG585" s="7">
        <v>108500</v>
      </c>
      <c r="AH585" s="7">
        <v>58500</v>
      </c>
      <c r="AI585" s="7">
        <v>67200</v>
      </c>
      <c r="AJ585" s="7">
        <v>36250</v>
      </c>
      <c r="AK585" s="8">
        <v>24450</v>
      </c>
      <c r="AL585" s="8">
        <v>186000</v>
      </c>
      <c r="AM585" s="8">
        <v>222000</v>
      </c>
      <c r="AN585" s="8">
        <v>34800</v>
      </c>
      <c r="AO585" s="8">
        <v>11100</v>
      </c>
      <c r="AP585" s="7">
        <v>365500</v>
      </c>
      <c r="AQ585" s="7">
        <v>371000</v>
      </c>
      <c r="AR585" s="7">
        <v>13650</v>
      </c>
      <c r="AS585" s="7">
        <v>48500</v>
      </c>
      <c r="AT585" s="7">
        <v>113852</v>
      </c>
      <c r="AU585" s="8">
        <v>139500</v>
      </c>
      <c r="AV585" s="8">
        <v>44000</v>
      </c>
      <c r="AW585" s="8">
        <v>7800</v>
      </c>
      <c r="AX585" s="8">
        <v>179000</v>
      </c>
      <c r="AY585" s="8">
        <v>56000</v>
      </c>
    </row>
    <row r="586" spans="1:51" x14ac:dyDescent="0.4">
      <c r="A586" s="11">
        <v>40597</v>
      </c>
      <c r="B586" s="7">
        <v>56600</v>
      </c>
      <c r="C586" s="7">
        <v>27600</v>
      </c>
      <c r="D586" s="7">
        <v>70200</v>
      </c>
      <c r="E586" s="7">
        <v>226000</v>
      </c>
      <c r="F586" s="7">
        <v>66500</v>
      </c>
      <c r="G586" s="8">
        <v>61000</v>
      </c>
      <c r="H586" s="8">
        <v>79500</v>
      </c>
      <c r="I586" s="8">
        <v>144000</v>
      </c>
      <c r="J586" s="8">
        <v>129000</v>
      </c>
      <c r="K586" s="8">
        <v>170000</v>
      </c>
      <c r="L586" s="7">
        <v>468500</v>
      </c>
      <c r="M586" s="7">
        <v>930000</v>
      </c>
      <c r="N586" s="7">
        <v>98500</v>
      </c>
      <c r="O586" s="7">
        <v>165000</v>
      </c>
      <c r="P586" s="7">
        <v>129000</v>
      </c>
      <c r="Q586" s="8">
        <v>442500</v>
      </c>
      <c r="R586" s="8">
        <v>395000</v>
      </c>
      <c r="S586" s="8">
        <v>331500</v>
      </c>
      <c r="T586" s="8">
        <v>36150</v>
      </c>
      <c r="U586" s="8">
        <v>117500</v>
      </c>
      <c r="V586" s="7">
        <v>323500</v>
      </c>
      <c r="W586" s="7">
        <v>28460</v>
      </c>
      <c r="X586" s="7">
        <v>270500</v>
      </c>
      <c r="Y586" s="7">
        <v>28750</v>
      </c>
      <c r="Z586" s="7">
        <v>78011</v>
      </c>
      <c r="AA586" s="8">
        <v>157500</v>
      </c>
      <c r="AB586" s="8">
        <v>401000</v>
      </c>
      <c r="AC586" s="8">
        <v>16450</v>
      </c>
      <c r="AD586" s="8">
        <v>175000</v>
      </c>
      <c r="AE586" s="8">
        <v>50600</v>
      </c>
      <c r="AF586" s="7">
        <v>40300</v>
      </c>
      <c r="AG586" s="7">
        <v>110000</v>
      </c>
      <c r="AH586" s="7">
        <v>57100</v>
      </c>
      <c r="AI586" s="7">
        <v>66500</v>
      </c>
      <c r="AJ586" s="7">
        <v>36750</v>
      </c>
      <c r="AK586" s="8">
        <v>24950</v>
      </c>
      <c r="AL586" s="8">
        <v>189500</v>
      </c>
      <c r="AM586" s="8">
        <v>227000</v>
      </c>
      <c r="AN586" s="8">
        <v>33950</v>
      </c>
      <c r="AO586" s="8">
        <v>11200</v>
      </c>
      <c r="AP586" s="7">
        <v>373500</v>
      </c>
      <c r="AQ586" s="7">
        <v>376000</v>
      </c>
      <c r="AR586" s="7">
        <v>13850</v>
      </c>
      <c r="AS586" s="7">
        <v>47700</v>
      </c>
      <c r="AT586" s="7">
        <v>114341</v>
      </c>
      <c r="AU586" s="8">
        <v>140000</v>
      </c>
      <c r="AV586" s="8">
        <v>44500</v>
      </c>
      <c r="AW586" s="8">
        <v>7860</v>
      </c>
      <c r="AX586" s="8">
        <v>181500</v>
      </c>
      <c r="AY586" s="8">
        <v>57000</v>
      </c>
    </row>
    <row r="587" spans="1:51" x14ac:dyDescent="0.4">
      <c r="A587" s="11">
        <v>40596</v>
      </c>
      <c r="B587" s="7">
        <v>57100</v>
      </c>
      <c r="C587" s="7">
        <v>28800</v>
      </c>
      <c r="D587" s="7">
        <v>72300</v>
      </c>
      <c r="E587" s="7">
        <v>224000</v>
      </c>
      <c r="F587" s="7">
        <v>65000</v>
      </c>
      <c r="G587" s="8">
        <v>62100</v>
      </c>
      <c r="H587" s="8">
        <v>80000</v>
      </c>
      <c r="I587" s="8">
        <v>143000</v>
      </c>
      <c r="J587" s="8">
        <v>128500</v>
      </c>
      <c r="K587" s="8">
        <v>173500</v>
      </c>
      <c r="L587" s="7">
        <v>466500</v>
      </c>
      <c r="M587" s="7">
        <v>938000</v>
      </c>
      <c r="N587" s="7">
        <v>99000</v>
      </c>
      <c r="O587" s="7">
        <v>166000</v>
      </c>
      <c r="P587" s="7">
        <v>129500</v>
      </c>
      <c r="Q587" s="8">
        <v>445500</v>
      </c>
      <c r="R587" s="8">
        <v>389000</v>
      </c>
      <c r="S587" s="8">
        <v>338000</v>
      </c>
      <c r="T587" s="8">
        <v>36250</v>
      </c>
      <c r="U587" s="8">
        <v>115500</v>
      </c>
      <c r="V587" s="7">
        <v>337000</v>
      </c>
      <c r="W587" s="7">
        <v>28361</v>
      </c>
      <c r="X587" s="7">
        <v>273000</v>
      </c>
      <c r="Y587" s="7">
        <v>28700</v>
      </c>
      <c r="Z587" s="7">
        <v>77327</v>
      </c>
      <c r="AA587" s="8">
        <v>156000</v>
      </c>
      <c r="AB587" s="8">
        <v>411000</v>
      </c>
      <c r="AC587" s="8">
        <v>15600</v>
      </c>
      <c r="AD587" s="8">
        <v>177500</v>
      </c>
      <c r="AE587" s="8">
        <v>50600</v>
      </c>
      <c r="AF587" s="7">
        <v>39500</v>
      </c>
      <c r="AG587" s="7">
        <v>109000</v>
      </c>
      <c r="AH587" s="7">
        <v>57400</v>
      </c>
      <c r="AI587" s="7">
        <v>68400</v>
      </c>
      <c r="AJ587" s="7">
        <v>37100</v>
      </c>
      <c r="AK587" s="8">
        <v>24800</v>
      </c>
      <c r="AL587" s="8">
        <v>181500</v>
      </c>
      <c r="AM587" s="8">
        <v>234000</v>
      </c>
      <c r="AN587" s="8">
        <v>34750</v>
      </c>
      <c r="AO587" s="8">
        <v>11000</v>
      </c>
      <c r="AP587" s="7">
        <v>363000</v>
      </c>
      <c r="AQ587" s="7">
        <v>380000</v>
      </c>
      <c r="AR587" s="7">
        <v>14000</v>
      </c>
      <c r="AS587" s="7">
        <v>47900</v>
      </c>
      <c r="AT587" s="7">
        <v>116295</v>
      </c>
      <c r="AU587" s="8">
        <v>143500</v>
      </c>
      <c r="AV587" s="8">
        <v>45500</v>
      </c>
      <c r="AW587" s="8">
        <v>7920</v>
      </c>
      <c r="AX587" s="8">
        <v>178500</v>
      </c>
      <c r="AY587" s="8">
        <v>57300</v>
      </c>
    </row>
    <row r="588" spans="1:51" x14ac:dyDescent="0.4">
      <c r="A588" s="11">
        <v>40595</v>
      </c>
      <c r="B588" s="7">
        <v>57600</v>
      </c>
      <c r="C588" s="7">
        <v>28800</v>
      </c>
      <c r="D588" s="7">
        <v>80100</v>
      </c>
      <c r="E588" s="7">
        <v>224000</v>
      </c>
      <c r="F588" s="7">
        <v>68600</v>
      </c>
      <c r="G588" s="8">
        <v>69100</v>
      </c>
      <c r="H588" s="8">
        <v>81600</v>
      </c>
      <c r="I588" s="8">
        <v>147000</v>
      </c>
      <c r="J588" s="8">
        <v>130000</v>
      </c>
      <c r="K588" s="8">
        <v>178500</v>
      </c>
      <c r="L588" s="7">
        <v>472500</v>
      </c>
      <c r="M588" s="7">
        <v>948000</v>
      </c>
      <c r="N588" s="7">
        <v>105000</v>
      </c>
      <c r="O588" s="7">
        <v>165500</v>
      </c>
      <c r="P588" s="7">
        <v>132500</v>
      </c>
      <c r="Q588" s="8">
        <v>449500</v>
      </c>
      <c r="R588" s="8">
        <v>397000</v>
      </c>
      <c r="S588" s="8">
        <v>345000</v>
      </c>
      <c r="T588" s="8">
        <v>37500</v>
      </c>
      <c r="U588" s="8">
        <v>118000</v>
      </c>
      <c r="V588" s="7">
        <v>339000</v>
      </c>
      <c r="W588" s="7">
        <v>29937</v>
      </c>
      <c r="X588" s="7">
        <v>275000</v>
      </c>
      <c r="Y588" s="7">
        <v>29350</v>
      </c>
      <c r="Z588" s="7">
        <v>79967</v>
      </c>
      <c r="AA588" s="8">
        <v>156500</v>
      </c>
      <c r="AB588" s="8">
        <v>422000</v>
      </c>
      <c r="AC588" s="8">
        <v>16150</v>
      </c>
      <c r="AD588" s="8">
        <v>188000</v>
      </c>
      <c r="AE588" s="8">
        <v>51600</v>
      </c>
      <c r="AF588" s="7">
        <v>39550</v>
      </c>
      <c r="AG588" s="7">
        <v>110000</v>
      </c>
      <c r="AH588" s="7">
        <v>57100</v>
      </c>
      <c r="AI588" s="7">
        <v>71000</v>
      </c>
      <c r="AJ588" s="7">
        <v>36900</v>
      </c>
      <c r="AK588" s="8">
        <v>25000</v>
      </c>
      <c r="AL588" s="8">
        <v>185500</v>
      </c>
      <c r="AM588" s="8">
        <v>229000</v>
      </c>
      <c r="AN588" s="8">
        <v>35850</v>
      </c>
      <c r="AO588" s="8">
        <v>11800</v>
      </c>
      <c r="AP588" s="7">
        <v>368000</v>
      </c>
      <c r="AQ588" s="7">
        <v>394000</v>
      </c>
      <c r="AR588" s="7">
        <v>14150</v>
      </c>
      <c r="AS588" s="7">
        <v>47450</v>
      </c>
      <c r="AT588" s="7">
        <v>117761</v>
      </c>
      <c r="AU588" s="8">
        <v>145500</v>
      </c>
      <c r="AV588" s="8">
        <v>44000</v>
      </c>
      <c r="AW588" s="8">
        <v>8050</v>
      </c>
      <c r="AX588" s="8">
        <v>183500</v>
      </c>
      <c r="AY588" s="8">
        <v>56600</v>
      </c>
    </row>
    <row r="589" spans="1:51" x14ac:dyDescent="0.4">
      <c r="A589" s="12">
        <v>40592</v>
      </c>
      <c r="B589" s="9">
        <v>56200</v>
      </c>
      <c r="C589" s="9">
        <v>29400</v>
      </c>
      <c r="D589" s="9">
        <v>80500</v>
      </c>
      <c r="E589" s="9">
        <v>228000</v>
      </c>
      <c r="F589" s="9">
        <v>69900</v>
      </c>
      <c r="G589" s="10">
        <v>70500</v>
      </c>
      <c r="H589" s="10">
        <v>83600</v>
      </c>
      <c r="I589" s="10">
        <v>146000</v>
      </c>
      <c r="J589" s="10">
        <v>135000</v>
      </c>
      <c r="K589" s="10">
        <v>179500</v>
      </c>
      <c r="L589" s="9">
        <v>488500</v>
      </c>
      <c r="M589" s="9">
        <v>960000</v>
      </c>
      <c r="N589" s="9">
        <v>109500</v>
      </c>
      <c r="O589" s="9">
        <v>163000</v>
      </c>
      <c r="P589" s="9">
        <v>133000</v>
      </c>
      <c r="Q589" s="10">
        <v>441500</v>
      </c>
      <c r="R589" s="10">
        <v>399500</v>
      </c>
      <c r="S589" s="10">
        <v>336000</v>
      </c>
      <c r="T589" s="10">
        <v>35250</v>
      </c>
      <c r="U589" s="10">
        <v>111000</v>
      </c>
      <c r="V589" s="9">
        <v>327500</v>
      </c>
      <c r="W589" s="9">
        <v>30528</v>
      </c>
      <c r="X589" s="9">
        <v>267500</v>
      </c>
      <c r="Y589" s="9">
        <v>29350</v>
      </c>
      <c r="Z589" s="9">
        <v>80651</v>
      </c>
      <c r="AA589" s="10">
        <v>157000</v>
      </c>
      <c r="AB589" s="10">
        <v>426500</v>
      </c>
      <c r="AC589" s="10">
        <v>16650</v>
      </c>
      <c r="AD589" s="10">
        <v>196500</v>
      </c>
      <c r="AE589" s="10">
        <v>53200</v>
      </c>
      <c r="AF589" s="9">
        <v>40250</v>
      </c>
      <c r="AG589" s="9">
        <v>112500</v>
      </c>
      <c r="AH589" s="9">
        <v>57600</v>
      </c>
      <c r="AI589" s="9">
        <v>70900</v>
      </c>
      <c r="AJ589" s="9">
        <v>36450</v>
      </c>
      <c r="AK589" s="10">
        <v>24200</v>
      </c>
      <c r="AL589" s="10">
        <v>193500</v>
      </c>
      <c r="AM589" s="10">
        <v>227000</v>
      </c>
      <c r="AN589" s="10">
        <v>34200</v>
      </c>
      <c r="AO589" s="10">
        <v>12150</v>
      </c>
      <c r="AP589" s="9">
        <v>370000</v>
      </c>
      <c r="AQ589" s="9">
        <v>392000</v>
      </c>
      <c r="AR589" s="9">
        <v>14350</v>
      </c>
      <c r="AS589" s="9">
        <v>48000</v>
      </c>
      <c r="AT589" s="9">
        <v>115807</v>
      </c>
      <c r="AU589" s="10">
        <v>149000</v>
      </c>
      <c r="AV589" s="10">
        <v>44500</v>
      </c>
      <c r="AW589" s="10">
        <v>8060</v>
      </c>
      <c r="AX589" s="10">
        <v>175000</v>
      </c>
      <c r="AY589" s="10">
        <v>57500</v>
      </c>
    </row>
    <row r="590" spans="1:51" x14ac:dyDescent="0.4">
      <c r="A590" s="11">
        <v>40591</v>
      </c>
      <c r="B590" s="7">
        <v>55500</v>
      </c>
      <c r="C590" s="7">
        <v>29100</v>
      </c>
      <c r="D590" s="7">
        <v>77200</v>
      </c>
      <c r="E590" s="7">
        <v>219500</v>
      </c>
      <c r="F590" s="7">
        <v>65500</v>
      </c>
      <c r="G590" s="8">
        <v>70000</v>
      </c>
      <c r="H590" s="8">
        <v>82000</v>
      </c>
      <c r="I590" s="8">
        <v>140000</v>
      </c>
      <c r="J590" s="8">
        <v>133500</v>
      </c>
      <c r="K590" s="8">
        <v>178000</v>
      </c>
      <c r="L590" s="7">
        <v>488000</v>
      </c>
      <c r="M590" s="7">
        <v>954000</v>
      </c>
      <c r="N590" s="7">
        <v>103500</v>
      </c>
      <c r="O590" s="7">
        <v>162500</v>
      </c>
      <c r="P590" s="7">
        <v>130000</v>
      </c>
      <c r="Q590" s="8">
        <v>430000</v>
      </c>
      <c r="R590" s="8">
        <v>389000</v>
      </c>
      <c r="S590" s="8">
        <v>313000</v>
      </c>
      <c r="T590" s="8">
        <v>33150</v>
      </c>
      <c r="U590" s="8">
        <v>106500</v>
      </c>
      <c r="V590" s="7">
        <v>319500</v>
      </c>
      <c r="W590" s="7">
        <v>30134</v>
      </c>
      <c r="X590" s="7">
        <v>254000</v>
      </c>
      <c r="Y590" s="7">
        <v>29050</v>
      </c>
      <c r="Z590" s="7">
        <v>77132</v>
      </c>
      <c r="AA590" s="8">
        <v>157000</v>
      </c>
      <c r="AB590" s="8">
        <v>424500</v>
      </c>
      <c r="AC590" s="8">
        <v>16300</v>
      </c>
      <c r="AD590" s="8">
        <v>194500</v>
      </c>
      <c r="AE590" s="8">
        <v>50600</v>
      </c>
      <c r="AF590" s="7">
        <v>40050</v>
      </c>
      <c r="AG590" s="7">
        <v>112000</v>
      </c>
      <c r="AH590" s="7">
        <v>57100</v>
      </c>
      <c r="AI590" s="7">
        <v>69500</v>
      </c>
      <c r="AJ590" s="7">
        <v>35750</v>
      </c>
      <c r="AK590" s="8">
        <v>24150</v>
      </c>
      <c r="AL590" s="8">
        <v>192000</v>
      </c>
      <c r="AM590" s="8">
        <v>220000</v>
      </c>
      <c r="AN590" s="8">
        <v>32350</v>
      </c>
      <c r="AO590" s="8">
        <v>11750</v>
      </c>
      <c r="AP590" s="7">
        <v>367500</v>
      </c>
      <c r="AQ590" s="7">
        <v>383000</v>
      </c>
      <c r="AR590" s="7">
        <v>14400</v>
      </c>
      <c r="AS590" s="7">
        <v>47550</v>
      </c>
      <c r="AT590" s="7">
        <v>115807</v>
      </c>
      <c r="AU590" s="8">
        <v>143000</v>
      </c>
      <c r="AV590" s="8">
        <v>44200</v>
      </c>
      <c r="AW590" s="8">
        <v>8000</v>
      </c>
      <c r="AX590" s="8">
        <v>171500</v>
      </c>
      <c r="AY590" s="8">
        <v>56600</v>
      </c>
    </row>
    <row r="591" spans="1:51" x14ac:dyDescent="0.4">
      <c r="A591" s="11">
        <v>40590</v>
      </c>
      <c r="B591" s="7">
        <v>55800</v>
      </c>
      <c r="C591" s="7">
        <v>29200</v>
      </c>
      <c r="D591" s="7">
        <v>77900</v>
      </c>
      <c r="E591" s="7">
        <v>217000</v>
      </c>
      <c r="F591" s="7">
        <v>66900</v>
      </c>
      <c r="G591" s="8">
        <v>71300</v>
      </c>
      <c r="H591" s="8">
        <v>81400</v>
      </c>
      <c r="I591" s="8">
        <v>146000</v>
      </c>
      <c r="J591" s="8">
        <v>136000</v>
      </c>
      <c r="K591" s="8">
        <v>175000</v>
      </c>
      <c r="L591" s="7">
        <v>485500</v>
      </c>
      <c r="M591" s="7">
        <v>945000</v>
      </c>
      <c r="N591" s="7">
        <v>107500</v>
      </c>
      <c r="O591" s="7">
        <v>160000</v>
      </c>
      <c r="P591" s="7">
        <v>127000</v>
      </c>
      <c r="Q591" s="8">
        <v>440000</v>
      </c>
      <c r="R591" s="8">
        <v>375000</v>
      </c>
      <c r="S591" s="8">
        <v>325500</v>
      </c>
      <c r="T591" s="8">
        <v>35000</v>
      </c>
      <c r="U591" s="8">
        <v>110000</v>
      </c>
      <c r="V591" s="7">
        <v>320500</v>
      </c>
      <c r="W591" s="7">
        <v>31118</v>
      </c>
      <c r="X591" s="7">
        <v>251000</v>
      </c>
      <c r="Y591" s="7">
        <v>29050</v>
      </c>
      <c r="Z591" s="7">
        <v>79478</v>
      </c>
      <c r="AA591" s="8">
        <v>160000</v>
      </c>
      <c r="AB591" s="8">
        <v>414500</v>
      </c>
      <c r="AC591" s="8">
        <v>16300</v>
      </c>
      <c r="AD591" s="8">
        <v>196500</v>
      </c>
      <c r="AE591" s="8">
        <v>51000</v>
      </c>
      <c r="AF591" s="7">
        <v>40250</v>
      </c>
      <c r="AG591" s="7">
        <v>108500</v>
      </c>
      <c r="AH591" s="7">
        <v>56600</v>
      </c>
      <c r="AI591" s="7">
        <v>71400</v>
      </c>
      <c r="AJ591" s="7">
        <v>35950</v>
      </c>
      <c r="AK591" s="8">
        <v>24400</v>
      </c>
      <c r="AL591" s="8">
        <v>187000</v>
      </c>
      <c r="AM591" s="8">
        <v>223500</v>
      </c>
      <c r="AN591" s="8">
        <v>33500</v>
      </c>
      <c r="AO591" s="8">
        <v>12250</v>
      </c>
      <c r="AP591" s="7">
        <v>373000</v>
      </c>
      <c r="AQ591" s="7">
        <v>370000</v>
      </c>
      <c r="AR591" s="7">
        <v>14550</v>
      </c>
      <c r="AS591" s="7">
        <v>48950</v>
      </c>
      <c r="AT591" s="7">
        <v>119716</v>
      </c>
      <c r="AU591" s="8">
        <v>143000</v>
      </c>
      <c r="AV591" s="8">
        <v>45000</v>
      </c>
      <c r="AW591" s="8">
        <v>7790</v>
      </c>
      <c r="AX591" s="8">
        <v>175000</v>
      </c>
      <c r="AY591" s="8">
        <v>57900</v>
      </c>
    </row>
    <row r="592" spans="1:51" x14ac:dyDescent="0.4">
      <c r="A592" s="11">
        <v>40589</v>
      </c>
      <c r="B592" s="7">
        <v>57100</v>
      </c>
      <c r="C592" s="7">
        <v>29750</v>
      </c>
      <c r="D592" s="7">
        <v>81200</v>
      </c>
      <c r="E592" s="7">
        <v>222500</v>
      </c>
      <c r="F592" s="7">
        <v>66400</v>
      </c>
      <c r="G592" s="8">
        <v>71300</v>
      </c>
      <c r="H592" s="8">
        <v>82300</v>
      </c>
      <c r="I592" s="8">
        <v>152500</v>
      </c>
      <c r="J592" s="8">
        <v>137000</v>
      </c>
      <c r="K592" s="8">
        <v>180000</v>
      </c>
      <c r="L592" s="7">
        <v>482500</v>
      </c>
      <c r="M592" s="7">
        <v>958000</v>
      </c>
      <c r="N592" s="7">
        <v>112500</v>
      </c>
      <c r="O592" s="7">
        <v>158500</v>
      </c>
      <c r="P592" s="7">
        <v>126500</v>
      </c>
      <c r="Q592" s="8">
        <v>454000</v>
      </c>
      <c r="R592" s="8">
        <v>377000</v>
      </c>
      <c r="S592" s="8">
        <v>322500</v>
      </c>
      <c r="T592" s="8">
        <v>36750</v>
      </c>
      <c r="U592" s="8">
        <v>113500</v>
      </c>
      <c r="V592" s="7">
        <v>336000</v>
      </c>
      <c r="W592" s="7">
        <v>30380</v>
      </c>
      <c r="X592" s="7">
        <v>255000</v>
      </c>
      <c r="Y592" s="7">
        <v>28500</v>
      </c>
      <c r="Z592" s="7">
        <v>81237</v>
      </c>
      <c r="AA592" s="8">
        <v>158500</v>
      </c>
      <c r="AB592" s="8">
        <v>422500</v>
      </c>
      <c r="AC592" s="8">
        <v>16350</v>
      </c>
      <c r="AD592" s="8">
        <v>197000</v>
      </c>
      <c r="AE592" s="8">
        <v>51200</v>
      </c>
      <c r="AF592" s="7">
        <v>40750</v>
      </c>
      <c r="AG592" s="7">
        <v>107500</v>
      </c>
      <c r="AH592" s="7">
        <v>57300</v>
      </c>
      <c r="AI592" s="7">
        <v>70700</v>
      </c>
      <c r="AJ592" s="7">
        <v>36500</v>
      </c>
      <c r="AK592" s="8">
        <v>24150</v>
      </c>
      <c r="AL592" s="8">
        <v>187000</v>
      </c>
      <c r="AM592" s="8">
        <v>225000</v>
      </c>
      <c r="AN592" s="8">
        <v>35050</v>
      </c>
      <c r="AO592" s="8">
        <v>12500</v>
      </c>
      <c r="AP592" s="7">
        <v>369500</v>
      </c>
      <c r="AQ592" s="7">
        <v>376000</v>
      </c>
      <c r="AR592" s="7">
        <v>14600</v>
      </c>
      <c r="AS592" s="7">
        <v>48900</v>
      </c>
      <c r="AT592" s="7">
        <v>121182</v>
      </c>
      <c r="AU592" s="8">
        <v>143500</v>
      </c>
      <c r="AV592" s="8">
        <v>45450</v>
      </c>
      <c r="AW592" s="8">
        <v>7830</v>
      </c>
      <c r="AX592" s="8">
        <v>183000</v>
      </c>
      <c r="AY592" s="8">
        <v>57500</v>
      </c>
    </row>
    <row r="593" spans="1:51" x14ac:dyDescent="0.4">
      <c r="A593" s="11">
        <v>40588</v>
      </c>
      <c r="B593" s="7">
        <v>56900</v>
      </c>
      <c r="C593" s="7">
        <v>29700</v>
      </c>
      <c r="D593" s="7">
        <v>82600</v>
      </c>
      <c r="E593" s="7">
        <v>227500</v>
      </c>
      <c r="F593" s="7">
        <v>68300</v>
      </c>
      <c r="G593" s="8">
        <v>71400</v>
      </c>
      <c r="H593" s="8">
        <v>81600</v>
      </c>
      <c r="I593" s="8">
        <v>149500</v>
      </c>
      <c r="J593" s="8">
        <v>137000</v>
      </c>
      <c r="K593" s="8">
        <v>182500</v>
      </c>
      <c r="L593" s="7">
        <v>488000</v>
      </c>
      <c r="M593" s="7">
        <v>953000</v>
      </c>
      <c r="N593" s="7">
        <v>115500</v>
      </c>
      <c r="O593" s="7">
        <v>157000</v>
      </c>
      <c r="P593" s="7">
        <v>130000</v>
      </c>
      <c r="Q593" s="8">
        <v>444500</v>
      </c>
      <c r="R593" s="8">
        <v>372000</v>
      </c>
      <c r="S593" s="8">
        <v>320000</v>
      </c>
      <c r="T593" s="8">
        <v>36050</v>
      </c>
      <c r="U593" s="8">
        <v>111000</v>
      </c>
      <c r="V593" s="7">
        <v>342000</v>
      </c>
      <c r="W593" s="7">
        <v>30429</v>
      </c>
      <c r="X593" s="7">
        <v>260000</v>
      </c>
      <c r="Y593" s="7">
        <v>28050</v>
      </c>
      <c r="Z593" s="7">
        <v>82997</v>
      </c>
      <c r="AA593" s="8">
        <v>161500</v>
      </c>
      <c r="AB593" s="8">
        <v>425000</v>
      </c>
      <c r="AC593" s="8">
        <v>16450</v>
      </c>
      <c r="AD593" s="8">
        <v>202000</v>
      </c>
      <c r="AE593" s="8">
        <v>52800</v>
      </c>
      <c r="AF593" s="7">
        <v>41250</v>
      </c>
      <c r="AG593" s="7">
        <v>107500</v>
      </c>
      <c r="AH593" s="7">
        <v>56800</v>
      </c>
      <c r="AI593" s="7">
        <v>71400</v>
      </c>
      <c r="AJ593" s="7">
        <v>37300</v>
      </c>
      <c r="AK593" s="8">
        <v>24500</v>
      </c>
      <c r="AL593" s="8">
        <v>189500</v>
      </c>
      <c r="AM593" s="8">
        <v>219500</v>
      </c>
      <c r="AN593" s="8">
        <v>34000</v>
      </c>
      <c r="AO593" s="8">
        <v>12900</v>
      </c>
      <c r="AP593" s="7">
        <v>375000</v>
      </c>
      <c r="AQ593" s="7">
        <v>382000</v>
      </c>
      <c r="AR593" s="7">
        <v>14650</v>
      </c>
      <c r="AS593" s="7">
        <v>49800</v>
      </c>
      <c r="AT593" s="7">
        <v>118739</v>
      </c>
      <c r="AU593" s="8">
        <v>140500</v>
      </c>
      <c r="AV593" s="8">
        <v>44250</v>
      </c>
      <c r="AW593" s="8">
        <v>7890</v>
      </c>
      <c r="AX593" s="8">
        <v>179000</v>
      </c>
      <c r="AY593" s="8">
        <v>58600</v>
      </c>
    </row>
    <row r="594" spans="1:51" x14ac:dyDescent="0.4">
      <c r="A594" s="12">
        <v>40585</v>
      </c>
      <c r="B594" s="9">
        <v>54700</v>
      </c>
      <c r="C594" s="9">
        <v>28800</v>
      </c>
      <c r="D594" s="9">
        <v>83500</v>
      </c>
      <c r="E594" s="9">
        <v>227000</v>
      </c>
      <c r="F594" s="9">
        <v>66800</v>
      </c>
      <c r="G594" s="10">
        <v>72100</v>
      </c>
      <c r="H594" s="10">
        <v>80300</v>
      </c>
      <c r="I594" s="10">
        <v>149000</v>
      </c>
      <c r="J594" s="10">
        <v>130000</v>
      </c>
      <c r="K594" s="10">
        <v>175500</v>
      </c>
      <c r="L594" s="9">
        <v>480000</v>
      </c>
      <c r="M594" s="9">
        <v>915000</v>
      </c>
      <c r="N594" s="9">
        <v>110000</v>
      </c>
      <c r="O594" s="9">
        <v>155000</v>
      </c>
      <c r="P594" s="9">
        <v>128500</v>
      </c>
      <c r="Q594" s="10">
        <v>437000</v>
      </c>
      <c r="R594" s="10">
        <v>347500</v>
      </c>
      <c r="S594" s="10">
        <v>315500</v>
      </c>
      <c r="T594" s="10">
        <v>36000</v>
      </c>
      <c r="U594" s="10">
        <v>107000</v>
      </c>
      <c r="V594" s="9">
        <v>335000</v>
      </c>
      <c r="W594" s="9">
        <v>30429</v>
      </c>
      <c r="X594" s="9">
        <v>247000</v>
      </c>
      <c r="Y594" s="9">
        <v>27900</v>
      </c>
      <c r="Z594" s="9">
        <v>80260</v>
      </c>
      <c r="AA594" s="10">
        <v>162500</v>
      </c>
      <c r="AB594" s="10">
        <v>405500</v>
      </c>
      <c r="AC594" s="10">
        <v>16200</v>
      </c>
      <c r="AD594" s="10">
        <v>194500</v>
      </c>
      <c r="AE594" s="10">
        <v>51300</v>
      </c>
      <c r="AF594" s="9">
        <v>41200</v>
      </c>
      <c r="AG594" s="9">
        <v>103000</v>
      </c>
      <c r="AH594" s="9">
        <v>56800</v>
      </c>
      <c r="AI594" s="9">
        <v>72400</v>
      </c>
      <c r="AJ594" s="9">
        <v>37050</v>
      </c>
      <c r="AK594" s="10">
        <v>23450</v>
      </c>
      <c r="AL594" s="10">
        <v>187000</v>
      </c>
      <c r="AM594" s="10">
        <v>220500</v>
      </c>
      <c r="AN594" s="10">
        <v>35000</v>
      </c>
      <c r="AO594" s="10">
        <v>12850</v>
      </c>
      <c r="AP594" s="9">
        <v>375000</v>
      </c>
      <c r="AQ594" s="9">
        <v>370000</v>
      </c>
      <c r="AR594" s="9">
        <v>14450</v>
      </c>
      <c r="AS594" s="9">
        <v>48700</v>
      </c>
      <c r="AT594" s="9">
        <v>113364</v>
      </c>
      <c r="AU594" s="10">
        <v>143000</v>
      </c>
      <c r="AV594" s="10">
        <v>42500</v>
      </c>
      <c r="AW594" s="10">
        <v>7640</v>
      </c>
      <c r="AX594" s="10">
        <v>180000</v>
      </c>
      <c r="AY594" s="10">
        <v>57100</v>
      </c>
    </row>
    <row r="595" spans="1:51" x14ac:dyDescent="0.4">
      <c r="A595" s="11">
        <v>40584</v>
      </c>
      <c r="B595" s="7">
        <v>55000</v>
      </c>
      <c r="C595" s="7">
        <v>28800</v>
      </c>
      <c r="D595" s="7">
        <v>84600</v>
      </c>
      <c r="E595" s="7">
        <v>233500</v>
      </c>
      <c r="F595" s="7">
        <v>68500</v>
      </c>
      <c r="G595" s="8">
        <v>72900</v>
      </c>
      <c r="H595" s="8">
        <v>81700</v>
      </c>
      <c r="I595" s="8">
        <v>151500</v>
      </c>
      <c r="J595" s="8">
        <v>139000</v>
      </c>
      <c r="K595" s="8">
        <v>175000</v>
      </c>
      <c r="L595" s="7">
        <v>484500</v>
      </c>
      <c r="M595" s="7">
        <v>936000</v>
      </c>
      <c r="N595" s="7">
        <v>111000</v>
      </c>
      <c r="O595" s="7">
        <v>156000</v>
      </c>
      <c r="P595" s="7">
        <v>131000</v>
      </c>
      <c r="Q595" s="8">
        <v>444000</v>
      </c>
      <c r="R595" s="8">
        <v>358000</v>
      </c>
      <c r="S595" s="8">
        <v>315500</v>
      </c>
      <c r="T595" s="8">
        <v>36450</v>
      </c>
      <c r="U595" s="8">
        <v>106500</v>
      </c>
      <c r="V595" s="7">
        <v>331000</v>
      </c>
      <c r="W595" s="7">
        <v>31512</v>
      </c>
      <c r="X595" s="7">
        <v>249500</v>
      </c>
      <c r="Y595" s="7">
        <v>28150</v>
      </c>
      <c r="Z595" s="7">
        <v>82411</v>
      </c>
      <c r="AA595" s="8">
        <v>161500</v>
      </c>
      <c r="AB595" s="8">
        <v>406000</v>
      </c>
      <c r="AC595" s="8">
        <v>16550</v>
      </c>
      <c r="AD595" s="8">
        <v>198000</v>
      </c>
      <c r="AE595" s="8">
        <v>53000</v>
      </c>
      <c r="AF595" s="7">
        <v>40850</v>
      </c>
      <c r="AG595" s="7">
        <v>106000</v>
      </c>
      <c r="AH595" s="7">
        <v>57000</v>
      </c>
      <c r="AI595" s="7">
        <v>73300</v>
      </c>
      <c r="AJ595" s="7">
        <v>37750</v>
      </c>
      <c r="AK595" s="8">
        <v>23800</v>
      </c>
      <c r="AL595" s="8">
        <v>200000</v>
      </c>
      <c r="AM595" s="8">
        <v>220500</v>
      </c>
      <c r="AN595" s="8">
        <v>35200</v>
      </c>
      <c r="AO595" s="8">
        <v>13300</v>
      </c>
      <c r="AP595" s="7">
        <v>386500</v>
      </c>
      <c r="AQ595" s="7">
        <v>379000</v>
      </c>
      <c r="AR595" s="7">
        <v>14850</v>
      </c>
      <c r="AS595" s="7">
        <v>49700</v>
      </c>
      <c r="AT595" s="7">
        <v>114341</v>
      </c>
      <c r="AU595" s="8">
        <v>149500</v>
      </c>
      <c r="AV595" s="8">
        <v>45050</v>
      </c>
      <c r="AW595" s="8">
        <v>7910</v>
      </c>
      <c r="AX595" s="8">
        <v>184500</v>
      </c>
      <c r="AY595" s="8">
        <v>57000</v>
      </c>
    </row>
    <row r="596" spans="1:51" x14ac:dyDescent="0.4">
      <c r="A596" s="11">
        <v>40583</v>
      </c>
      <c r="B596" s="7">
        <v>55200</v>
      </c>
      <c r="C596" s="7">
        <v>29550</v>
      </c>
      <c r="D596" s="7">
        <v>85500</v>
      </c>
      <c r="E596" s="7">
        <v>237500</v>
      </c>
      <c r="F596" s="7">
        <v>69900</v>
      </c>
      <c r="G596" s="8">
        <v>74400</v>
      </c>
      <c r="H596" s="8">
        <v>85500</v>
      </c>
      <c r="I596" s="8">
        <v>151000</v>
      </c>
      <c r="J596" s="8">
        <v>140000</v>
      </c>
      <c r="K596" s="8">
        <v>176000</v>
      </c>
      <c r="L596" s="7">
        <v>482000</v>
      </c>
      <c r="M596" s="7">
        <v>960000</v>
      </c>
      <c r="N596" s="7">
        <v>115500</v>
      </c>
      <c r="O596" s="7">
        <v>158000</v>
      </c>
      <c r="P596" s="7">
        <v>131000</v>
      </c>
      <c r="Q596" s="8">
        <v>445000</v>
      </c>
      <c r="R596" s="8">
        <v>364500</v>
      </c>
      <c r="S596" s="8">
        <v>323000</v>
      </c>
      <c r="T596" s="8">
        <v>37450</v>
      </c>
      <c r="U596" s="8">
        <v>111000</v>
      </c>
      <c r="V596" s="7">
        <v>337500</v>
      </c>
      <c r="W596" s="7">
        <v>32300</v>
      </c>
      <c r="X596" s="7">
        <v>251000</v>
      </c>
      <c r="Y596" s="7">
        <v>28550</v>
      </c>
      <c r="Z596" s="7">
        <v>86516</v>
      </c>
      <c r="AA596" s="8">
        <v>164000</v>
      </c>
      <c r="AB596" s="8">
        <v>425000</v>
      </c>
      <c r="AC596" s="8">
        <v>16950</v>
      </c>
      <c r="AD596" s="8">
        <v>208000</v>
      </c>
      <c r="AE596" s="8">
        <v>52800</v>
      </c>
      <c r="AF596" s="7">
        <v>41550</v>
      </c>
      <c r="AG596" s="7">
        <v>106500</v>
      </c>
      <c r="AH596" s="7">
        <v>58000</v>
      </c>
      <c r="AI596" s="7">
        <v>75600</v>
      </c>
      <c r="AJ596" s="7">
        <v>38200</v>
      </c>
      <c r="AK596" s="8">
        <v>24800</v>
      </c>
      <c r="AL596" s="8">
        <v>206500</v>
      </c>
      <c r="AM596" s="8">
        <v>219000</v>
      </c>
      <c r="AN596" s="8">
        <v>35400</v>
      </c>
      <c r="AO596" s="8">
        <v>14250</v>
      </c>
      <c r="AP596" s="7">
        <v>402000</v>
      </c>
      <c r="AQ596" s="7">
        <v>389500</v>
      </c>
      <c r="AR596" s="7">
        <v>15100</v>
      </c>
      <c r="AS596" s="7">
        <v>51100</v>
      </c>
      <c r="AT596" s="7">
        <v>117761</v>
      </c>
      <c r="AU596" s="8">
        <v>149000</v>
      </c>
      <c r="AV596" s="8">
        <v>45500</v>
      </c>
      <c r="AW596" s="8">
        <v>8120</v>
      </c>
      <c r="AX596" s="8">
        <v>194000</v>
      </c>
      <c r="AY596" s="8">
        <v>58300</v>
      </c>
    </row>
    <row r="597" spans="1:51" x14ac:dyDescent="0.4">
      <c r="A597" s="11">
        <v>40582</v>
      </c>
      <c r="B597" s="7">
        <v>56900</v>
      </c>
      <c r="C597" s="7">
        <v>30150</v>
      </c>
      <c r="D597" s="7">
        <v>87200</v>
      </c>
      <c r="E597" s="7">
        <v>242500</v>
      </c>
      <c r="F597" s="7">
        <v>70600</v>
      </c>
      <c r="G597" s="8">
        <v>73400</v>
      </c>
      <c r="H597" s="8">
        <v>86100</v>
      </c>
      <c r="I597" s="8">
        <v>158500</v>
      </c>
      <c r="J597" s="8">
        <v>142000</v>
      </c>
      <c r="K597" s="8">
        <v>181000</v>
      </c>
      <c r="L597" s="7">
        <v>482500</v>
      </c>
      <c r="M597" s="7">
        <v>961000</v>
      </c>
      <c r="N597" s="7">
        <v>113000</v>
      </c>
      <c r="O597" s="7">
        <v>156000</v>
      </c>
      <c r="P597" s="7">
        <v>135500</v>
      </c>
      <c r="Q597" s="8">
        <v>463000</v>
      </c>
      <c r="R597" s="8">
        <v>374000</v>
      </c>
      <c r="S597" s="8">
        <v>312000</v>
      </c>
      <c r="T597" s="8">
        <v>40000</v>
      </c>
      <c r="U597" s="8">
        <v>113000</v>
      </c>
      <c r="V597" s="7">
        <v>344000</v>
      </c>
      <c r="W597" s="7">
        <v>32990</v>
      </c>
      <c r="X597" s="7">
        <v>257500</v>
      </c>
      <c r="Y597" s="7">
        <v>28200</v>
      </c>
      <c r="Z597" s="7">
        <v>90427</v>
      </c>
      <c r="AA597" s="8">
        <v>165000</v>
      </c>
      <c r="AB597" s="8">
        <v>427500</v>
      </c>
      <c r="AC597" s="8">
        <v>17050</v>
      </c>
      <c r="AD597" s="8">
        <v>205000</v>
      </c>
      <c r="AE597" s="8">
        <v>55000</v>
      </c>
      <c r="AF597" s="7">
        <v>42050</v>
      </c>
      <c r="AG597" s="7">
        <v>108500</v>
      </c>
      <c r="AH597" s="7">
        <v>58700</v>
      </c>
      <c r="AI597" s="7">
        <v>77200</v>
      </c>
      <c r="AJ597" s="7">
        <v>38000</v>
      </c>
      <c r="AK597" s="8">
        <v>25850</v>
      </c>
      <c r="AL597" s="8">
        <v>203500</v>
      </c>
      <c r="AM597" s="8">
        <v>219000</v>
      </c>
      <c r="AN597" s="8">
        <v>36850</v>
      </c>
      <c r="AO597" s="8">
        <v>14200</v>
      </c>
      <c r="AP597" s="7">
        <v>410500</v>
      </c>
      <c r="AQ597" s="7">
        <v>407000</v>
      </c>
      <c r="AR597" s="7">
        <v>15150</v>
      </c>
      <c r="AS597" s="7">
        <v>50900</v>
      </c>
      <c r="AT597" s="7">
        <v>117273</v>
      </c>
      <c r="AU597" s="8">
        <v>150000</v>
      </c>
      <c r="AV597" s="8">
        <v>47350</v>
      </c>
      <c r="AW597" s="8">
        <v>8100</v>
      </c>
      <c r="AX597" s="8">
        <v>199500</v>
      </c>
      <c r="AY597" s="8">
        <v>58500</v>
      </c>
    </row>
    <row r="598" spans="1:51" x14ac:dyDescent="0.4">
      <c r="A598" s="11">
        <v>40581</v>
      </c>
      <c r="B598" s="7">
        <v>57400</v>
      </c>
      <c r="C598" s="7">
        <v>29700</v>
      </c>
      <c r="D598" s="7">
        <v>89700</v>
      </c>
      <c r="E598" s="7">
        <v>241000</v>
      </c>
      <c r="F598" s="7">
        <v>72500</v>
      </c>
      <c r="G598" s="8">
        <v>72600</v>
      </c>
      <c r="H598" s="8">
        <v>86800</v>
      </c>
      <c r="I598" s="8">
        <v>159500</v>
      </c>
      <c r="J598" s="8">
        <v>137000</v>
      </c>
      <c r="K598" s="8">
        <v>185000</v>
      </c>
      <c r="L598" s="7">
        <v>472000</v>
      </c>
      <c r="M598" s="7">
        <v>972000</v>
      </c>
      <c r="N598" s="7">
        <v>116000</v>
      </c>
      <c r="O598" s="7">
        <v>157000</v>
      </c>
      <c r="P598" s="7">
        <v>135000</v>
      </c>
      <c r="Q598" s="8">
        <v>474000</v>
      </c>
      <c r="R598" s="8">
        <v>376000</v>
      </c>
      <c r="S598" s="8">
        <v>311500</v>
      </c>
      <c r="T598" s="8">
        <v>41700</v>
      </c>
      <c r="U598" s="8">
        <v>106500</v>
      </c>
      <c r="V598" s="7">
        <v>351000</v>
      </c>
      <c r="W598" s="7">
        <v>33186</v>
      </c>
      <c r="X598" s="7">
        <v>267000</v>
      </c>
      <c r="Y598" s="7">
        <v>28400</v>
      </c>
      <c r="Z598" s="7">
        <v>86810</v>
      </c>
      <c r="AA598" s="8">
        <v>165000</v>
      </c>
      <c r="AB598" s="8">
        <v>431000</v>
      </c>
      <c r="AC598" s="8">
        <v>17500</v>
      </c>
      <c r="AD598" s="8">
        <v>208000</v>
      </c>
      <c r="AE598" s="8">
        <v>55100</v>
      </c>
      <c r="AF598" s="7">
        <v>41600</v>
      </c>
      <c r="AG598" s="7">
        <v>107500</v>
      </c>
      <c r="AH598" s="7">
        <v>59800</v>
      </c>
      <c r="AI598" s="7">
        <v>77900</v>
      </c>
      <c r="AJ598" s="7">
        <v>38500</v>
      </c>
      <c r="AK598" s="8">
        <v>27000</v>
      </c>
      <c r="AL598" s="8">
        <v>204000</v>
      </c>
      <c r="AM598" s="8">
        <v>210500</v>
      </c>
      <c r="AN598" s="8">
        <v>39550</v>
      </c>
      <c r="AO598" s="8">
        <v>14300</v>
      </c>
      <c r="AP598" s="7">
        <v>420000</v>
      </c>
      <c r="AQ598" s="7">
        <v>414000</v>
      </c>
      <c r="AR598" s="7">
        <v>14950</v>
      </c>
      <c r="AS598" s="7">
        <v>51600</v>
      </c>
      <c r="AT598" s="7">
        <v>114830</v>
      </c>
      <c r="AU598" s="8">
        <v>154500</v>
      </c>
      <c r="AV598" s="8">
        <v>47000</v>
      </c>
      <c r="AW598" s="8">
        <v>8050</v>
      </c>
      <c r="AX598" s="8">
        <v>195000</v>
      </c>
      <c r="AY598" s="8">
        <v>58800</v>
      </c>
    </row>
    <row r="599" spans="1:51" x14ac:dyDescent="0.4">
      <c r="A599" s="12">
        <v>40575</v>
      </c>
      <c r="B599" s="9">
        <v>55200</v>
      </c>
      <c r="C599" s="9">
        <v>29650</v>
      </c>
      <c r="D599" s="9">
        <v>86200</v>
      </c>
      <c r="E599" s="9">
        <v>234000</v>
      </c>
      <c r="F599" s="9">
        <v>72900</v>
      </c>
      <c r="G599" s="10">
        <v>71900</v>
      </c>
      <c r="H599" s="10">
        <v>85100</v>
      </c>
      <c r="I599" s="10">
        <v>165000</v>
      </c>
      <c r="J599" s="10">
        <v>136000</v>
      </c>
      <c r="K599" s="10">
        <v>181000</v>
      </c>
      <c r="L599" s="9">
        <v>461000</v>
      </c>
      <c r="M599" s="9">
        <v>983000</v>
      </c>
      <c r="N599" s="9">
        <v>116500</v>
      </c>
      <c r="O599" s="9">
        <v>154500</v>
      </c>
      <c r="P599" s="9">
        <v>134500</v>
      </c>
      <c r="Q599" s="10">
        <v>486000</v>
      </c>
      <c r="R599" s="10">
        <v>379000</v>
      </c>
      <c r="S599" s="10">
        <v>298500</v>
      </c>
      <c r="T599" s="10">
        <v>42050</v>
      </c>
      <c r="U599" s="10">
        <v>107500</v>
      </c>
      <c r="V599" s="9">
        <v>355000</v>
      </c>
      <c r="W599" s="9">
        <v>34171</v>
      </c>
      <c r="X599" s="9">
        <v>261000</v>
      </c>
      <c r="Y599" s="9">
        <v>28650</v>
      </c>
      <c r="Z599" s="9">
        <v>84659</v>
      </c>
      <c r="AA599" s="10">
        <v>164000</v>
      </c>
      <c r="AB599" s="10">
        <v>448000</v>
      </c>
      <c r="AC599" s="10">
        <v>17300</v>
      </c>
      <c r="AD599" s="10">
        <v>206000</v>
      </c>
      <c r="AE599" s="10">
        <v>56000</v>
      </c>
      <c r="AF599" s="9">
        <v>41650</v>
      </c>
      <c r="AG599" s="9">
        <v>105500</v>
      </c>
      <c r="AH599" s="9">
        <v>59800</v>
      </c>
      <c r="AI599" s="9">
        <v>77000</v>
      </c>
      <c r="AJ599" s="9">
        <v>38600</v>
      </c>
      <c r="AK599" s="10">
        <v>26750</v>
      </c>
      <c r="AL599" s="10">
        <v>197000</v>
      </c>
      <c r="AM599" s="10">
        <v>194500</v>
      </c>
      <c r="AN599" s="10">
        <v>41100</v>
      </c>
      <c r="AO599" s="10">
        <v>13750</v>
      </c>
      <c r="AP599" s="9">
        <v>415000</v>
      </c>
      <c r="AQ599" s="9">
        <v>412500</v>
      </c>
      <c r="AR599" s="9">
        <v>14450</v>
      </c>
      <c r="AS599" s="9">
        <v>49750</v>
      </c>
      <c r="AT599" s="9">
        <v>114830</v>
      </c>
      <c r="AU599" s="10">
        <v>157000</v>
      </c>
      <c r="AV599" s="10">
        <v>45450</v>
      </c>
      <c r="AW599" s="10">
        <v>7980</v>
      </c>
      <c r="AX599" s="10">
        <v>201500</v>
      </c>
      <c r="AY599" s="10">
        <v>58200</v>
      </c>
    </row>
    <row r="600" spans="1:51" x14ac:dyDescent="0.4">
      <c r="A600" s="11">
        <v>40574</v>
      </c>
      <c r="B600" s="7">
        <v>54700</v>
      </c>
      <c r="C600" s="7">
        <v>29650</v>
      </c>
      <c r="D600" s="7">
        <v>86900</v>
      </c>
      <c r="E600" s="7">
        <v>231500</v>
      </c>
      <c r="F600" s="7">
        <v>71500</v>
      </c>
      <c r="G600" s="8">
        <v>72700</v>
      </c>
      <c r="H600" s="8">
        <v>85200</v>
      </c>
      <c r="I600" s="8">
        <v>166000</v>
      </c>
      <c r="J600" s="8">
        <v>139000</v>
      </c>
      <c r="K600" s="8">
        <v>179000</v>
      </c>
      <c r="L600" s="7">
        <v>454000</v>
      </c>
      <c r="M600" s="7">
        <v>981000</v>
      </c>
      <c r="N600" s="7">
        <v>119000</v>
      </c>
      <c r="O600" s="7">
        <v>156000</v>
      </c>
      <c r="P600" s="7">
        <v>130000</v>
      </c>
      <c r="Q600" s="8">
        <v>485000</v>
      </c>
      <c r="R600" s="8">
        <v>379000</v>
      </c>
      <c r="S600" s="8">
        <v>297000</v>
      </c>
      <c r="T600" s="8">
        <v>42650</v>
      </c>
      <c r="U600" s="8">
        <v>111500</v>
      </c>
      <c r="V600" s="7">
        <v>361000</v>
      </c>
      <c r="W600" s="7">
        <v>33039</v>
      </c>
      <c r="X600" s="7">
        <v>258500</v>
      </c>
      <c r="Y600" s="7">
        <v>28400</v>
      </c>
      <c r="Z600" s="7">
        <v>86321</v>
      </c>
      <c r="AA600" s="8">
        <v>164500</v>
      </c>
      <c r="AB600" s="8">
        <v>453000</v>
      </c>
      <c r="AC600" s="8">
        <v>16950</v>
      </c>
      <c r="AD600" s="8">
        <v>197000</v>
      </c>
      <c r="AE600" s="8">
        <v>55400</v>
      </c>
      <c r="AF600" s="7">
        <v>41800</v>
      </c>
      <c r="AG600" s="7">
        <v>103000</v>
      </c>
      <c r="AH600" s="7">
        <v>59100</v>
      </c>
      <c r="AI600" s="7">
        <v>78800</v>
      </c>
      <c r="AJ600" s="7">
        <v>38150</v>
      </c>
      <c r="AK600" s="8">
        <v>25950</v>
      </c>
      <c r="AL600" s="8">
        <v>200000</v>
      </c>
      <c r="AM600" s="8">
        <v>192500</v>
      </c>
      <c r="AN600" s="8">
        <v>40900</v>
      </c>
      <c r="AO600" s="8">
        <v>13800</v>
      </c>
      <c r="AP600" s="7">
        <v>407000</v>
      </c>
      <c r="AQ600" s="7">
        <v>420000</v>
      </c>
      <c r="AR600" s="7">
        <v>14200</v>
      </c>
      <c r="AS600" s="7">
        <v>49600</v>
      </c>
      <c r="AT600" s="7">
        <v>114341</v>
      </c>
      <c r="AU600" s="8">
        <v>156000</v>
      </c>
      <c r="AV600" s="8">
        <v>44400</v>
      </c>
      <c r="AW600" s="8">
        <v>7800</v>
      </c>
      <c r="AX600" s="8">
        <v>204500</v>
      </c>
      <c r="AY600" s="8">
        <v>57500</v>
      </c>
    </row>
    <row r="601" spans="1:51" x14ac:dyDescent="0.4">
      <c r="A601" s="11">
        <v>40571</v>
      </c>
      <c r="B601" s="7">
        <v>57300</v>
      </c>
      <c r="C601" s="7">
        <v>29500</v>
      </c>
      <c r="D601" s="7">
        <v>88400</v>
      </c>
      <c r="E601" s="7">
        <v>231000</v>
      </c>
      <c r="F601" s="7">
        <v>74000</v>
      </c>
      <c r="G601" s="8">
        <v>76000</v>
      </c>
      <c r="H601" s="8">
        <v>88100</v>
      </c>
      <c r="I601" s="8">
        <v>169500</v>
      </c>
      <c r="J601" s="8">
        <v>137500</v>
      </c>
      <c r="K601" s="8">
        <v>188000</v>
      </c>
      <c r="L601" s="7">
        <v>462000</v>
      </c>
      <c r="M601" s="7">
        <v>1010000</v>
      </c>
      <c r="N601" s="7">
        <v>128000</v>
      </c>
      <c r="O601" s="7">
        <v>154500</v>
      </c>
      <c r="P601" s="7">
        <v>130500</v>
      </c>
      <c r="Q601" s="8">
        <v>498000</v>
      </c>
      <c r="R601" s="8">
        <v>389000</v>
      </c>
      <c r="S601" s="8">
        <v>299000</v>
      </c>
      <c r="T601" s="8">
        <v>43600</v>
      </c>
      <c r="U601" s="8">
        <v>112000</v>
      </c>
      <c r="V601" s="7">
        <v>351000</v>
      </c>
      <c r="W601" s="7">
        <v>34122</v>
      </c>
      <c r="X601" s="7">
        <v>276000</v>
      </c>
      <c r="Y601" s="7">
        <v>28700</v>
      </c>
      <c r="Z601" s="7">
        <v>88960</v>
      </c>
      <c r="AA601" s="8">
        <v>166500</v>
      </c>
      <c r="AB601" s="8">
        <v>458500</v>
      </c>
      <c r="AC601" s="8">
        <v>17650</v>
      </c>
      <c r="AD601" s="8">
        <v>202500</v>
      </c>
      <c r="AE601" s="8">
        <v>56600</v>
      </c>
      <c r="AF601" s="7">
        <v>42150</v>
      </c>
      <c r="AG601" s="7">
        <v>104500</v>
      </c>
      <c r="AH601" s="7">
        <v>59900</v>
      </c>
      <c r="AI601" s="7">
        <v>82300</v>
      </c>
      <c r="AJ601" s="7">
        <v>38350</v>
      </c>
      <c r="AK601" s="8">
        <v>26750</v>
      </c>
      <c r="AL601" s="8">
        <v>203000</v>
      </c>
      <c r="AM601" s="8">
        <v>196500</v>
      </c>
      <c r="AN601" s="8">
        <v>41850</v>
      </c>
      <c r="AO601" s="8">
        <v>14200</v>
      </c>
      <c r="AP601" s="7">
        <v>405000</v>
      </c>
      <c r="AQ601" s="7">
        <v>408000</v>
      </c>
      <c r="AR601" s="7">
        <v>14600</v>
      </c>
      <c r="AS601" s="7">
        <v>50700</v>
      </c>
      <c r="AT601" s="7">
        <v>115807</v>
      </c>
      <c r="AU601" s="8">
        <v>161000</v>
      </c>
      <c r="AV601" s="8">
        <v>44900</v>
      </c>
      <c r="AW601" s="8">
        <v>7740</v>
      </c>
      <c r="AX601" s="8">
        <v>199000</v>
      </c>
      <c r="AY601" s="8">
        <v>58000</v>
      </c>
    </row>
    <row r="602" spans="1:51" x14ac:dyDescent="0.4">
      <c r="A602" s="11">
        <v>40570</v>
      </c>
      <c r="B602" s="7">
        <v>59100</v>
      </c>
      <c r="C602" s="7">
        <v>28000</v>
      </c>
      <c r="D602" s="7">
        <v>87200</v>
      </c>
      <c r="E602" s="7">
        <v>231500</v>
      </c>
      <c r="F602" s="7">
        <v>76100</v>
      </c>
      <c r="G602" s="8">
        <v>78000</v>
      </c>
      <c r="H602" s="8">
        <v>90700</v>
      </c>
      <c r="I602" s="8">
        <v>162500</v>
      </c>
      <c r="J602" s="8">
        <v>138000</v>
      </c>
      <c r="K602" s="8">
        <v>196000</v>
      </c>
      <c r="L602" s="7">
        <v>468000</v>
      </c>
      <c r="M602" s="7">
        <v>994000</v>
      </c>
      <c r="N602" s="7">
        <v>130500</v>
      </c>
      <c r="O602" s="7">
        <v>162000</v>
      </c>
      <c r="P602" s="7">
        <v>129500</v>
      </c>
      <c r="Q602" s="8">
        <v>501000</v>
      </c>
      <c r="R602" s="8">
        <v>393000</v>
      </c>
      <c r="S602" s="8">
        <v>299500</v>
      </c>
      <c r="T602" s="8">
        <v>43700</v>
      </c>
      <c r="U602" s="8">
        <v>110500</v>
      </c>
      <c r="V602" s="7">
        <v>347500</v>
      </c>
      <c r="W602" s="7">
        <v>34959</v>
      </c>
      <c r="X602" s="7">
        <v>296000</v>
      </c>
      <c r="Y602" s="7">
        <v>28800</v>
      </c>
      <c r="Z602" s="7">
        <v>86516</v>
      </c>
      <c r="AA602" s="8">
        <v>167500</v>
      </c>
      <c r="AB602" s="8">
        <v>447000</v>
      </c>
      <c r="AC602" s="8">
        <v>17450</v>
      </c>
      <c r="AD602" s="8">
        <v>198000</v>
      </c>
      <c r="AE602" s="8">
        <v>57300</v>
      </c>
      <c r="AF602" s="7">
        <v>42250</v>
      </c>
      <c r="AG602" s="7">
        <v>106000</v>
      </c>
      <c r="AH602" s="7">
        <v>60500</v>
      </c>
      <c r="AI602" s="7">
        <v>82300</v>
      </c>
      <c r="AJ602" s="7">
        <v>38850</v>
      </c>
      <c r="AK602" s="8">
        <v>27400</v>
      </c>
      <c r="AL602" s="8">
        <v>204000</v>
      </c>
      <c r="AM602" s="8">
        <v>204000</v>
      </c>
      <c r="AN602" s="8">
        <v>42300</v>
      </c>
      <c r="AO602" s="8">
        <v>14550</v>
      </c>
      <c r="AP602" s="7">
        <v>403500</v>
      </c>
      <c r="AQ602" s="7">
        <v>401000</v>
      </c>
      <c r="AR602" s="7">
        <v>14750</v>
      </c>
      <c r="AS602" s="7">
        <v>49700</v>
      </c>
      <c r="AT602" s="7">
        <v>117761</v>
      </c>
      <c r="AU602" s="8">
        <v>163000</v>
      </c>
      <c r="AV602" s="8">
        <v>44200</v>
      </c>
      <c r="AW602" s="8">
        <v>7820</v>
      </c>
      <c r="AX602" s="8">
        <v>198500</v>
      </c>
      <c r="AY602" s="8">
        <v>57800</v>
      </c>
    </row>
    <row r="603" spans="1:51" x14ac:dyDescent="0.4">
      <c r="A603" s="11">
        <v>40569</v>
      </c>
      <c r="B603" s="7">
        <v>59400</v>
      </c>
      <c r="C603" s="7">
        <v>28200</v>
      </c>
      <c r="D603" s="7">
        <v>87100</v>
      </c>
      <c r="E603" s="7">
        <v>229000</v>
      </c>
      <c r="F603" s="7">
        <v>77100</v>
      </c>
      <c r="G603" s="8">
        <v>77100</v>
      </c>
      <c r="H603" s="8">
        <v>90700</v>
      </c>
      <c r="I603" s="8">
        <v>153500</v>
      </c>
      <c r="J603" s="8">
        <v>133500</v>
      </c>
      <c r="K603" s="8">
        <v>197500</v>
      </c>
      <c r="L603" s="7">
        <v>472500</v>
      </c>
      <c r="M603" s="7">
        <v>998000</v>
      </c>
      <c r="N603" s="7">
        <v>126000</v>
      </c>
      <c r="O603" s="7">
        <v>163500</v>
      </c>
      <c r="P603" s="7">
        <v>131000</v>
      </c>
      <c r="Q603" s="8">
        <v>490000</v>
      </c>
      <c r="R603" s="8">
        <v>394500</v>
      </c>
      <c r="S603" s="8">
        <v>300000</v>
      </c>
      <c r="T603" s="8">
        <v>43000</v>
      </c>
      <c r="U603" s="8">
        <v>98700</v>
      </c>
      <c r="V603" s="7">
        <v>341000</v>
      </c>
      <c r="W603" s="7">
        <v>35353</v>
      </c>
      <c r="X603" s="7">
        <v>297000</v>
      </c>
      <c r="Y603" s="7">
        <v>28800</v>
      </c>
      <c r="Z603" s="7">
        <v>86125</v>
      </c>
      <c r="AA603" s="8">
        <v>168000</v>
      </c>
      <c r="AB603" s="8">
        <v>426000</v>
      </c>
      <c r="AC603" s="8">
        <v>17350</v>
      </c>
      <c r="AD603" s="8">
        <v>195000</v>
      </c>
      <c r="AE603" s="8">
        <v>58500</v>
      </c>
      <c r="AF603" s="7">
        <v>42750</v>
      </c>
      <c r="AG603" s="7">
        <v>106500</v>
      </c>
      <c r="AH603" s="7">
        <v>60900</v>
      </c>
      <c r="AI603" s="7">
        <v>81400</v>
      </c>
      <c r="AJ603" s="7">
        <v>39900</v>
      </c>
      <c r="AK603" s="8">
        <v>26200</v>
      </c>
      <c r="AL603" s="8">
        <v>205000</v>
      </c>
      <c r="AM603" s="8">
        <v>203000</v>
      </c>
      <c r="AN603" s="8">
        <v>41100</v>
      </c>
      <c r="AO603" s="8">
        <v>14700</v>
      </c>
      <c r="AP603" s="7">
        <v>404500</v>
      </c>
      <c r="AQ603" s="7">
        <v>409500</v>
      </c>
      <c r="AR603" s="7">
        <v>15300</v>
      </c>
      <c r="AS603" s="7">
        <v>50300</v>
      </c>
      <c r="AT603" s="7">
        <v>118250</v>
      </c>
      <c r="AU603" s="8">
        <v>163000</v>
      </c>
      <c r="AV603" s="8">
        <v>45600</v>
      </c>
      <c r="AW603" s="8">
        <v>8000</v>
      </c>
      <c r="AX603" s="8">
        <v>189500</v>
      </c>
      <c r="AY603" s="8">
        <v>58300</v>
      </c>
    </row>
    <row r="604" spans="1:51" x14ac:dyDescent="0.4">
      <c r="A604" s="12">
        <v>40568</v>
      </c>
      <c r="B604" s="9">
        <v>57000</v>
      </c>
      <c r="C604" s="9">
        <v>27400</v>
      </c>
      <c r="D604" s="9">
        <v>86500</v>
      </c>
      <c r="E604" s="9">
        <v>223500</v>
      </c>
      <c r="F604" s="9">
        <v>77400</v>
      </c>
      <c r="G604" s="10">
        <v>77500</v>
      </c>
      <c r="H604" s="10">
        <v>88200</v>
      </c>
      <c r="I604" s="10">
        <v>149500</v>
      </c>
      <c r="J604" s="10">
        <v>129500</v>
      </c>
      <c r="K604" s="10">
        <v>189500</v>
      </c>
      <c r="L604" s="9">
        <v>474000</v>
      </c>
      <c r="M604" s="9">
        <v>975000</v>
      </c>
      <c r="N604" s="9">
        <v>124500</v>
      </c>
      <c r="O604" s="9">
        <v>164000</v>
      </c>
      <c r="P604" s="9">
        <v>130000</v>
      </c>
      <c r="Q604" s="10">
        <v>477000</v>
      </c>
      <c r="R604" s="10">
        <v>382500</v>
      </c>
      <c r="S604" s="10">
        <v>314000</v>
      </c>
      <c r="T604" s="10">
        <v>42200</v>
      </c>
      <c r="U604" s="10">
        <v>100000</v>
      </c>
      <c r="V604" s="9">
        <v>337500</v>
      </c>
      <c r="W604" s="9">
        <v>35550</v>
      </c>
      <c r="X604" s="9">
        <v>288500</v>
      </c>
      <c r="Y604" s="9">
        <v>28500</v>
      </c>
      <c r="Z604" s="9">
        <v>83779</v>
      </c>
      <c r="AA604" s="10">
        <v>168000</v>
      </c>
      <c r="AB604" s="10">
        <v>444000</v>
      </c>
      <c r="AC604" s="10">
        <v>17100</v>
      </c>
      <c r="AD604" s="10">
        <v>195500</v>
      </c>
      <c r="AE604" s="10">
        <v>57500</v>
      </c>
      <c r="AF604" s="9">
        <v>43050</v>
      </c>
      <c r="AG604" s="9">
        <v>107000</v>
      </c>
      <c r="AH604" s="9">
        <v>62100</v>
      </c>
      <c r="AI604" s="9">
        <v>81000</v>
      </c>
      <c r="AJ604" s="9">
        <v>39700</v>
      </c>
      <c r="AK604" s="10">
        <v>26750</v>
      </c>
      <c r="AL604" s="10">
        <v>206000</v>
      </c>
      <c r="AM604" s="10">
        <v>203000</v>
      </c>
      <c r="AN604" s="10">
        <v>40300</v>
      </c>
      <c r="AO604" s="10">
        <v>14400</v>
      </c>
      <c r="AP604" s="9">
        <v>393000</v>
      </c>
      <c r="AQ604" s="9">
        <v>403000</v>
      </c>
      <c r="AR604" s="9">
        <v>15300</v>
      </c>
      <c r="AS604" s="9">
        <v>50000</v>
      </c>
      <c r="AT604" s="9">
        <v>119227</v>
      </c>
      <c r="AU604" s="10">
        <v>159500</v>
      </c>
      <c r="AV604" s="10">
        <v>45750</v>
      </c>
      <c r="AW604" s="10">
        <v>8010</v>
      </c>
      <c r="AX604" s="10">
        <v>187500</v>
      </c>
      <c r="AY604" s="10">
        <v>57300</v>
      </c>
    </row>
    <row r="605" spans="1:51" x14ac:dyDescent="0.4">
      <c r="A605" s="11">
        <v>40567</v>
      </c>
      <c r="B605" s="7">
        <v>56300</v>
      </c>
      <c r="C605" s="7">
        <v>28350</v>
      </c>
      <c r="D605" s="7">
        <v>84400</v>
      </c>
      <c r="E605" s="7">
        <v>221500</v>
      </c>
      <c r="F605" s="7">
        <v>78600</v>
      </c>
      <c r="G605" s="8">
        <v>78100</v>
      </c>
      <c r="H605" s="8">
        <v>86400</v>
      </c>
      <c r="I605" s="8">
        <v>150000</v>
      </c>
      <c r="J605" s="8">
        <v>130000</v>
      </c>
      <c r="K605" s="8">
        <v>187500</v>
      </c>
      <c r="L605" s="7">
        <v>474000</v>
      </c>
      <c r="M605" s="7">
        <v>971000</v>
      </c>
      <c r="N605" s="7">
        <v>118500</v>
      </c>
      <c r="O605" s="7">
        <v>160000</v>
      </c>
      <c r="P605" s="7">
        <v>124500</v>
      </c>
      <c r="Q605" s="8">
        <v>476500</v>
      </c>
      <c r="R605" s="8">
        <v>384000</v>
      </c>
      <c r="S605" s="8">
        <v>316500</v>
      </c>
      <c r="T605" s="8">
        <v>43500</v>
      </c>
      <c r="U605" s="8">
        <v>97500</v>
      </c>
      <c r="V605" s="7">
        <v>327000</v>
      </c>
      <c r="W605" s="7">
        <v>35501</v>
      </c>
      <c r="X605" s="7">
        <v>288000</v>
      </c>
      <c r="Y605" s="7">
        <v>28400</v>
      </c>
      <c r="Z605" s="7">
        <v>86125</v>
      </c>
      <c r="AA605" s="8">
        <v>168000</v>
      </c>
      <c r="AB605" s="8">
        <v>438000</v>
      </c>
      <c r="AC605" s="8">
        <v>16750</v>
      </c>
      <c r="AD605" s="8">
        <v>189500</v>
      </c>
      <c r="AE605" s="8">
        <v>56500</v>
      </c>
      <c r="AF605" s="7">
        <v>43300</v>
      </c>
      <c r="AG605" s="7">
        <v>107000</v>
      </c>
      <c r="AH605" s="7">
        <v>60800</v>
      </c>
      <c r="AI605" s="7">
        <v>81300</v>
      </c>
      <c r="AJ605" s="7">
        <v>38700</v>
      </c>
      <c r="AK605" s="8">
        <v>26300</v>
      </c>
      <c r="AL605" s="8">
        <v>210000</v>
      </c>
      <c r="AM605" s="8">
        <v>209000</v>
      </c>
      <c r="AN605" s="8">
        <v>40550</v>
      </c>
      <c r="AO605" s="8">
        <v>14400</v>
      </c>
      <c r="AP605" s="7">
        <v>397000</v>
      </c>
      <c r="AQ605" s="7">
        <v>398000</v>
      </c>
      <c r="AR605" s="7">
        <v>15300</v>
      </c>
      <c r="AS605" s="7">
        <v>49500</v>
      </c>
      <c r="AT605" s="7">
        <v>120205</v>
      </c>
      <c r="AU605" s="8">
        <v>158500</v>
      </c>
      <c r="AV605" s="8">
        <v>46500</v>
      </c>
      <c r="AW605" s="8">
        <v>8040</v>
      </c>
      <c r="AX605" s="8">
        <v>190500</v>
      </c>
      <c r="AY605" s="8">
        <v>57000</v>
      </c>
    </row>
    <row r="606" spans="1:51" x14ac:dyDescent="0.4">
      <c r="A606" s="11">
        <v>40564</v>
      </c>
      <c r="B606" s="7">
        <v>56000</v>
      </c>
      <c r="C606" s="7">
        <v>28100</v>
      </c>
      <c r="D606" s="7">
        <v>83800</v>
      </c>
      <c r="E606" s="7">
        <v>223000</v>
      </c>
      <c r="F606" s="7">
        <v>78000</v>
      </c>
      <c r="G606" s="8">
        <v>75000</v>
      </c>
      <c r="H606" s="8">
        <v>86500</v>
      </c>
      <c r="I606" s="8">
        <v>143000</v>
      </c>
      <c r="J606" s="8">
        <v>126500</v>
      </c>
      <c r="K606" s="8">
        <v>185500</v>
      </c>
      <c r="L606" s="7">
        <v>469500</v>
      </c>
      <c r="M606" s="7">
        <v>971000</v>
      </c>
      <c r="N606" s="7">
        <v>120000</v>
      </c>
      <c r="O606" s="7">
        <v>159000</v>
      </c>
      <c r="P606" s="7">
        <v>121500</v>
      </c>
      <c r="Q606" s="8">
        <v>477500</v>
      </c>
      <c r="R606" s="8">
        <v>392500</v>
      </c>
      <c r="S606" s="8">
        <v>306000</v>
      </c>
      <c r="T606" s="8">
        <v>42350</v>
      </c>
      <c r="U606" s="8">
        <v>93700</v>
      </c>
      <c r="V606" s="7">
        <v>329500</v>
      </c>
      <c r="W606" s="7">
        <v>35501</v>
      </c>
      <c r="X606" s="7">
        <v>283500</v>
      </c>
      <c r="Y606" s="7">
        <v>28350</v>
      </c>
      <c r="Z606" s="7">
        <v>83975</v>
      </c>
      <c r="AA606" s="8">
        <v>167000</v>
      </c>
      <c r="AB606" s="8">
        <v>427500</v>
      </c>
      <c r="AC606" s="8">
        <v>17100</v>
      </c>
      <c r="AD606" s="8">
        <v>188000</v>
      </c>
      <c r="AE606" s="8">
        <v>55700</v>
      </c>
      <c r="AF606" s="7">
        <v>43800</v>
      </c>
      <c r="AG606" s="7">
        <v>108000</v>
      </c>
      <c r="AH606" s="7">
        <v>62100</v>
      </c>
      <c r="AI606" s="7">
        <v>80400</v>
      </c>
      <c r="AJ606" s="7">
        <v>37300</v>
      </c>
      <c r="AK606" s="8">
        <v>26350</v>
      </c>
      <c r="AL606" s="8">
        <v>205000</v>
      </c>
      <c r="AM606" s="8">
        <v>203000</v>
      </c>
      <c r="AN606" s="8">
        <v>39900</v>
      </c>
      <c r="AO606" s="8">
        <v>14600</v>
      </c>
      <c r="AP606" s="7">
        <v>400000</v>
      </c>
      <c r="AQ606" s="7">
        <v>398500</v>
      </c>
      <c r="AR606" s="7">
        <v>15450</v>
      </c>
      <c r="AS606" s="7">
        <v>49550</v>
      </c>
      <c r="AT606" s="7">
        <v>119227</v>
      </c>
      <c r="AU606" s="8">
        <v>158500</v>
      </c>
      <c r="AV606" s="8">
        <v>45800</v>
      </c>
      <c r="AW606" s="8">
        <v>8240</v>
      </c>
      <c r="AX606" s="8">
        <v>182500</v>
      </c>
      <c r="AY606" s="8">
        <v>56900</v>
      </c>
    </row>
    <row r="607" spans="1:51" x14ac:dyDescent="0.4">
      <c r="A607" s="11">
        <v>40563</v>
      </c>
      <c r="B607" s="7">
        <v>57900</v>
      </c>
      <c r="C607" s="7">
        <v>28200</v>
      </c>
      <c r="D607" s="7">
        <v>88300</v>
      </c>
      <c r="E607" s="7">
        <v>225500</v>
      </c>
      <c r="F607" s="7">
        <v>78900</v>
      </c>
      <c r="G607" s="8">
        <v>75700</v>
      </c>
      <c r="H607" s="8">
        <v>88400</v>
      </c>
      <c r="I607" s="8">
        <v>140500</v>
      </c>
      <c r="J607" s="8">
        <v>128500</v>
      </c>
      <c r="K607" s="8">
        <v>194000</v>
      </c>
      <c r="L607" s="7">
        <v>475500</v>
      </c>
      <c r="M607" s="7">
        <v>982000</v>
      </c>
      <c r="N607" s="7">
        <v>127500</v>
      </c>
      <c r="O607" s="7">
        <v>165000</v>
      </c>
      <c r="P607" s="7">
        <v>124000</v>
      </c>
      <c r="Q607" s="8">
        <v>491500</v>
      </c>
      <c r="R607" s="8">
        <v>393000</v>
      </c>
      <c r="S607" s="8">
        <v>315500</v>
      </c>
      <c r="T607" s="8">
        <v>43950</v>
      </c>
      <c r="U607" s="8">
        <v>93600</v>
      </c>
      <c r="V607" s="7">
        <v>330000</v>
      </c>
      <c r="W607" s="7">
        <v>35747</v>
      </c>
      <c r="X607" s="7">
        <v>294000</v>
      </c>
      <c r="Y607" s="7">
        <v>28400</v>
      </c>
      <c r="Z607" s="7">
        <v>86516</v>
      </c>
      <c r="AA607" s="8">
        <v>168500</v>
      </c>
      <c r="AB607" s="8">
        <v>432500</v>
      </c>
      <c r="AC607" s="8">
        <v>17550</v>
      </c>
      <c r="AD607" s="8">
        <v>194500</v>
      </c>
      <c r="AE607" s="8">
        <v>57700</v>
      </c>
      <c r="AF607" s="7">
        <v>42950</v>
      </c>
      <c r="AG607" s="7">
        <v>110500</v>
      </c>
      <c r="AH607" s="7">
        <v>62200</v>
      </c>
      <c r="AI607" s="7">
        <v>83000</v>
      </c>
      <c r="AJ607" s="7">
        <v>37950</v>
      </c>
      <c r="AK607" s="8">
        <v>27100</v>
      </c>
      <c r="AL607" s="8">
        <v>204000</v>
      </c>
      <c r="AM607" s="8">
        <v>200000</v>
      </c>
      <c r="AN607" s="8">
        <v>41000</v>
      </c>
      <c r="AO607" s="8">
        <v>15200</v>
      </c>
      <c r="AP607" s="7">
        <v>405000</v>
      </c>
      <c r="AQ607" s="7">
        <v>403500</v>
      </c>
      <c r="AR607" s="7">
        <v>15550</v>
      </c>
      <c r="AS607" s="7">
        <v>51400</v>
      </c>
      <c r="AT607" s="7">
        <v>117761</v>
      </c>
      <c r="AU607" s="8">
        <v>162000</v>
      </c>
      <c r="AV607" s="8">
        <v>47750</v>
      </c>
      <c r="AW607" s="8">
        <v>8280</v>
      </c>
      <c r="AX607" s="8">
        <v>185000</v>
      </c>
      <c r="AY607" s="8">
        <v>58900</v>
      </c>
    </row>
    <row r="608" spans="1:51" x14ac:dyDescent="0.4">
      <c r="A608" s="11">
        <v>40562</v>
      </c>
      <c r="B608" s="7">
        <v>57000</v>
      </c>
      <c r="C608" s="7">
        <v>27850</v>
      </c>
      <c r="D608" s="7">
        <v>89300</v>
      </c>
      <c r="E608" s="7">
        <v>226000</v>
      </c>
      <c r="F608" s="7">
        <v>79500</v>
      </c>
      <c r="G608" s="8">
        <v>73100</v>
      </c>
      <c r="H608" s="8">
        <v>87100</v>
      </c>
      <c r="I608" s="8">
        <v>140000</v>
      </c>
      <c r="J608" s="8">
        <v>128500</v>
      </c>
      <c r="K608" s="8">
        <v>193000</v>
      </c>
      <c r="L608" s="7">
        <v>475500</v>
      </c>
      <c r="M608" s="7">
        <v>997000</v>
      </c>
      <c r="N608" s="7">
        <v>125500</v>
      </c>
      <c r="O608" s="7">
        <v>171000</v>
      </c>
      <c r="P608" s="7">
        <v>125500</v>
      </c>
      <c r="Q608" s="8">
        <v>500000</v>
      </c>
      <c r="R608" s="8">
        <v>389000</v>
      </c>
      <c r="S608" s="8">
        <v>319000</v>
      </c>
      <c r="T608" s="8">
        <v>45300</v>
      </c>
      <c r="U608" s="8">
        <v>92400</v>
      </c>
      <c r="V608" s="7">
        <v>318000</v>
      </c>
      <c r="W608" s="7">
        <v>36239</v>
      </c>
      <c r="X608" s="7">
        <v>298500</v>
      </c>
      <c r="Y608" s="7">
        <v>28500</v>
      </c>
      <c r="Z608" s="7">
        <v>87103</v>
      </c>
      <c r="AA608" s="8">
        <v>168000</v>
      </c>
      <c r="AB608" s="8">
        <v>429000</v>
      </c>
      <c r="AC608" s="8">
        <v>18050</v>
      </c>
      <c r="AD608" s="8">
        <v>195500</v>
      </c>
      <c r="AE608" s="8">
        <v>57000</v>
      </c>
      <c r="AF608" s="7">
        <v>43200</v>
      </c>
      <c r="AG608" s="7">
        <v>110000</v>
      </c>
      <c r="AH608" s="7">
        <v>62200</v>
      </c>
      <c r="AI608" s="7">
        <v>83800</v>
      </c>
      <c r="AJ608" s="7">
        <v>38550</v>
      </c>
      <c r="AK608" s="8">
        <v>27900</v>
      </c>
      <c r="AL608" s="8">
        <v>199500</v>
      </c>
      <c r="AM608" s="8">
        <v>201000</v>
      </c>
      <c r="AN608" s="8">
        <v>42400</v>
      </c>
      <c r="AO608" s="8">
        <v>15400</v>
      </c>
      <c r="AP608" s="7">
        <v>401000</v>
      </c>
      <c r="AQ608" s="7">
        <v>410000</v>
      </c>
      <c r="AR608" s="7">
        <v>15750</v>
      </c>
      <c r="AS608" s="7">
        <v>52400</v>
      </c>
      <c r="AT608" s="7">
        <v>117761</v>
      </c>
      <c r="AU608" s="8">
        <v>163500</v>
      </c>
      <c r="AV608" s="8">
        <v>48050</v>
      </c>
      <c r="AW608" s="8">
        <v>8300</v>
      </c>
      <c r="AX608" s="8">
        <v>187000</v>
      </c>
      <c r="AY608" s="8">
        <v>59700</v>
      </c>
    </row>
    <row r="609" spans="1:51" x14ac:dyDescent="0.4">
      <c r="A609" s="12">
        <v>40561</v>
      </c>
      <c r="B609" s="9">
        <v>57000</v>
      </c>
      <c r="C609" s="9">
        <v>27650</v>
      </c>
      <c r="D609" s="9">
        <v>89100</v>
      </c>
      <c r="E609" s="9">
        <v>220000</v>
      </c>
      <c r="F609" s="9">
        <v>80300</v>
      </c>
      <c r="G609" s="10">
        <v>71100</v>
      </c>
      <c r="H609" s="10">
        <v>85300</v>
      </c>
      <c r="I609" s="10">
        <v>137500</v>
      </c>
      <c r="J609" s="10">
        <v>128000</v>
      </c>
      <c r="K609" s="10">
        <v>193500</v>
      </c>
      <c r="L609" s="9">
        <v>466000</v>
      </c>
      <c r="M609" s="9">
        <v>969000</v>
      </c>
      <c r="N609" s="9">
        <v>127500</v>
      </c>
      <c r="O609" s="9">
        <v>169000</v>
      </c>
      <c r="P609" s="9">
        <v>126000</v>
      </c>
      <c r="Q609" s="10">
        <v>489000</v>
      </c>
      <c r="R609" s="10">
        <v>370500</v>
      </c>
      <c r="S609" s="10">
        <v>303500</v>
      </c>
      <c r="T609" s="10">
        <v>43600</v>
      </c>
      <c r="U609" s="10">
        <v>92100</v>
      </c>
      <c r="V609" s="9">
        <v>324500</v>
      </c>
      <c r="W609" s="9">
        <v>35895</v>
      </c>
      <c r="X609" s="9">
        <v>300500</v>
      </c>
      <c r="Y609" s="9">
        <v>28300</v>
      </c>
      <c r="Z609" s="9">
        <v>93262</v>
      </c>
      <c r="AA609" s="10">
        <v>166500</v>
      </c>
      <c r="AB609" s="10">
        <v>434000</v>
      </c>
      <c r="AC609" s="10">
        <v>17950</v>
      </c>
      <c r="AD609" s="10">
        <v>201500</v>
      </c>
      <c r="AE609" s="10">
        <v>56000</v>
      </c>
      <c r="AF609" s="9">
        <v>43100</v>
      </c>
      <c r="AG609" s="9">
        <v>109000</v>
      </c>
      <c r="AH609" s="9">
        <v>62300</v>
      </c>
      <c r="AI609" s="9">
        <v>84300</v>
      </c>
      <c r="AJ609" s="9">
        <v>37300</v>
      </c>
      <c r="AK609" s="10">
        <v>28050</v>
      </c>
      <c r="AL609" s="10">
        <v>206000</v>
      </c>
      <c r="AM609" s="10">
        <v>194500</v>
      </c>
      <c r="AN609" s="10">
        <v>41250</v>
      </c>
      <c r="AO609" s="10">
        <v>15350</v>
      </c>
      <c r="AP609" s="9">
        <v>390000</v>
      </c>
      <c r="AQ609" s="9">
        <v>412000</v>
      </c>
      <c r="AR609" s="9">
        <v>15550</v>
      </c>
      <c r="AS609" s="9">
        <v>51700</v>
      </c>
      <c r="AT609" s="9">
        <v>111409</v>
      </c>
      <c r="AU609" s="10">
        <v>159500</v>
      </c>
      <c r="AV609" s="10">
        <v>46700</v>
      </c>
      <c r="AW609" s="10">
        <v>8220</v>
      </c>
      <c r="AX609" s="10">
        <v>186000</v>
      </c>
      <c r="AY609" s="10">
        <v>59800</v>
      </c>
    </row>
    <row r="610" spans="1:51" x14ac:dyDescent="0.4">
      <c r="A610" s="11">
        <v>40560</v>
      </c>
      <c r="B610" s="7">
        <v>57900</v>
      </c>
      <c r="C610" s="7">
        <v>26900</v>
      </c>
      <c r="D610" s="7">
        <v>91800</v>
      </c>
      <c r="E610" s="7">
        <v>220000</v>
      </c>
      <c r="F610" s="7">
        <v>76700</v>
      </c>
      <c r="G610" s="8">
        <v>71200</v>
      </c>
      <c r="H610" s="8">
        <v>85500</v>
      </c>
      <c r="I610" s="8">
        <v>131000</v>
      </c>
      <c r="J610" s="8">
        <v>127500</v>
      </c>
      <c r="K610" s="8">
        <v>198000</v>
      </c>
      <c r="L610" s="7">
        <v>469500</v>
      </c>
      <c r="M610" s="7">
        <v>949000</v>
      </c>
      <c r="N610" s="7">
        <v>127000</v>
      </c>
      <c r="O610" s="7">
        <v>167500</v>
      </c>
      <c r="P610" s="7">
        <v>124500</v>
      </c>
      <c r="Q610" s="8">
        <v>499000</v>
      </c>
      <c r="R610" s="8">
        <v>373000</v>
      </c>
      <c r="S610" s="8">
        <v>297000</v>
      </c>
      <c r="T610" s="8">
        <v>44200</v>
      </c>
      <c r="U610" s="8">
        <v>91000</v>
      </c>
      <c r="V610" s="7">
        <v>313500</v>
      </c>
      <c r="W610" s="7">
        <v>36485</v>
      </c>
      <c r="X610" s="7">
        <v>308500</v>
      </c>
      <c r="Y610" s="7">
        <v>28000</v>
      </c>
      <c r="Z610" s="7">
        <v>93359</v>
      </c>
      <c r="AA610" s="8">
        <v>167000</v>
      </c>
      <c r="AB610" s="8">
        <v>444000</v>
      </c>
      <c r="AC610" s="8">
        <v>17900</v>
      </c>
      <c r="AD610" s="8">
        <v>202000</v>
      </c>
      <c r="AE610" s="8">
        <v>56900</v>
      </c>
      <c r="AF610" s="7">
        <v>42700</v>
      </c>
      <c r="AG610" s="7">
        <v>109500</v>
      </c>
      <c r="AH610" s="7">
        <v>63500</v>
      </c>
      <c r="AI610" s="7">
        <v>85600</v>
      </c>
      <c r="AJ610" s="7">
        <v>37350</v>
      </c>
      <c r="AK610" s="8">
        <v>28750</v>
      </c>
      <c r="AL610" s="8">
        <v>211000</v>
      </c>
      <c r="AM610" s="8">
        <v>189000</v>
      </c>
      <c r="AN610" s="8">
        <v>40500</v>
      </c>
      <c r="AO610" s="8">
        <v>14900</v>
      </c>
      <c r="AP610" s="7">
        <v>396000</v>
      </c>
      <c r="AQ610" s="7">
        <v>415000</v>
      </c>
      <c r="AR610" s="7">
        <v>15750</v>
      </c>
      <c r="AS610" s="7">
        <v>53200</v>
      </c>
      <c r="AT610" s="7">
        <v>112875</v>
      </c>
      <c r="AU610" s="8">
        <v>161500</v>
      </c>
      <c r="AV610" s="8">
        <v>48000</v>
      </c>
      <c r="AW610" s="8">
        <v>8220</v>
      </c>
      <c r="AX610" s="8">
        <v>182500</v>
      </c>
      <c r="AY610" s="8">
        <v>61300</v>
      </c>
    </row>
    <row r="611" spans="1:51" x14ac:dyDescent="0.4">
      <c r="A611" s="11">
        <v>40557</v>
      </c>
      <c r="B611" s="7">
        <v>58900</v>
      </c>
      <c r="C611" s="7">
        <v>27250</v>
      </c>
      <c r="D611" s="7">
        <v>88300</v>
      </c>
      <c r="E611" s="7">
        <v>222000</v>
      </c>
      <c r="F611" s="7">
        <v>76800</v>
      </c>
      <c r="G611" s="8">
        <v>71200</v>
      </c>
      <c r="H611" s="8">
        <v>85800</v>
      </c>
      <c r="I611" s="8">
        <v>132500</v>
      </c>
      <c r="J611" s="8">
        <v>131500</v>
      </c>
      <c r="K611" s="8">
        <v>200500</v>
      </c>
      <c r="L611" s="7">
        <v>476000</v>
      </c>
      <c r="M611" s="7">
        <v>933000</v>
      </c>
      <c r="N611" s="7">
        <v>127500</v>
      </c>
      <c r="O611" s="7">
        <v>171500</v>
      </c>
      <c r="P611" s="7">
        <v>126000</v>
      </c>
      <c r="Q611" s="8">
        <v>504000</v>
      </c>
      <c r="R611" s="8">
        <v>370500</v>
      </c>
      <c r="S611" s="8">
        <v>312500</v>
      </c>
      <c r="T611" s="8">
        <v>44000</v>
      </c>
      <c r="U611" s="8">
        <v>90800</v>
      </c>
      <c r="V611" s="7">
        <v>320500</v>
      </c>
      <c r="W611" s="7">
        <v>36239</v>
      </c>
      <c r="X611" s="7">
        <v>315000</v>
      </c>
      <c r="Y611" s="7">
        <v>28000</v>
      </c>
      <c r="Z611" s="7">
        <v>94924</v>
      </c>
      <c r="AA611" s="8">
        <v>166500</v>
      </c>
      <c r="AB611" s="8">
        <v>440000</v>
      </c>
      <c r="AC611" s="8">
        <v>18200</v>
      </c>
      <c r="AD611" s="8">
        <v>196500</v>
      </c>
      <c r="AE611" s="8">
        <v>57300</v>
      </c>
      <c r="AF611" s="7">
        <v>42900</v>
      </c>
      <c r="AG611" s="7">
        <v>109500</v>
      </c>
      <c r="AH611" s="7">
        <v>65100</v>
      </c>
      <c r="AI611" s="7">
        <v>82900</v>
      </c>
      <c r="AJ611" s="7">
        <v>38000</v>
      </c>
      <c r="AK611" s="8">
        <v>29200</v>
      </c>
      <c r="AL611" s="8">
        <v>207000</v>
      </c>
      <c r="AM611" s="8">
        <v>203000</v>
      </c>
      <c r="AN611" s="8">
        <v>39800</v>
      </c>
      <c r="AO611" s="8">
        <v>13900</v>
      </c>
      <c r="AP611" s="7">
        <v>396000</v>
      </c>
      <c r="AQ611" s="7">
        <v>422000</v>
      </c>
      <c r="AR611" s="7">
        <v>15700</v>
      </c>
      <c r="AS611" s="7">
        <v>53800</v>
      </c>
      <c r="AT611" s="7">
        <v>111409</v>
      </c>
      <c r="AU611" s="8">
        <v>165500</v>
      </c>
      <c r="AV611" s="8">
        <v>48850</v>
      </c>
      <c r="AW611" s="8">
        <v>8080</v>
      </c>
      <c r="AX611" s="8">
        <v>188500</v>
      </c>
      <c r="AY611" s="8">
        <v>60900</v>
      </c>
    </row>
    <row r="612" spans="1:51" x14ac:dyDescent="0.4">
      <c r="A612" s="11">
        <v>40556</v>
      </c>
      <c r="B612" s="7">
        <v>58200</v>
      </c>
      <c r="C612" s="7">
        <v>27250</v>
      </c>
      <c r="D612" s="7">
        <v>85800</v>
      </c>
      <c r="E612" s="7">
        <v>220000</v>
      </c>
      <c r="F612" s="7">
        <v>77000</v>
      </c>
      <c r="G612" s="8">
        <v>73600</v>
      </c>
      <c r="H612" s="8">
        <v>86600</v>
      </c>
      <c r="I612" s="8">
        <v>136000</v>
      </c>
      <c r="J612" s="8">
        <v>132500</v>
      </c>
      <c r="K612" s="8">
        <v>192000</v>
      </c>
      <c r="L612" s="7">
        <v>481000</v>
      </c>
      <c r="M612" s="7">
        <v>922000</v>
      </c>
      <c r="N612" s="7">
        <v>124000</v>
      </c>
      <c r="O612" s="7">
        <v>170000</v>
      </c>
      <c r="P612" s="7">
        <v>126000</v>
      </c>
      <c r="Q612" s="8">
        <v>490500</v>
      </c>
      <c r="R612" s="8">
        <v>367500</v>
      </c>
      <c r="S612" s="8">
        <v>310000</v>
      </c>
      <c r="T612" s="8">
        <v>42500</v>
      </c>
      <c r="U612" s="8">
        <v>93600</v>
      </c>
      <c r="V612" s="7">
        <v>318500</v>
      </c>
      <c r="W612" s="7">
        <v>36387</v>
      </c>
      <c r="X612" s="7">
        <v>306500</v>
      </c>
      <c r="Y612" s="7">
        <v>28300</v>
      </c>
      <c r="Z612" s="7">
        <v>91893</v>
      </c>
      <c r="AA612" s="8">
        <v>167000</v>
      </c>
      <c r="AB612" s="8">
        <v>448500</v>
      </c>
      <c r="AC612" s="8">
        <v>18150</v>
      </c>
      <c r="AD612" s="8">
        <v>185000</v>
      </c>
      <c r="AE612" s="8">
        <v>58000</v>
      </c>
      <c r="AF612" s="7">
        <v>43550</v>
      </c>
      <c r="AG612" s="7">
        <v>106000</v>
      </c>
      <c r="AH612" s="7">
        <v>64600</v>
      </c>
      <c r="AI612" s="7">
        <v>83100</v>
      </c>
      <c r="AJ612" s="7">
        <v>38550</v>
      </c>
      <c r="AK612" s="8">
        <v>28400</v>
      </c>
      <c r="AL612" s="8">
        <v>202500</v>
      </c>
      <c r="AM612" s="8">
        <v>204500</v>
      </c>
      <c r="AN612" s="8">
        <v>38550</v>
      </c>
      <c r="AO612" s="8">
        <v>13900</v>
      </c>
      <c r="AP612" s="7">
        <v>402500</v>
      </c>
      <c r="AQ612" s="7">
        <v>416000</v>
      </c>
      <c r="AR612" s="7">
        <v>15350</v>
      </c>
      <c r="AS612" s="7">
        <v>52600</v>
      </c>
      <c r="AT612" s="7">
        <v>109943</v>
      </c>
      <c r="AU612" s="8">
        <v>161000</v>
      </c>
      <c r="AV612" s="8">
        <v>46650</v>
      </c>
      <c r="AW612" s="8">
        <v>8030</v>
      </c>
      <c r="AX612" s="8">
        <v>194500</v>
      </c>
      <c r="AY612" s="8">
        <v>60200</v>
      </c>
    </row>
    <row r="613" spans="1:51" x14ac:dyDescent="0.4">
      <c r="A613" s="11">
        <v>40555</v>
      </c>
      <c r="B613" s="7">
        <v>58800</v>
      </c>
      <c r="C613" s="7">
        <v>26350</v>
      </c>
      <c r="D613" s="7">
        <v>85900</v>
      </c>
      <c r="E613" s="7">
        <v>219500</v>
      </c>
      <c r="F613" s="7">
        <v>78200</v>
      </c>
      <c r="G613" s="8">
        <v>73300</v>
      </c>
      <c r="H613" s="8">
        <v>86300</v>
      </c>
      <c r="I613" s="8">
        <v>137000</v>
      </c>
      <c r="J613" s="8">
        <v>134000</v>
      </c>
      <c r="K613" s="8">
        <v>193500</v>
      </c>
      <c r="L613" s="7">
        <v>494000</v>
      </c>
      <c r="M613" s="7">
        <v>930000</v>
      </c>
      <c r="N613" s="7">
        <v>125500</v>
      </c>
      <c r="O613" s="7">
        <v>169500</v>
      </c>
      <c r="P613" s="7">
        <v>127000</v>
      </c>
      <c r="Q613" s="8">
        <v>492500</v>
      </c>
      <c r="R613" s="8">
        <v>365500</v>
      </c>
      <c r="S613" s="8">
        <v>309000</v>
      </c>
      <c r="T613" s="8">
        <v>40050</v>
      </c>
      <c r="U613" s="8">
        <v>94700</v>
      </c>
      <c r="V613" s="7">
        <v>321000</v>
      </c>
      <c r="W613" s="7">
        <v>36239</v>
      </c>
      <c r="X613" s="7">
        <v>307000</v>
      </c>
      <c r="Y613" s="7">
        <v>28750</v>
      </c>
      <c r="Z613" s="7">
        <v>87103</v>
      </c>
      <c r="AA613" s="8">
        <v>169000</v>
      </c>
      <c r="AB613" s="8">
        <v>455500</v>
      </c>
      <c r="AC613" s="8">
        <v>18200</v>
      </c>
      <c r="AD613" s="8">
        <v>186500</v>
      </c>
      <c r="AE613" s="8">
        <v>59100</v>
      </c>
      <c r="AF613" s="7">
        <v>43450</v>
      </c>
      <c r="AG613" s="7">
        <v>105500</v>
      </c>
      <c r="AH613" s="7">
        <v>64600</v>
      </c>
      <c r="AI613" s="7">
        <v>83700</v>
      </c>
      <c r="AJ613" s="7">
        <v>38200</v>
      </c>
      <c r="AK613" s="8">
        <v>28950</v>
      </c>
      <c r="AL613" s="8">
        <v>208500</v>
      </c>
      <c r="AM613" s="8">
        <v>212000</v>
      </c>
      <c r="AN613" s="8">
        <v>37950</v>
      </c>
      <c r="AO613" s="8">
        <v>14100</v>
      </c>
      <c r="AP613" s="7">
        <v>407000</v>
      </c>
      <c r="AQ613" s="7">
        <v>419000</v>
      </c>
      <c r="AR613" s="7">
        <v>15000</v>
      </c>
      <c r="AS613" s="7">
        <v>51000</v>
      </c>
      <c r="AT613" s="7">
        <v>109455</v>
      </c>
      <c r="AU613" s="8">
        <v>164000</v>
      </c>
      <c r="AV613" s="8">
        <v>44950</v>
      </c>
      <c r="AW613" s="8">
        <v>8000</v>
      </c>
      <c r="AX613" s="8">
        <v>196000</v>
      </c>
      <c r="AY613" s="8">
        <v>58400</v>
      </c>
    </row>
    <row r="614" spans="1:51" x14ac:dyDescent="0.4">
      <c r="A614" s="12">
        <v>40554</v>
      </c>
      <c r="B614" s="9">
        <v>58600</v>
      </c>
      <c r="C614" s="9">
        <v>25400</v>
      </c>
      <c r="D614" s="9">
        <v>82200</v>
      </c>
      <c r="E614" s="9">
        <v>222000</v>
      </c>
      <c r="F614" s="9">
        <v>77100</v>
      </c>
      <c r="G614" s="10">
        <v>73600</v>
      </c>
      <c r="H614" s="10">
        <v>85800</v>
      </c>
      <c r="I614" s="10">
        <v>136000</v>
      </c>
      <c r="J614" s="10">
        <v>131500</v>
      </c>
      <c r="K614" s="10">
        <v>196000</v>
      </c>
      <c r="L614" s="9">
        <v>496500</v>
      </c>
      <c r="M614" s="9">
        <v>913000</v>
      </c>
      <c r="N614" s="9">
        <v>126500</v>
      </c>
      <c r="O614" s="9">
        <v>169000</v>
      </c>
      <c r="P614" s="9">
        <v>129500</v>
      </c>
      <c r="Q614" s="10">
        <v>472500</v>
      </c>
      <c r="R614" s="10">
        <v>357000</v>
      </c>
      <c r="S614" s="10">
        <v>300500</v>
      </c>
      <c r="T614" s="10">
        <v>39700</v>
      </c>
      <c r="U614" s="10">
        <v>93700</v>
      </c>
      <c r="V614" s="9">
        <v>313000</v>
      </c>
      <c r="W614" s="9">
        <v>36485</v>
      </c>
      <c r="X614" s="9">
        <v>307000</v>
      </c>
      <c r="Y614" s="9">
        <v>29000</v>
      </c>
      <c r="Z614" s="9">
        <v>86907</v>
      </c>
      <c r="AA614" s="10">
        <v>169500</v>
      </c>
      <c r="AB614" s="10">
        <v>464000</v>
      </c>
      <c r="AC614" s="10">
        <v>18550</v>
      </c>
      <c r="AD614" s="10">
        <v>189500</v>
      </c>
      <c r="AE614" s="10">
        <v>59400</v>
      </c>
      <c r="AF614" s="9">
        <v>44200</v>
      </c>
      <c r="AG614" s="9">
        <v>109000</v>
      </c>
      <c r="AH614" s="9">
        <v>63600</v>
      </c>
      <c r="AI614" s="9">
        <v>83400</v>
      </c>
      <c r="AJ614" s="9">
        <v>38550</v>
      </c>
      <c r="AK614" s="10">
        <v>30000</v>
      </c>
      <c r="AL614" s="10">
        <v>211500</v>
      </c>
      <c r="AM614" s="10">
        <v>218500</v>
      </c>
      <c r="AN614" s="10">
        <v>37150</v>
      </c>
      <c r="AO614" s="10">
        <v>13950</v>
      </c>
      <c r="AP614" s="9">
        <v>419500</v>
      </c>
      <c r="AQ614" s="9">
        <v>415500</v>
      </c>
      <c r="AR614" s="9">
        <v>15100</v>
      </c>
      <c r="AS614" s="9">
        <v>51500</v>
      </c>
      <c r="AT614" s="9">
        <v>111898</v>
      </c>
      <c r="AU614" s="10">
        <v>162500</v>
      </c>
      <c r="AV614" s="10">
        <v>43350</v>
      </c>
      <c r="AW614" s="10">
        <v>8310</v>
      </c>
      <c r="AX614" s="10">
        <v>188500</v>
      </c>
      <c r="AY614" s="10">
        <v>58900</v>
      </c>
    </row>
    <row r="615" spans="1:51" x14ac:dyDescent="0.4">
      <c r="A615" s="11">
        <v>40553</v>
      </c>
      <c r="B615" s="7">
        <v>59700</v>
      </c>
      <c r="C615" s="7">
        <v>25300</v>
      </c>
      <c r="D615" s="7">
        <v>82100</v>
      </c>
      <c r="E615" s="7">
        <v>227000</v>
      </c>
      <c r="F615" s="7">
        <v>77600</v>
      </c>
      <c r="G615" s="8">
        <v>73200</v>
      </c>
      <c r="H615" s="8">
        <v>88000</v>
      </c>
      <c r="I615" s="8">
        <v>139500</v>
      </c>
      <c r="J615" s="8">
        <v>129500</v>
      </c>
      <c r="K615" s="8">
        <v>198000</v>
      </c>
      <c r="L615" s="7">
        <v>488500</v>
      </c>
      <c r="M615" s="7">
        <v>917000</v>
      </c>
      <c r="N615" s="7">
        <v>120500</v>
      </c>
      <c r="O615" s="7">
        <v>174000</v>
      </c>
      <c r="P615" s="7">
        <v>128500</v>
      </c>
      <c r="Q615" s="8">
        <v>455000</v>
      </c>
      <c r="R615" s="8">
        <v>348000</v>
      </c>
      <c r="S615" s="8">
        <v>288500</v>
      </c>
      <c r="T615" s="8">
        <v>40000</v>
      </c>
      <c r="U615" s="8">
        <v>90000</v>
      </c>
      <c r="V615" s="7">
        <v>309000</v>
      </c>
      <c r="W615" s="7">
        <v>37126</v>
      </c>
      <c r="X615" s="7">
        <v>305500</v>
      </c>
      <c r="Y615" s="7">
        <v>29100</v>
      </c>
      <c r="Z615" s="7">
        <v>85637</v>
      </c>
      <c r="AA615" s="8">
        <v>170500</v>
      </c>
      <c r="AB615" s="8">
        <v>462000</v>
      </c>
      <c r="AC615" s="8">
        <v>18400</v>
      </c>
      <c r="AD615" s="8">
        <v>183000</v>
      </c>
      <c r="AE615" s="8">
        <v>59400</v>
      </c>
      <c r="AF615" s="7">
        <v>44150</v>
      </c>
      <c r="AG615" s="7">
        <v>110000</v>
      </c>
      <c r="AH615" s="7">
        <v>64100</v>
      </c>
      <c r="AI615" s="7">
        <v>84400</v>
      </c>
      <c r="AJ615" s="7">
        <v>38850</v>
      </c>
      <c r="AK615" s="8">
        <v>29800</v>
      </c>
      <c r="AL615" s="8">
        <v>215000</v>
      </c>
      <c r="AM615" s="8">
        <v>217000</v>
      </c>
      <c r="AN615" s="8">
        <v>36700</v>
      </c>
      <c r="AO615" s="8">
        <v>14000</v>
      </c>
      <c r="AP615" s="7">
        <v>414000</v>
      </c>
      <c r="AQ615" s="7">
        <v>407000</v>
      </c>
      <c r="AR615" s="7">
        <v>14900</v>
      </c>
      <c r="AS615" s="7">
        <v>50700</v>
      </c>
      <c r="AT615" s="7">
        <v>112386</v>
      </c>
      <c r="AU615" s="8">
        <v>164500</v>
      </c>
      <c r="AV615" s="8">
        <v>43950</v>
      </c>
      <c r="AW615" s="8">
        <v>8390</v>
      </c>
      <c r="AX615" s="8">
        <v>186500</v>
      </c>
      <c r="AY615" s="8">
        <v>58100</v>
      </c>
    </row>
    <row r="616" spans="1:51" x14ac:dyDescent="0.4">
      <c r="A616" s="11">
        <v>40550</v>
      </c>
      <c r="B616" s="7">
        <v>58300</v>
      </c>
      <c r="C616" s="7">
        <v>26100</v>
      </c>
      <c r="D616" s="7">
        <v>82000</v>
      </c>
      <c r="E616" s="7">
        <v>222500</v>
      </c>
      <c r="F616" s="7">
        <v>79200</v>
      </c>
      <c r="G616" s="8">
        <v>73000</v>
      </c>
      <c r="H616" s="8">
        <v>89000</v>
      </c>
      <c r="I616" s="8">
        <v>143000</v>
      </c>
      <c r="J616" s="8">
        <v>128500</v>
      </c>
      <c r="K616" s="8">
        <v>198000</v>
      </c>
      <c r="L616" s="7">
        <v>491000</v>
      </c>
      <c r="M616" s="7">
        <v>921000</v>
      </c>
      <c r="N616" s="7">
        <v>122000</v>
      </c>
      <c r="O616" s="7">
        <v>178000</v>
      </c>
      <c r="P616" s="7">
        <v>131500</v>
      </c>
      <c r="Q616" s="8">
        <v>463000</v>
      </c>
      <c r="R616" s="8">
        <v>346000</v>
      </c>
      <c r="S616" s="8">
        <v>284500</v>
      </c>
      <c r="T616" s="8">
        <v>41550</v>
      </c>
      <c r="U616" s="8">
        <v>90000</v>
      </c>
      <c r="V616" s="7">
        <v>301500</v>
      </c>
      <c r="W616" s="7">
        <v>37027</v>
      </c>
      <c r="X616" s="7">
        <v>303000</v>
      </c>
      <c r="Y616" s="7">
        <v>28950</v>
      </c>
      <c r="Z616" s="7">
        <v>84952</v>
      </c>
      <c r="AA616" s="8">
        <v>171000</v>
      </c>
      <c r="AB616" s="8">
        <v>456500</v>
      </c>
      <c r="AC616" s="8">
        <v>18500</v>
      </c>
      <c r="AD616" s="8">
        <v>187000</v>
      </c>
      <c r="AE616" s="8">
        <v>57600</v>
      </c>
      <c r="AF616" s="7">
        <v>44400</v>
      </c>
      <c r="AG616" s="7">
        <v>107000</v>
      </c>
      <c r="AH616" s="7">
        <v>65200</v>
      </c>
      <c r="AI616" s="7">
        <v>83300</v>
      </c>
      <c r="AJ616" s="7">
        <v>39600</v>
      </c>
      <c r="AK616" s="8">
        <v>30000</v>
      </c>
      <c r="AL616" s="8">
        <v>225000</v>
      </c>
      <c r="AM616" s="8">
        <v>218500</v>
      </c>
      <c r="AN616" s="8">
        <v>37800</v>
      </c>
      <c r="AO616" s="8">
        <v>13900</v>
      </c>
      <c r="AP616" s="7">
        <v>399500</v>
      </c>
      <c r="AQ616" s="7">
        <v>415500</v>
      </c>
      <c r="AR616" s="7">
        <v>15150</v>
      </c>
      <c r="AS616" s="7">
        <v>52000</v>
      </c>
      <c r="AT616" s="7">
        <v>110920</v>
      </c>
      <c r="AU616" s="8">
        <v>161500</v>
      </c>
      <c r="AV616" s="8">
        <v>43950</v>
      </c>
      <c r="AW616" s="8">
        <v>8220</v>
      </c>
      <c r="AX616" s="8">
        <v>191500</v>
      </c>
      <c r="AY616" s="8">
        <v>59300</v>
      </c>
    </row>
    <row r="617" spans="1:51" x14ac:dyDescent="0.4">
      <c r="A617" s="11">
        <v>40549</v>
      </c>
      <c r="B617" s="7">
        <v>57100</v>
      </c>
      <c r="C617" s="7">
        <v>26100</v>
      </c>
      <c r="D617" s="7">
        <v>80300</v>
      </c>
      <c r="E617" s="7">
        <v>218500</v>
      </c>
      <c r="F617" s="7">
        <v>76500</v>
      </c>
      <c r="G617" s="8">
        <v>69100</v>
      </c>
      <c r="H617" s="8">
        <v>86800</v>
      </c>
      <c r="I617" s="8">
        <v>140000</v>
      </c>
      <c r="J617" s="8">
        <v>132500</v>
      </c>
      <c r="K617" s="8">
        <v>194000</v>
      </c>
      <c r="L617" s="7">
        <v>507000</v>
      </c>
      <c r="M617" s="7">
        <v>930000</v>
      </c>
      <c r="N617" s="7">
        <v>122500</v>
      </c>
      <c r="O617" s="7">
        <v>180500</v>
      </c>
      <c r="P617" s="7">
        <v>129000</v>
      </c>
      <c r="Q617" s="8">
        <v>457000</v>
      </c>
      <c r="R617" s="8">
        <v>348500</v>
      </c>
      <c r="S617" s="8">
        <v>289000</v>
      </c>
      <c r="T617" s="8">
        <v>39350</v>
      </c>
      <c r="U617" s="8">
        <v>91400</v>
      </c>
      <c r="V617" s="7">
        <v>302000</v>
      </c>
      <c r="W617" s="7">
        <v>37126</v>
      </c>
      <c r="X617" s="7">
        <v>301500</v>
      </c>
      <c r="Y617" s="7">
        <v>29050</v>
      </c>
      <c r="Z617" s="7">
        <v>83779</v>
      </c>
      <c r="AA617" s="8">
        <v>172000</v>
      </c>
      <c r="AB617" s="8">
        <v>450000</v>
      </c>
      <c r="AC617" s="8">
        <v>18400</v>
      </c>
      <c r="AD617" s="8">
        <v>186000</v>
      </c>
      <c r="AE617" s="8">
        <v>58400</v>
      </c>
      <c r="AF617" s="7">
        <v>44850</v>
      </c>
      <c r="AG617" s="7">
        <v>105000</v>
      </c>
      <c r="AH617" s="7">
        <v>65300</v>
      </c>
      <c r="AI617" s="7">
        <v>84100</v>
      </c>
      <c r="AJ617" s="7">
        <v>39750</v>
      </c>
      <c r="AK617" s="8">
        <v>30300</v>
      </c>
      <c r="AL617" s="8">
        <v>221500</v>
      </c>
      <c r="AM617" s="8">
        <v>210500</v>
      </c>
      <c r="AN617" s="8">
        <v>37400</v>
      </c>
      <c r="AO617" s="8">
        <v>13150</v>
      </c>
      <c r="AP617" s="7">
        <v>392000</v>
      </c>
      <c r="AQ617" s="7">
        <v>418000</v>
      </c>
      <c r="AR617" s="7">
        <v>15100</v>
      </c>
      <c r="AS617" s="7">
        <v>52000</v>
      </c>
      <c r="AT617" s="7">
        <v>112386</v>
      </c>
      <c r="AU617" s="8">
        <v>157000</v>
      </c>
      <c r="AV617" s="8">
        <v>44500</v>
      </c>
      <c r="AW617" s="8">
        <v>8230</v>
      </c>
      <c r="AX617" s="8">
        <v>192500</v>
      </c>
      <c r="AY617" s="8">
        <v>58800</v>
      </c>
    </row>
    <row r="618" spans="1:51" x14ac:dyDescent="0.4">
      <c r="A618" s="11">
        <v>40548</v>
      </c>
      <c r="B618" s="7">
        <v>56900</v>
      </c>
      <c r="C618" s="7">
        <v>25900</v>
      </c>
      <c r="D618" s="7">
        <v>80000</v>
      </c>
      <c r="E618" s="7">
        <v>219000</v>
      </c>
      <c r="F618" s="7">
        <v>77000</v>
      </c>
      <c r="G618" s="8">
        <v>70000</v>
      </c>
      <c r="H618" s="8">
        <v>85000</v>
      </c>
      <c r="I618" s="8">
        <v>143000</v>
      </c>
      <c r="J618" s="8">
        <v>130500</v>
      </c>
      <c r="K618" s="8">
        <v>189000</v>
      </c>
      <c r="L618" s="7">
        <v>507000</v>
      </c>
      <c r="M618" s="7">
        <v>942000</v>
      </c>
      <c r="N618" s="7">
        <v>119500</v>
      </c>
      <c r="O618" s="7">
        <v>178000</v>
      </c>
      <c r="P618" s="7">
        <v>129000</v>
      </c>
      <c r="Q618" s="8">
        <v>448000</v>
      </c>
      <c r="R618" s="8">
        <v>349500</v>
      </c>
      <c r="S618" s="8">
        <v>292000</v>
      </c>
      <c r="T618" s="8">
        <v>39100</v>
      </c>
      <c r="U618" s="8">
        <v>87300</v>
      </c>
      <c r="V618" s="7">
        <v>296000</v>
      </c>
      <c r="W618" s="7">
        <v>38061</v>
      </c>
      <c r="X618" s="7">
        <v>302500</v>
      </c>
      <c r="Y618" s="7">
        <v>29250</v>
      </c>
      <c r="Z618" s="7">
        <v>82313</v>
      </c>
      <c r="AA618" s="8">
        <v>172500</v>
      </c>
      <c r="AB618" s="8">
        <v>460000</v>
      </c>
      <c r="AC618" s="8">
        <v>19150</v>
      </c>
      <c r="AD618" s="8">
        <v>189500</v>
      </c>
      <c r="AE618" s="8">
        <v>60300</v>
      </c>
      <c r="AF618" s="7">
        <v>44800</v>
      </c>
      <c r="AG618" s="7">
        <v>103500</v>
      </c>
      <c r="AH618" s="7">
        <v>65300</v>
      </c>
      <c r="AI618" s="7">
        <v>85500</v>
      </c>
      <c r="AJ618" s="7">
        <v>40100</v>
      </c>
      <c r="AK618" s="8">
        <v>29450</v>
      </c>
      <c r="AL618" s="8">
        <v>222500</v>
      </c>
      <c r="AM618" s="8">
        <v>205500</v>
      </c>
      <c r="AN618" s="8">
        <v>36850</v>
      </c>
      <c r="AO618" s="8">
        <v>13250</v>
      </c>
      <c r="AP618" s="7">
        <v>394500</v>
      </c>
      <c r="AQ618" s="7">
        <v>418000</v>
      </c>
      <c r="AR618" s="7">
        <v>15550</v>
      </c>
      <c r="AS618" s="7">
        <v>53300</v>
      </c>
      <c r="AT618" s="7">
        <v>113364</v>
      </c>
      <c r="AU618" s="8">
        <v>160000</v>
      </c>
      <c r="AV618" s="8">
        <v>44950</v>
      </c>
      <c r="AW618" s="8">
        <v>8150</v>
      </c>
      <c r="AX618" s="8">
        <v>190500</v>
      </c>
      <c r="AY618" s="8">
        <v>60700</v>
      </c>
    </row>
    <row r="619" spans="1:51" x14ac:dyDescent="0.4">
      <c r="A619" s="12">
        <v>40547</v>
      </c>
      <c r="B619" s="9">
        <v>55100</v>
      </c>
      <c r="C619" s="9">
        <v>25600</v>
      </c>
      <c r="D619" s="9">
        <v>75000</v>
      </c>
      <c r="E619" s="9">
        <v>225500</v>
      </c>
      <c r="F619" s="9">
        <v>79300</v>
      </c>
      <c r="G619" s="10">
        <v>70700</v>
      </c>
      <c r="H619" s="10">
        <v>86100</v>
      </c>
      <c r="I619" s="10">
        <v>142500</v>
      </c>
      <c r="J619" s="10">
        <v>129000</v>
      </c>
      <c r="K619" s="10">
        <v>178000</v>
      </c>
      <c r="L619" s="9">
        <v>499500</v>
      </c>
      <c r="M619" s="9">
        <v>958000</v>
      </c>
      <c r="N619" s="9">
        <v>122500</v>
      </c>
      <c r="O619" s="9">
        <v>179000</v>
      </c>
      <c r="P619" s="9">
        <v>128500</v>
      </c>
      <c r="Q619" s="10">
        <v>451500</v>
      </c>
      <c r="R619" s="10">
        <v>339000</v>
      </c>
      <c r="S619" s="10">
        <v>295500</v>
      </c>
      <c r="T619" s="10">
        <v>39900</v>
      </c>
      <c r="U619" s="10">
        <v>91100</v>
      </c>
      <c r="V619" s="9">
        <v>288500</v>
      </c>
      <c r="W619" s="9">
        <v>39390</v>
      </c>
      <c r="X619" s="9">
        <v>295500</v>
      </c>
      <c r="Y619" s="9">
        <v>29900</v>
      </c>
      <c r="Z619" s="9">
        <v>85539</v>
      </c>
      <c r="AA619" s="10">
        <v>172500</v>
      </c>
      <c r="AB619" s="10">
        <v>472000</v>
      </c>
      <c r="AC619" s="10">
        <v>19500</v>
      </c>
      <c r="AD619" s="10">
        <v>189000</v>
      </c>
      <c r="AE619" s="10">
        <v>61900</v>
      </c>
      <c r="AF619" s="9">
        <v>45050</v>
      </c>
      <c r="AG619" s="9">
        <v>104000</v>
      </c>
      <c r="AH619" s="9">
        <v>65600</v>
      </c>
      <c r="AI619" s="9">
        <v>87000</v>
      </c>
      <c r="AJ619" s="9">
        <v>40950</v>
      </c>
      <c r="AK619" s="10">
        <v>29200</v>
      </c>
      <c r="AL619" s="10">
        <v>221500</v>
      </c>
      <c r="AM619" s="10">
        <v>206500</v>
      </c>
      <c r="AN619" s="10">
        <v>36700</v>
      </c>
      <c r="AO619" s="10">
        <v>13350</v>
      </c>
      <c r="AP619" s="9">
        <v>392000</v>
      </c>
      <c r="AQ619" s="9">
        <v>395000</v>
      </c>
      <c r="AR619" s="9">
        <v>15850</v>
      </c>
      <c r="AS619" s="9">
        <v>53800</v>
      </c>
      <c r="AT619" s="9">
        <v>115318</v>
      </c>
      <c r="AU619" s="10">
        <v>151500</v>
      </c>
      <c r="AV619" s="10">
        <v>45000</v>
      </c>
      <c r="AW619" s="10">
        <v>8200</v>
      </c>
      <c r="AX619" s="10">
        <v>197500</v>
      </c>
      <c r="AY619" s="10">
        <v>62100</v>
      </c>
    </row>
    <row r="620" spans="1:51" x14ac:dyDescent="0.4">
      <c r="A620" s="11">
        <v>40546</v>
      </c>
      <c r="B620" s="7">
        <v>52500</v>
      </c>
      <c r="C620" s="7">
        <v>25300</v>
      </c>
      <c r="D620" s="7">
        <v>72500</v>
      </c>
      <c r="E620" s="7">
        <v>224000</v>
      </c>
      <c r="F620" s="7">
        <v>79000</v>
      </c>
      <c r="G620" s="8">
        <v>68800</v>
      </c>
      <c r="H620" s="8">
        <v>87600</v>
      </c>
      <c r="I620" s="8">
        <v>140500</v>
      </c>
      <c r="J620" s="8">
        <v>125500</v>
      </c>
      <c r="K620" s="8">
        <v>177000</v>
      </c>
      <c r="L620" s="7">
        <v>486000</v>
      </c>
      <c r="M620" s="7">
        <v>958000</v>
      </c>
      <c r="N620" s="7">
        <v>118000</v>
      </c>
      <c r="O620" s="7">
        <v>178000</v>
      </c>
      <c r="P620" s="7">
        <v>128000</v>
      </c>
      <c r="Q620" s="8">
        <v>435000</v>
      </c>
      <c r="R620" s="8">
        <v>331000</v>
      </c>
      <c r="S620" s="8">
        <v>287000</v>
      </c>
      <c r="T620" s="8">
        <v>39700</v>
      </c>
      <c r="U620" s="8">
        <v>92900</v>
      </c>
      <c r="V620" s="7">
        <v>281000</v>
      </c>
      <c r="W620" s="7">
        <v>38455</v>
      </c>
      <c r="X620" s="7">
        <v>294500</v>
      </c>
      <c r="Y620" s="7">
        <v>30050</v>
      </c>
      <c r="Z620" s="7">
        <v>84854</v>
      </c>
      <c r="AA620" s="8">
        <v>172500</v>
      </c>
      <c r="AB620" s="8">
        <v>474000</v>
      </c>
      <c r="AC620" s="8">
        <v>19200</v>
      </c>
      <c r="AD620" s="8">
        <v>191500</v>
      </c>
      <c r="AE620" s="8">
        <v>61800</v>
      </c>
      <c r="AF620" s="7">
        <v>45500</v>
      </c>
      <c r="AG620" s="7">
        <v>104000</v>
      </c>
      <c r="AH620" s="7">
        <v>65700</v>
      </c>
      <c r="AI620" s="7">
        <v>86700</v>
      </c>
      <c r="AJ620" s="7">
        <v>40850</v>
      </c>
      <c r="AK620" s="8">
        <v>28400</v>
      </c>
      <c r="AL620" s="8">
        <v>221500</v>
      </c>
      <c r="AM620" s="8">
        <v>207000</v>
      </c>
      <c r="AN620" s="8">
        <v>35800</v>
      </c>
      <c r="AO620" s="8">
        <v>13100</v>
      </c>
      <c r="AP620" s="7">
        <v>398000</v>
      </c>
      <c r="AQ620" s="7">
        <v>390500</v>
      </c>
      <c r="AR620" s="7">
        <v>15900</v>
      </c>
      <c r="AS620" s="7">
        <v>53600</v>
      </c>
      <c r="AT620" s="7">
        <v>117273</v>
      </c>
      <c r="AU620" s="8">
        <v>151000</v>
      </c>
      <c r="AV620" s="8">
        <v>44200</v>
      </c>
      <c r="AW620" s="8">
        <v>8130</v>
      </c>
      <c r="AX620" s="8">
        <v>194500</v>
      </c>
      <c r="AY620" s="8">
        <v>61800</v>
      </c>
    </row>
    <row r="621" spans="1:51" x14ac:dyDescent="0.4">
      <c r="A621" s="11">
        <v>40542</v>
      </c>
      <c r="B621" s="7">
        <v>50600</v>
      </c>
      <c r="C621" s="7">
        <v>24000</v>
      </c>
      <c r="D621" s="7">
        <v>72300</v>
      </c>
      <c r="E621" s="7">
        <v>225000</v>
      </c>
      <c r="F621" s="7">
        <v>78900</v>
      </c>
      <c r="G621" s="8">
        <v>69600</v>
      </c>
      <c r="H621" s="8">
        <v>87300</v>
      </c>
      <c r="I621" s="8">
        <v>139500</v>
      </c>
      <c r="J621" s="8">
        <v>124500</v>
      </c>
      <c r="K621" s="8">
        <v>173500</v>
      </c>
      <c r="L621" s="7">
        <v>487000</v>
      </c>
      <c r="M621" s="7">
        <v>949000</v>
      </c>
      <c r="N621" s="7">
        <v>116000</v>
      </c>
      <c r="O621" s="7">
        <v>168000</v>
      </c>
      <c r="P621" s="7">
        <v>124000</v>
      </c>
      <c r="Q621" s="8">
        <v>443000</v>
      </c>
      <c r="R621" s="8">
        <v>330000</v>
      </c>
      <c r="S621" s="8">
        <v>276500</v>
      </c>
      <c r="T621" s="8">
        <v>41200</v>
      </c>
      <c r="U621" s="8">
        <v>92500</v>
      </c>
      <c r="V621" s="7">
        <v>269000</v>
      </c>
      <c r="W621" s="7">
        <v>37963</v>
      </c>
      <c r="X621" s="7">
        <v>284500</v>
      </c>
      <c r="Y621" s="7">
        <v>30200</v>
      </c>
      <c r="Z621" s="7">
        <v>86125</v>
      </c>
      <c r="AA621" s="8">
        <v>173500</v>
      </c>
      <c r="AB621" s="8">
        <v>473000</v>
      </c>
      <c r="AC621" s="8">
        <v>18750</v>
      </c>
      <c r="AD621" s="8">
        <v>192000</v>
      </c>
      <c r="AE621" s="8">
        <v>63000</v>
      </c>
      <c r="AF621" s="7">
        <v>46250</v>
      </c>
      <c r="AG621" s="7">
        <v>102500</v>
      </c>
      <c r="AH621" s="7">
        <v>64700</v>
      </c>
      <c r="AI621" s="7">
        <v>85800</v>
      </c>
      <c r="AJ621" s="7">
        <v>39800</v>
      </c>
      <c r="AK621" s="8">
        <v>27950</v>
      </c>
      <c r="AL621" s="8">
        <v>227000</v>
      </c>
      <c r="AM621" s="8">
        <v>208500</v>
      </c>
      <c r="AN621" s="8">
        <v>36350</v>
      </c>
      <c r="AO621" s="8">
        <v>12850</v>
      </c>
      <c r="AP621" s="7">
        <v>390000</v>
      </c>
      <c r="AQ621" s="7">
        <v>391000</v>
      </c>
      <c r="AR621" s="7">
        <v>15500</v>
      </c>
      <c r="AS621" s="7">
        <v>52900</v>
      </c>
      <c r="AT621" s="7">
        <v>115318</v>
      </c>
      <c r="AU621" s="8">
        <v>149000</v>
      </c>
      <c r="AV621" s="8">
        <v>43300</v>
      </c>
      <c r="AW621" s="8">
        <v>7950</v>
      </c>
      <c r="AX621" s="8">
        <v>194000</v>
      </c>
      <c r="AY621" s="8">
        <v>60000</v>
      </c>
    </row>
    <row r="622" spans="1:51" x14ac:dyDescent="0.4">
      <c r="A622" s="11">
        <v>40541</v>
      </c>
      <c r="B622" s="7">
        <v>51300</v>
      </c>
      <c r="C622" s="7">
        <v>24250</v>
      </c>
      <c r="D622" s="7">
        <v>72100</v>
      </c>
      <c r="E622" s="7">
        <v>215500</v>
      </c>
      <c r="F622" s="7">
        <v>78700</v>
      </c>
      <c r="G622" s="8">
        <v>69200</v>
      </c>
      <c r="H622" s="8">
        <v>86700</v>
      </c>
      <c r="I622" s="8">
        <v>138500</v>
      </c>
      <c r="J622" s="8">
        <v>125000</v>
      </c>
      <c r="K622" s="8">
        <v>176500</v>
      </c>
      <c r="L622" s="7">
        <v>487000</v>
      </c>
      <c r="M622" s="7">
        <v>945000</v>
      </c>
      <c r="N622" s="7">
        <v>117000</v>
      </c>
      <c r="O622" s="7">
        <v>169500</v>
      </c>
      <c r="P622" s="7">
        <v>124000</v>
      </c>
      <c r="Q622" s="8">
        <v>441000</v>
      </c>
      <c r="R622" s="8">
        <v>319000</v>
      </c>
      <c r="S622" s="8">
        <v>282000</v>
      </c>
      <c r="T622" s="8">
        <v>41150</v>
      </c>
      <c r="U622" s="8">
        <v>91000</v>
      </c>
      <c r="V622" s="7">
        <v>273000</v>
      </c>
      <c r="W622" s="7">
        <v>36485</v>
      </c>
      <c r="X622" s="7">
        <v>289000</v>
      </c>
      <c r="Y622" s="7">
        <v>30000</v>
      </c>
      <c r="Z622" s="7">
        <v>84561</v>
      </c>
      <c r="AA622" s="8">
        <v>172500</v>
      </c>
      <c r="AB622" s="8">
        <v>473500</v>
      </c>
      <c r="AC622" s="8">
        <v>18450</v>
      </c>
      <c r="AD622" s="8">
        <v>195500</v>
      </c>
      <c r="AE622" s="8">
        <v>61800</v>
      </c>
      <c r="AF622" s="7">
        <v>46750</v>
      </c>
      <c r="AG622" s="7">
        <v>102000</v>
      </c>
      <c r="AH622" s="7">
        <v>65200</v>
      </c>
      <c r="AI622" s="7">
        <v>84900</v>
      </c>
      <c r="AJ622" s="7">
        <v>40000</v>
      </c>
      <c r="AK622" s="8">
        <v>28500</v>
      </c>
      <c r="AL622" s="8">
        <v>218000</v>
      </c>
      <c r="AM622" s="8">
        <v>200500</v>
      </c>
      <c r="AN622" s="8">
        <v>36650</v>
      </c>
      <c r="AO622" s="8">
        <v>12350</v>
      </c>
      <c r="AP622" s="7">
        <v>391500</v>
      </c>
      <c r="AQ622" s="7">
        <v>389000</v>
      </c>
      <c r="AR622" s="7">
        <v>15250</v>
      </c>
      <c r="AS622" s="7">
        <v>53600</v>
      </c>
      <c r="AT622" s="7">
        <v>111409</v>
      </c>
      <c r="AU622" s="8">
        <v>148500</v>
      </c>
      <c r="AV622" s="8">
        <v>42500</v>
      </c>
      <c r="AW622" s="8">
        <v>7870</v>
      </c>
      <c r="AX622" s="8">
        <v>193000</v>
      </c>
      <c r="AY622" s="8">
        <v>59500</v>
      </c>
    </row>
    <row r="623" spans="1:51" x14ac:dyDescent="0.4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</row>
  </sheetData>
  <phoneticPr fontId="19" type="noConversion"/>
  <conditionalFormatting sqref="B1">
    <cfRule type="expression" dxfId="0" priority="1" stopIfTrue="1">
      <formula>MID($B$1, 15, 10)-TODAY() &lt; 0</formula>
    </cfRule>
  </conditionalFormatting>
  <dataValidations count="6">
    <dataValidation type="list" allowBlank="1" showInputMessage="1" sqref="C3">
      <formula1>"Default"</formula1>
    </dataValidation>
    <dataValidation type="list" allowBlank="1" showInputMessage="1" sqref="C6">
      <formula1>"Asc,Desc"</formula1>
    </dataValidation>
    <dataValidation type="list" allowBlank="1" showInputMessage="1" sqref="C5">
      <formula1>"Local,KRW,USD"</formula1>
    </dataValidation>
    <dataValidation type="list" allowBlank="1" showInputMessage="1" sqref="B6">
      <formula1>"Exclusive,N/A,NULL,Previous"</formula1>
    </dataValidation>
    <dataValidation type="list" allowBlank="1" showInputMessage="1" sqref="B5">
      <formula1>"일간,주간,월간,분기간,년간"</formula1>
    </dataValidation>
    <dataValidation type="list" allowBlank="1" showInputMessage="1" sqref="B7">
      <formula1>"NONE,SUN,SAT,ALL"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L618"/>
  <sheetViews>
    <sheetView zoomScaleNormal="100" workbookViewId="0">
      <selection activeCell="X13" sqref="X13"/>
    </sheetView>
  </sheetViews>
  <sheetFormatPr defaultRowHeight="17.399999999999999" outlineLevelRow="1" x14ac:dyDescent="0.4"/>
  <cols>
    <col min="1" max="1" width="13.59765625" bestFit="1" customWidth="1"/>
    <col min="2" max="2" width="9.19921875" bestFit="1" customWidth="1"/>
    <col min="4" max="4" width="9.8984375" bestFit="1" customWidth="1"/>
    <col min="5" max="5" width="9.19921875" bestFit="1" customWidth="1"/>
    <col min="8" max="8" width="9.19921875" bestFit="1" customWidth="1"/>
    <col min="11" max="11" width="9.19921875" bestFit="1" customWidth="1"/>
    <col min="14" max="14" width="9.19921875" bestFit="1" customWidth="1"/>
    <col min="17" max="17" width="9.19921875" bestFit="1" customWidth="1"/>
    <col min="20" max="20" width="9.19921875" bestFit="1" customWidth="1"/>
    <col min="23" max="23" width="9.19921875" bestFit="1" customWidth="1"/>
    <col min="26" max="26" width="9.19921875" bestFit="1" customWidth="1"/>
    <col min="29" max="29" width="9.19921875" bestFit="1" customWidth="1"/>
    <col min="32" max="32" width="9.19921875" bestFit="1" customWidth="1"/>
    <col min="35" max="35" width="10" bestFit="1" customWidth="1"/>
    <col min="38" max="38" width="9.19921875" bestFit="1" customWidth="1"/>
    <col min="41" max="41" width="9.19921875" bestFit="1" customWidth="1"/>
    <col min="44" max="44" width="9.19921875" bestFit="1" customWidth="1"/>
    <col min="47" max="47" width="9.19921875" bestFit="1" customWidth="1"/>
    <col min="50" max="50" width="9.19921875" bestFit="1" customWidth="1"/>
    <col min="53" max="53" width="9.19921875" bestFit="1" customWidth="1"/>
    <col min="56" max="56" width="9.19921875" bestFit="1" customWidth="1"/>
    <col min="59" max="59" width="9.19921875" bestFit="1" customWidth="1"/>
    <col min="62" max="62" width="9.19921875" bestFit="1" customWidth="1"/>
    <col min="65" max="66" width="10.09765625" bestFit="1" customWidth="1"/>
    <col min="68" max="68" width="9.19921875" bestFit="1" customWidth="1"/>
    <col min="71" max="71" width="9.19921875" bestFit="1" customWidth="1"/>
    <col min="74" max="74" width="9.19921875" bestFit="1" customWidth="1"/>
    <col min="77" max="77" width="9.19921875" bestFit="1" customWidth="1"/>
    <col min="80" max="80" width="9.19921875" bestFit="1" customWidth="1"/>
    <col min="83" max="83" width="9.19921875" bestFit="1" customWidth="1"/>
    <col min="86" max="86" width="9.19921875" bestFit="1" customWidth="1"/>
    <col min="89" max="89" width="9.19921875" bestFit="1" customWidth="1"/>
    <col min="92" max="92" width="9.19921875" bestFit="1" customWidth="1"/>
    <col min="95" max="95" width="9.19921875" bestFit="1" customWidth="1"/>
    <col min="98" max="98" width="9.19921875" bestFit="1" customWidth="1"/>
    <col min="101" max="101" width="9.19921875" bestFit="1" customWidth="1"/>
    <col min="104" max="104" width="9.19921875" bestFit="1" customWidth="1"/>
    <col min="107" max="107" width="9.19921875" bestFit="1" customWidth="1"/>
    <col min="110" max="110" width="9.19921875" bestFit="1" customWidth="1"/>
    <col min="113" max="113" width="9.19921875" bestFit="1" customWidth="1"/>
    <col min="116" max="116" width="9.19921875" bestFit="1" customWidth="1"/>
    <col min="119" max="119" width="9.19921875" bestFit="1" customWidth="1"/>
    <col min="122" max="122" width="9.19921875" bestFit="1" customWidth="1"/>
    <col min="125" max="125" width="9.19921875" bestFit="1" customWidth="1"/>
    <col min="128" max="128" width="9.19921875" bestFit="1" customWidth="1"/>
    <col min="131" max="131" width="9.19921875" bestFit="1" customWidth="1"/>
    <col min="134" max="134" width="10.09765625" bestFit="1" customWidth="1"/>
    <col min="137" max="137" width="9.19921875" bestFit="1" customWidth="1"/>
    <col min="140" max="140" width="9.19921875" bestFit="1" customWidth="1"/>
    <col min="143" max="143" width="9.19921875" bestFit="1" customWidth="1"/>
    <col min="146" max="146" width="9.19921875" bestFit="1" customWidth="1"/>
    <col min="149" max="149" width="9.19921875" bestFit="1" customWidth="1"/>
  </cols>
  <sheetData>
    <row r="1" spans="1:220" ht="21" x14ac:dyDescent="0.45">
      <c r="A1" s="18" t="s">
        <v>66</v>
      </c>
      <c r="B1" s="15"/>
      <c r="C1" s="15"/>
      <c r="D1" s="19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  <c r="DB1" s="15"/>
      <c r="DC1" s="15"/>
      <c r="DD1" s="15"/>
      <c r="DE1" s="15"/>
      <c r="DF1" s="15"/>
      <c r="DG1" s="15"/>
      <c r="DH1" s="15"/>
      <c r="DI1" s="15"/>
      <c r="DJ1" s="15"/>
      <c r="DK1" s="15"/>
      <c r="DL1" s="15"/>
      <c r="DM1" s="15"/>
      <c r="DN1" s="15"/>
      <c r="DO1" s="15"/>
      <c r="DP1" s="15"/>
      <c r="DQ1" s="15"/>
      <c r="DR1" s="15"/>
      <c r="DS1" s="15"/>
      <c r="DT1" s="15"/>
      <c r="DU1" s="15"/>
      <c r="DV1" s="15"/>
      <c r="DW1" s="15"/>
      <c r="DX1" s="15"/>
      <c r="DY1" s="15"/>
      <c r="DZ1" s="15"/>
      <c r="EA1" s="15"/>
      <c r="EB1" s="15"/>
      <c r="EC1" s="15"/>
      <c r="ED1" s="15"/>
      <c r="EE1" s="15"/>
      <c r="EF1" s="15"/>
      <c r="EG1" s="15"/>
      <c r="EH1" s="15"/>
      <c r="EI1" s="15"/>
      <c r="EJ1" s="15"/>
      <c r="EK1" s="15"/>
      <c r="EL1" s="15"/>
      <c r="EM1" s="15"/>
      <c r="EN1" s="15"/>
      <c r="EO1" s="15"/>
      <c r="EP1" s="15"/>
      <c r="EQ1" s="15"/>
      <c r="ER1" s="15"/>
      <c r="ES1" s="15"/>
      <c r="ET1" s="15"/>
      <c r="EU1" s="15"/>
    </row>
    <row r="2" spans="1:220" ht="7.5" customHeight="1" x14ac:dyDescent="0.4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</row>
    <row r="3" spans="1:220" x14ac:dyDescent="0.4">
      <c r="A3" s="4"/>
      <c r="B3" s="22" t="s">
        <v>8</v>
      </c>
      <c r="C3" s="20"/>
      <c r="D3" s="21" t="s">
        <v>27</v>
      </c>
      <c r="E3" s="4"/>
      <c r="F3" s="22" t="s">
        <v>69</v>
      </c>
      <c r="G3" s="35" t="s">
        <v>230</v>
      </c>
      <c r="H3" s="36" t="s">
        <v>233</v>
      </c>
      <c r="I3" s="36" t="s">
        <v>38</v>
      </c>
      <c r="J3" s="36" t="s">
        <v>24</v>
      </c>
      <c r="K3" s="36" t="s">
        <v>241</v>
      </c>
      <c r="L3" s="36" t="s">
        <v>26</v>
      </c>
      <c r="M3" s="36" t="s">
        <v>249</v>
      </c>
      <c r="N3" s="36" t="s">
        <v>12</v>
      </c>
      <c r="O3" s="36" t="s">
        <v>42</v>
      </c>
      <c r="P3" s="36" t="s">
        <v>44</v>
      </c>
      <c r="Q3" s="36" t="s">
        <v>252</v>
      </c>
      <c r="R3" s="36" t="s">
        <v>254</v>
      </c>
      <c r="S3" s="36" t="s">
        <v>256</v>
      </c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36"/>
      <c r="EE3" s="36"/>
      <c r="EF3" s="36"/>
      <c r="EG3" s="36"/>
      <c r="EH3" s="36"/>
      <c r="EI3" s="36"/>
      <c r="EJ3" s="36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7"/>
    </row>
    <row r="4" spans="1:220" x14ac:dyDescent="0.4">
      <c r="A4" s="4"/>
      <c r="B4" s="22" t="s">
        <v>68</v>
      </c>
      <c r="C4" s="4"/>
      <c r="D4" s="22" t="s">
        <v>26</v>
      </c>
      <c r="E4" s="4"/>
      <c r="F4" s="48">
        <f>COUNTA(G4:EU4)</f>
        <v>13</v>
      </c>
      <c r="G4" s="38" t="s">
        <v>110</v>
      </c>
      <c r="H4" s="39" t="s">
        <v>116</v>
      </c>
      <c r="I4" s="39" t="s">
        <v>39</v>
      </c>
      <c r="J4" s="39" t="s">
        <v>25</v>
      </c>
      <c r="K4" s="39" t="s">
        <v>136</v>
      </c>
      <c r="L4" s="39" t="s">
        <v>27</v>
      </c>
      <c r="M4" s="39" t="s">
        <v>154</v>
      </c>
      <c r="N4" s="39" t="s">
        <v>13</v>
      </c>
      <c r="O4" s="39" t="s">
        <v>43</v>
      </c>
      <c r="P4" s="39" t="s">
        <v>45</v>
      </c>
      <c r="Q4" s="39" t="s">
        <v>164</v>
      </c>
      <c r="R4" s="39" t="s">
        <v>169</v>
      </c>
      <c r="S4" s="39" t="s">
        <v>175</v>
      </c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40"/>
    </row>
    <row r="5" spans="1:220" x14ac:dyDescent="0.4">
      <c r="A5" s="4"/>
      <c r="B5" s="22" t="s">
        <v>67</v>
      </c>
      <c r="C5" s="81">
        <f>[1]!CPRICE</f>
        <v>296500</v>
      </c>
      <c r="D5" s="82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</row>
    <row r="6" spans="1:220" x14ac:dyDescent="0.4">
      <c r="A6" s="4"/>
      <c r="B6" s="22" t="s">
        <v>63</v>
      </c>
      <c r="C6" s="83">
        <v>294315.59707646631</v>
      </c>
      <c r="D6" s="84"/>
      <c r="E6" s="4"/>
      <c r="F6" s="22" t="s">
        <v>70</v>
      </c>
      <c r="G6" s="35" t="s">
        <v>30</v>
      </c>
      <c r="H6" s="36" t="s">
        <v>242</v>
      </c>
      <c r="I6" s="36" t="s">
        <v>250</v>
      </c>
      <c r="J6" s="36" t="s">
        <v>253</v>
      </c>
      <c r="K6" s="36" t="s">
        <v>28</v>
      </c>
      <c r="L6" s="36" t="s">
        <v>257</v>
      </c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36"/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7"/>
    </row>
    <row r="7" spans="1:220" x14ac:dyDescent="0.4">
      <c r="A7" s="4"/>
      <c r="B7" s="22" t="s">
        <v>65</v>
      </c>
      <c r="C7" s="83">
        <v>292201.34846146754</v>
      </c>
      <c r="D7" s="84"/>
      <c r="E7" s="4"/>
      <c r="F7" s="48">
        <f>COUNTA(G7:EU7)</f>
        <v>6</v>
      </c>
      <c r="G7" s="38" t="s">
        <v>31</v>
      </c>
      <c r="H7" s="39" t="s">
        <v>138</v>
      </c>
      <c r="I7" s="39" t="s">
        <v>156</v>
      </c>
      <c r="J7" s="39" t="s">
        <v>167</v>
      </c>
      <c r="K7" s="39" t="s">
        <v>29</v>
      </c>
      <c r="L7" s="39" t="s">
        <v>177</v>
      </c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40"/>
    </row>
    <row r="8" spans="1:220" ht="18" thickBot="1" x14ac:dyDescent="0.45">
      <c r="A8" s="4"/>
      <c r="B8" s="22" t="s">
        <v>64</v>
      </c>
      <c r="C8" s="85">
        <v>290087.09984646871</v>
      </c>
      <c r="D8" s="86"/>
      <c r="E8" s="4"/>
      <c r="F8" s="49">
        <f>50-F7-F4</f>
        <v>31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</row>
    <row r="9" spans="1:220" ht="18" thickTop="1" x14ac:dyDescent="0.4">
      <c r="A9" s="23" t="s">
        <v>8</v>
      </c>
      <c r="B9" s="24" t="s">
        <v>223</v>
      </c>
      <c r="C9" s="24"/>
      <c r="D9" s="24"/>
      <c r="E9" s="24" t="s">
        <v>30</v>
      </c>
      <c r="F9" s="24"/>
      <c r="G9" s="24"/>
      <c r="H9" s="24" t="s">
        <v>224</v>
      </c>
      <c r="I9" s="24"/>
      <c r="J9" s="24"/>
      <c r="K9" s="24" t="s">
        <v>225</v>
      </c>
      <c r="L9" s="24"/>
      <c r="M9" s="24"/>
      <c r="N9" s="24" t="s">
        <v>48</v>
      </c>
      <c r="O9" s="24"/>
      <c r="P9" s="24"/>
      <c r="Q9" s="24" t="s">
        <v>226</v>
      </c>
      <c r="R9" s="24"/>
      <c r="S9" s="24"/>
      <c r="T9" s="24" t="s">
        <v>227</v>
      </c>
      <c r="U9" s="24"/>
      <c r="V9" s="24"/>
      <c r="W9" s="24" t="s">
        <v>228</v>
      </c>
      <c r="X9" s="24"/>
      <c r="Y9" s="24"/>
      <c r="Z9" s="24" t="s">
        <v>229</v>
      </c>
      <c r="AA9" s="24"/>
      <c r="AB9" s="24"/>
      <c r="AC9" s="24" t="s">
        <v>230</v>
      </c>
      <c r="AD9" s="24"/>
      <c r="AE9" s="24"/>
      <c r="AF9" s="24" t="s">
        <v>231</v>
      </c>
      <c r="AG9" s="24"/>
      <c r="AH9" s="24"/>
      <c r="AI9" s="24" t="s">
        <v>232</v>
      </c>
      <c r="AJ9" s="24"/>
      <c r="AK9" s="24"/>
      <c r="AL9" s="24" t="s">
        <v>233</v>
      </c>
      <c r="AM9" s="24"/>
      <c r="AN9" s="24"/>
      <c r="AO9" s="24" t="s">
        <v>234</v>
      </c>
      <c r="AP9" s="24"/>
      <c r="AQ9" s="24"/>
      <c r="AR9" s="24" t="s">
        <v>235</v>
      </c>
      <c r="AS9" s="24"/>
      <c r="AT9" s="24"/>
      <c r="AU9" s="24" t="s">
        <v>38</v>
      </c>
      <c r="AV9" s="24"/>
      <c r="AW9" s="24"/>
      <c r="AX9" s="24" t="s">
        <v>46</v>
      </c>
      <c r="AY9" s="24"/>
      <c r="AZ9" s="24"/>
      <c r="BA9" s="24" t="s">
        <v>32</v>
      </c>
      <c r="BB9" s="24"/>
      <c r="BC9" s="24"/>
      <c r="BD9" s="24" t="s">
        <v>236</v>
      </c>
      <c r="BE9" s="24"/>
      <c r="BF9" s="24"/>
      <c r="BG9" s="24" t="s">
        <v>237</v>
      </c>
      <c r="BH9" s="24"/>
      <c r="BI9" s="24"/>
      <c r="BJ9" s="24" t="s">
        <v>24</v>
      </c>
      <c r="BK9" s="24"/>
      <c r="BL9" s="24"/>
      <c r="BM9" s="24" t="s">
        <v>238</v>
      </c>
      <c r="BN9" s="24"/>
      <c r="BO9" s="24"/>
      <c r="BP9" s="24" t="s">
        <v>239</v>
      </c>
      <c r="BQ9" s="24"/>
      <c r="BR9" s="24"/>
      <c r="BS9" s="24" t="s">
        <v>240</v>
      </c>
      <c r="BT9" s="24"/>
      <c r="BU9" s="24"/>
      <c r="BV9" s="24" t="s">
        <v>241</v>
      </c>
      <c r="BW9" s="24"/>
      <c r="BX9" s="24"/>
      <c r="BY9" s="24" t="s">
        <v>242</v>
      </c>
      <c r="BZ9" s="24"/>
      <c r="CA9" s="24"/>
      <c r="CB9" s="24" t="s">
        <v>243</v>
      </c>
      <c r="CC9" s="24"/>
      <c r="CD9" s="24"/>
      <c r="CE9" s="24" t="s">
        <v>244</v>
      </c>
      <c r="CF9" s="24"/>
      <c r="CG9" s="24"/>
      <c r="CH9" s="24" t="s">
        <v>245</v>
      </c>
      <c r="CI9" s="24"/>
      <c r="CJ9" s="24"/>
      <c r="CK9" s="24" t="s">
        <v>26</v>
      </c>
      <c r="CL9" s="24"/>
      <c r="CM9" s="24"/>
      <c r="CN9" s="24" t="s">
        <v>246</v>
      </c>
      <c r="CO9" s="24"/>
      <c r="CP9" s="24"/>
      <c r="CQ9" s="24" t="s">
        <v>36</v>
      </c>
      <c r="CR9" s="24"/>
      <c r="CS9" s="24"/>
      <c r="CT9" s="24" t="s">
        <v>247</v>
      </c>
      <c r="CU9" s="24"/>
      <c r="CV9" s="24"/>
      <c r="CW9" s="24" t="s">
        <v>248</v>
      </c>
      <c r="CX9" s="24"/>
      <c r="CY9" s="24"/>
      <c r="CZ9" s="24" t="s">
        <v>249</v>
      </c>
      <c r="DA9" s="24"/>
      <c r="DB9" s="24"/>
      <c r="DC9" s="24" t="s">
        <v>250</v>
      </c>
      <c r="DD9" s="24"/>
      <c r="DE9" s="24"/>
      <c r="DF9" s="24" t="s">
        <v>12</v>
      </c>
      <c r="DG9" s="24"/>
      <c r="DH9" s="24"/>
      <c r="DI9" s="24" t="s">
        <v>42</v>
      </c>
      <c r="DJ9" s="24"/>
      <c r="DK9" s="24"/>
      <c r="DL9" s="24" t="s">
        <v>251</v>
      </c>
      <c r="DM9" s="24"/>
      <c r="DN9" s="24"/>
      <c r="DO9" s="24" t="s">
        <v>44</v>
      </c>
      <c r="DP9" s="24"/>
      <c r="DQ9" s="24"/>
      <c r="DR9" s="24" t="s">
        <v>252</v>
      </c>
      <c r="DS9" s="24"/>
      <c r="DT9" s="24"/>
      <c r="DU9" s="24" t="s">
        <v>52</v>
      </c>
      <c r="DV9" s="24"/>
      <c r="DW9" s="24"/>
      <c r="DX9" s="24" t="s">
        <v>253</v>
      </c>
      <c r="DY9" s="24"/>
      <c r="DZ9" s="24"/>
      <c r="EA9" s="24" t="s">
        <v>254</v>
      </c>
      <c r="EB9" s="24"/>
      <c r="EC9" s="24"/>
      <c r="ED9" s="24" t="s">
        <v>28</v>
      </c>
      <c r="EE9" s="24"/>
      <c r="EF9" s="24"/>
      <c r="EG9" s="24" t="s">
        <v>255</v>
      </c>
      <c r="EH9" s="24"/>
      <c r="EI9" s="24"/>
      <c r="EJ9" s="24" t="s">
        <v>40</v>
      </c>
      <c r="EK9" s="24"/>
      <c r="EL9" s="24"/>
      <c r="EM9" s="24" t="s">
        <v>256</v>
      </c>
      <c r="EN9" s="24"/>
      <c r="EO9" s="24"/>
      <c r="EP9" s="24" t="s">
        <v>257</v>
      </c>
      <c r="EQ9" s="24"/>
      <c r="ER9" s="24"/>
      <c r="ES9" s="24" t="s">
        <v>258</v>
      </c>
      <c r="ET9" s="24"/>
      <c r="EU9" s="24"/>
      <c r="EV9" t="s">
        <v>34</v>
      </c>
      <c r="EY9" t="s">
        <v>18</v>
      </c>
      <c r="FB9" t="s">
        <v>259</v>
      </c>
      <c r="FE9" t="s">
        <v>20</v>
      </c>
      <c r="FH9" t="s">
        <v>260</v>
      </c>
      <c r="FK9" t="s">
        <v>50</v>
      </c>
      <c r="FN9" t="s">
        <v>22</v>
      </c>
      <c r="FQ9" t="s">
        <v>261</v>
      </c>
      <c r="FT9" t="s">
        <v>262</v>
      </c>
      <c r="FW9" t="s">
        <v>263</v>
      </c>
      <c r="FZ9" t="s">
        <v>264</v>
      </c>
      <c r="GC9" t="s">
        <v>265</v>
      </c>
      <c r="GF9" t="s">
        <v>266</v>
      </c>
      <c r="GI9" t="s">
        <v>267</v>
      </c>
      <c r="GL9" t="s">
        <v>268</v>
      </c>
      <c r="GO9" t="s">
        <v>275</v>
      </c>
      <c r="GR9" t="s">
        <v>269</v>
      </c>
      <c r="GU9" t="s">
        <v>270</v>
      </c>
      <c r="GX9" t="s">
        <v>271</v>
      </c>
      <c r="HA9" t="s">
        <v>272</v>
      </c>
      <c r="HD9" t="s">
        <v>273</v>
      </c>
      <c r="HG9" t="s">
        <v>274</v>
      </c>
      <c r="HJ9" t="s">
        <v>276</v>
      </c>
    </row>
    <row r="10" spans="1:220" outlineLevel="1" x14ac:dyDescent="0.4">
      <c r="A10" s="13" t="s">
        <v>9</v>
      </c>
      <c r="B10" s="6" t="s">
        <v>94</v>
      </c>
      <c r="C10" s="6"/>
      <c r="D10" s="6"/>
      <c r="E10" s="6" t="s">
        <v>31</v>
      </c>
      <c r="F10" s="6"/>
      <c r="G10" s="6"/>
      <c r="H10" s="6" t="s">
        <v>97</v>
      </c>
      <c r="I10" s="6"/>
      <c r="J10" s="6"/>
      <c r="K10" s="6" t="s">
        <v>99</v>
      </c>
      <c r="L10" s="6"/>
      <c r="M10" s="6"/>
      <c r="N10" s="6" t="s">
        <v>49</v>
      </c>
      <c r="O10" s="6"/>
      <c r="P10" s="6"/>
      <c r="Q10" s="6" t="s">
        <v>102</v>
      </c>
      <c r="R10" s="6"/>
      <c r="S10" s="6"/>
      <c r="T10" s="6" t="s">
        <v>104</v>
      </c>
      <c r="U10" s="6"/>
      <c r="V10" s="6"/>
      <c r="W10" s="6" t="s">
        <v>106</v>
      </c>
      <c r="X10" s="6"/>
      <c r="Y10" s="6"/>
      <c r="Z10" s="6" t="s">
        <v>108</v>
      </c>
      <c r="AA10" s="6"/>
      <c r="AB10" s="6"/>
      <c r="AC10" s="6" t="s">
        <v>110</v>
      </c>
      <c r="AD10" s="6"/>
      <c r="AE10" s="6"/>
      <c r="AF10" s="6" t="s">
        <v>112</v>
      </c>
      <c r="AG10" s="6"/>
      <c r="AH10" s="6"/>
      <c r="AI10" s="6" t="s">
        <v>114</v>
      </c>
      <c r="AJ10" s="6"/>
      <c r="AK10" s="6"/>
      <c r="AL10" s="6" t="s">
        <v>116</v>
      </c>
      <c r="AM10" s="6"/>
      <c r="AN10" s="6"/>
      <c r="AO10" s="6" t="s">
        <v>118</v>
      </c>
      <c r="AP10" s="6"/>
      <c r="AQ10" s="6"/>
      <c r="AR10" s="6" t="s">
        <v>120</v>
      </c>
      <c r="AS10" s="6"/>
      <c r="AT10" s="6"/>
      <c r="AU10" s="6" t="s">
        <v>39</v>
      </c>
      <c r="AV10" s="6"/>
      <c r="AW10" s="6"/>
      <c r="AX10" s="6" t="s">
        <v>47</v>
      </c>
      <c r="AY10" s="6"/>
      <c r="AZ10" s="6"/>
      <c r="BA10" s="6" t="s">
        <v>33</v>
      </c>
      <c r="BB10" s="6"/>
      <c r="BC10" s="6"/>
      <c r="BD10" s="6" t="s">
        <v>125</v>
      </c>
      <c r="BE10" s="6"/>
      <c r="BF10" s="6"/>
      <c r="BG10" s="6" t="s">
        <v>127</v>
      </c>
      <c r="BH10" s="6"/>
      <c r="BI10" s="6"/>
      <c r="BJ10" s="6" t="s">
        <v>25</v>
      </c>
      <c r="BK10" s="6"/>
      <c r="BL10" s="6"/>
      <c r="BM10" s="6" t="s">
        <v>130</v>
      </c>
      <c r="BN10" s="6"/>
      <c r="BO10" s="6"/>
      <c r="BP10" s="6" t="s">
        <v>132</v>
      </c>
      <c r="BQ10" s="6"/>
      <c r="BR10" s="6"/>
      <c r="BS10" s="6" t="s">
        <v>134</v>
      </c>
      <c r="BT10" s="6"/>
      <c r="BU10" s="6"/>
      <c r="BV10" s="6" t="s">
        <v>136</v>
      </c>
      <c r="BW10" s="6"/>
      <c r="BX10" s="6"/>
      <c r="BY10" s="6" t="s">
        <v>138</v>
      </c>
      <c r="BZ10" s="6"/>
      <c r="CA10" s="6"/>
      <c r="CB10" s="6" t="s">
        <v>140</v>
      </c>
      <c r="CC10" s="6"/>
      <c r="CD10" s="6"/>
      <c r="CE10" s="6" t="s">
        <v>142</v>
      </c>
      <c r="CF10" s="6"/>
      <c r="CG10" s="6"/>
      <c r="CH10" s="6" t="s">
        <v>144</v>
      </c>
      <c r="CI10" s="6"/>
      <c r="CJ10" s="6"/>
      <c r="CK10" s="6" t="s">
        <v>27</v>
      </c>
      <c r="CL10" s="6"/>
      <c r="CM10" s="6"/>
      <c r="CN10" s="6" t="s">
        <v>147</v>
      </c>
      <c r="CO10" s="6"/>
      <c r="CP10" s="6"/>
      <c r="CQ10" s="6" t="s">
        <v>37</v>
      </c>
      <c r="CR10" s="6"/>
      <c r="CS10" s="6"/>
      <c r="CT10" s="6" t="s">
        <v>150</v>
      </c>
      <c r="CU10" s="6"/>
      <c r="CV10" s="6"/>
      <c r="CW10" s="6" t="s">
        <v>152</v>
      </c>
      <c r="CX10" s="6"/>
      <c r="CY10" s="6"/>
      <c r="CZ10" s="6" t="s">
        <v>154</v>
      </c>
      <c r="DA10" s="6"/>
      <c r="DB10" s="6"/>
      <c r="DC10" s="6" t="s">
        <v>156</v>
      </c>
      <c r="DD10" s="6"/>
      <c r="DE10" s="6"/>
      <c r="DF10" s="6" t="s">
        <v>13</v>
      </c>
      <c r="DG10" s="6"/>
      <c r="DH10" s="6"/>
      <c r="DI10" s="6" t="s">
        <v>43</v>
      </c>
      <c r="DJ10" s="6"/>
      <c r="DK10" s="6"/>
      <c r="DL10" s="6" t="s">
        <v>161</v>
      </c>
      <c r="DM10" s="6"/>
      <c r="DN10" s="6"/>
      <c r="DO10" s="6" t="s">
        <v>45</v>
      </c>
      <c r="DP10" s="6"/>
      <c r="DQ10" s="6"/>
      <c r="DR10" s="6" t="s">
        <v>164</v>
      </c>
      <c r="DS10" s="6"/>
      <c r="DT10" s="6"/>
      <c r="DU10" s="6" t="s">
        <v>53</v>
      </c>
      <c r="DV10" s="6"/>
      <c r="DW10" s="6"/>
      <c r="DX10" s="6" t="s">
        <v>167</v>
      </c>
      <c r="DY10" s="6"/>
      <c r="DZ10" s="6"/>
      <c r="EA10" s="6" t="s">
        <v>169</v>
      </c>
      <c r="EB10" s="6"/>
      <c r="EC10" s="6"/>
      <c r="ED10" s="6" t="s">
        <v>29</v>
      </c>
      <c r="EE10" s="6"/>
      <c r="EF10" s="6"/>
      <c r="EG10" s="6" t="s">
        <v>172</v>
      </c>
      <c r="EH10" s="6"/>
      <c r="EI10" s="6"/>
      <c r="EJ10" s="6" t="s">
        <v>41</v>
      </c>
      <c r="EK10" s="6"/>
      <c r="EL10" s="6"/>
      <c r="EM10" s="6" t="s">
        <v>175</v>
      </c>
      <c r="EN10" s="6"/>
      <c r="EO10" s="6"/>
      <c r="EP10" s="6" t="s">
        <v>177</v>
      </c>
      <c r="EQ10" s="6"/>
      <c r="ER10" s="6"/>
      <c r="ES10" s="6" t="s">
        <v>179</v>
      </c>
      <c r="ET10" s="6"/>
      <c r="EU10" s="6"/>
      <c r="EV10" t="s">
        <v>35</v>
      </c>
      <c r="EY10" t="s">
        <v>19</v>
      </c>
      <c r="FB10" t="s">
        <v>183</v>
      </c>
      <c r="FE10" t="s">
        <v>21</v>
      </c>
      <c r="FH10" t="s">
        <v>186</v>
      </c>
      <c r="FK10" t="s">
        <v>51</v>
      </c>
      <c r="FN10" t="s">
        <v>23</v>
      </c>
      <c r="FQ10" t="s">
        <v>190</v>
      </c>
      <c r="FT10" t="s">
        <v>192</v>
      </c>
      <c r="FW10" t="s">
        <v>194</v>
      </c>
      <c r="FZ10" t="s">
        <v>196</v>
      </c>
      <c r="GC10" t="s">
        <v>198</v>
      </c>
      <c r="GF10" t="s">
        <v>200</v>
      </c>
      <c r="GI10" t="s">
        <v>202</v>
      </c>
      <c r="GL10" t="s">
        <v>204</v>
      </c>
      <c r="GO10" t="s">
        <v>206</v>
      </c>
      <c r="GR10" t="s">
        <v>210</v>
      </c>
      <c r="GU10" t="s">
        <v>212</v>
      </c>
      <c r="GX10" t="s">
        <v>214</v>
      </c>
      <c r="HA10" t="s">
        <v>216</v>
      </c>
      <c r="HD10" t="s">
        <v>218</v>
      </c>
      <c r="HG10" t="s">
        <v>220</v>
      </c>
      <c r="HJ10" t="s">
        <v>222</v>
      </c>
    </row>
    <row r="11" spans="1:220" s="14" customFormat="1" outlineLevel="1" x14ac:dyDescent="0.4">
      <c r="A11" s="27" t="s">
        <v>63</v>
      </c>
      <c r="B11" s="16">
        <v>362590.81854244485</v>
      </c>
      <c r="C11" s="16" t="b">
        <f>C12&gt;B11</f>
        <v>0</v>
      </c>
      <c r="D11" s="16"/>
      <c r="E11" s="16">
        <v>145906.56484396372</v>
      </c>
      <c r="F11" s="16" t="b">
        <f>F12&gt;E11</f>
        <v>0</v>
      </c>
      <c r="G11" s="16"/>
      <c r="H11" s="16">
        <v>42763.375336585792</v>
      </c>
      <c r="I11" s="16" t="b">
        <f>I12&gt;H11</f>
        <v>0</v>
      </c>
      <c r="J11" s="16"/>
      <c r="K11" s="16">
        <v>60484.671860834045</v>
      </c>
      <c r="L11" s="16" t="b">
        <f>L12&gt;K11</f>
        <v>0</v>
      </c>
      <c r="M11" s="16"/>
      <c r="N11" s="16">
        <v>258364.88131188584</v>
      </c>
      <c r="O11" s="16" t="b">
        <f>O12&gt;N11</f>
        <v>0</v>
      </c>
      <c r="P11" s="16"/>
      <c r="Q11" s="16">
        <v>86380.333847999413</v>
      </c>
      <c r="R11" s="16" t="b">
        <f>R12&gt;Q11</f>
        <v>0</v>
      </c>
      <c r="S11" s="16"/>
      <c r="T11" s="16">
        <v>17391.369967803341</v>
      </c>
      <c r="U11" s="16" t="b">
        <f>U12&gt;T11</f>
        <v>0</v>
      </c>
      <c r="V11" s="16"/>
      <c r="W11" s="16">
        <v>15474.591471570946</v>
      </c>
      <c r="X11" s="16" t="b">
        <f>X12&gt;W11</f>
        <v>0</v>
      </c>
      <c r="Y11" s="16"/>
      <c r="Z11" s="16">
        <v>21524.806156458773</v>
      </c>
      <c r="AA11" s="16" t="b">
        <f>AA12&gt;Z11</f>
        <v>0</v>
      </c>
      <c r="AB11" s="16"/>
      <c r="AC11" s="16">
        <v>10729.903541499956</v>
      </c>
      <c r="AD11" s="16" t="b">
        <f>AD12&gt;AC11</f>
        <v>1</v>
      </c>
      <c r="AE11" s="16"/>
      <c r="AF11" s="16">
        <v>35149.166091137857</v>
      </c>
      <c r="AG11" s="16" t="b">
        <f>AG12&gt;AF11</f>
        <v>0</v>
      </c>
      <c r="AH11" s="16"/>
      <c r="AI11" s="16">
        <v>45113.95394957067</v>
      </c>
      <c r="AJ11" s="16" t="b">
        <f>AJ12&gt;AI11</f>
        <v>0</v>
      </c>
      <c r="AK11" s="16"/>
      <c r="AL11" s="16">
        <v>13043.370969960279</v>
      </c>
      <c r="AM11" s="16" t="b">
        <f>AM12&gt;AL11</f>
        <v>1</v>
      </c>
      <c r="AN11" s="16"/>
      <c r="AO11" s="16">
        <v>19500.113910566117</v>
      </c>
      <c r="AP11" s="16" t="b">
        <f>AP12&gt;AO11</f>
        <v>0</v>
      </c>
      <c r="AQ11" s="16"/>
      <c r="AR11" s="16">
        <v>24206.158937642318</v>
      </c>
      <c r="AS11" s="16" t="b">
        <f>AS12&gt;AR11</f>
        <v>0</v>
      </c>
      <c r="AT11" s="16"/>
      <c r="AU11" s="16">
        <v>142793.56217871435</v>
      </c>
      <c r="AV11" s="16" t="b">
        <f>AV12&gt;AU11</f>
        <v>1</v>
      </c>
      <c r="AW11" s="16"/>
      <c r="AX11" s="16">
        <v>554103.65864012204</v>
      </c>
      <c r="AY11" s="16" t="b">
        <f>AY12&gt;AX11</f>
        <v>0</v>
      </c>
      <c r="AZ11" s="16"/>
      <c r="BA11" s="16">
        <v>178677.06308687889</v>
      </c>
      <c r="BB11" s="16" t="b">
        <f>BB12&gt;BA11</f>
        <v>0</v>
      </c>
      <c r="BC11" s="16"/>
      <c r="BD11" s="16">
        <v>33686.557706455489</v>
      </c>
      <c r="BE11" s="16" t="b">
        <f>BE12&gt;BD11</f>
        <v>0</v>
      </c>
      <c r="BF11" s="16"/>
      <c r="BG11" s="16">
        <v>34345.667589240242</v>
      </c>
      <c r="BH11" s="16" t="b">
        <f>BH12&gt;BG11</f>
        <v>0</v>
      </c>
      <c r="BI11" s="16"/>
      <c r="BJ11" s="16">
        <v>62570.479297405713</v>
      </c>
      <c r="BK11" s="16" t="b">
        <f>BK12&gt;BJ11</f>
        <v>1</v>
      </c>
      <c r="BL11" s="16"/>
      <c r="BM11" s="16">
        <v>1023003.9190830643</v>
      </c>
      <c r="BN11" s="16" t="b">
        <f>BN12&gt;BM11</f>
        <v>0</v>
      </c>
      <c r="BO11" s="16"/>
      <c r="BP11" s="16">
        <v>39950.59442218575</v>
      </c>
      <c r="BQ11" s="16" t="b">
        <f>BQ12&gt;BP11</f>
        <v>0</v>
      </c>
      <c r="BR11" s="16"/>
      <c r="BS11" s="16">
        <v>118588.11804284228</v>
      </c>
      <c r="BT11" s="16" t="b">
        <f>BT12&gt;BS11</f>
        <v>0</v>
      </c>
      <c r="BU11" s="16"/>
      <c r="BV11" s="16">
        <v>36614.117637876923</v>
      </c>
      <c r="BW11" s="16" t="b">
        <f>BW12&gt;BV11</f>
        <v>1</v>
      </c>
      <c r="BX11" s="16"/>
      <c r="BY11" s="16">
        <v>25548.642274499922</v>
      </c>
      <c r="BZ11" s="16" t="b">
        <f>BZ12&gt;BY11</f>
        <v>0</v>
      </c>
      <c r="CA11" s="16"/>
      <c r="CB11" s="16">
        <v>92534.587024281194</v>
      </c>
      <c r="CC11" s="16" t="b">
        <f>CC12&gt;CB11</f>
        <v>0</v>
      </c>
      <c r="CD11" s="16"/>
      <c r="CE11" s="16">
        <v>15380.064341972136</v>
      </c>
      <c r="CF11" s="16" t="b">
        <f>CF12&gt;CE11</f>
        <v>0</v>
      </c>
      <c r="CG11" s="16"/>
      <c r="CH11" s="16">
        <v>62784.910377647815</v>
      </c>
      <c r="CI11" s="16" t="b">
        <f>CI12&gt;CH11</f>
        <v>0</v>
      </c>
      <c r="CJ11" s="16"/>
      <c r="CK11" s="16">
        <v>294315.59707646631</v>
      </c>
      <c r="CL11" s="16" t="b">
        <f>CL12&gt;CK11</f>
        <v>1</v>
      </c>
      <c r="CM11" s="16"/>
      <c r="CN11" s="16">
        <v>107317.37867102765</v>
      </c>
      <c r="CO11" s="16" t="b">
        <f>CO12&gt;CN11</f>
        <v>0</v>
      </c>
      <c r="CP11" s="16"/>
      <c r="CQ11" s="16">
        <v>72259.355361348324</v>
      </c>
      <c r="CR11" s="16" t="b">
        <f>CR12&gt;CQ11</f>
        <v>0</v>
      </c>
      <c r="CS11" s="16"/>
      <c r="CT11" s="16">
        <v>22215.101764504139</v>
      </c>
      <c r="CU11" s="16" t="b">
        <f>CU12&gt;CT11</f>
        <v>0</v>
      </c>
      <c r="CV11" s="16"/>
      <c r="CW11" s="16">
        <v>126600.22937682083</v>
      </c>
      <c r="CX11" s="16" t="b">
        <f>CX12&gt;CW11</f>
        <v>0</v>
      </c>
      <c r="CY11" s="16"/>
      <c r="CZ11" s="16">
        <v>24631.537915870893</v>
      </c>
      <c r="DA11" s="16" t="b">
        <f>DA12&gt;CZ11</f>
        <v>1</v>
      </c>
      <c r="DB11" s="16"/>
      <c r="DC11" s="16">
        <v>22198.747158002519</v>
      </c>
      <c r="DD11" s="16" t="b">
        <f>DD12&gt;DC11</f>
        <v>0</v>
      </c>
      <c r="DE11" s="16"/>
      <c r="DF11" s="16">
        <v>59598.367942405581</v>
      </c>
      <c r="DG11" s="16" t="b">
        <f>DG12&gt;DF11</f>
        <v>1</v>
      </c>
      <c r="DH11" s="16"/>
      <c r="DI11" s="16">
        <v>171975.97495956192</v>
      </c>
      <c r="DJ11" s="16" t="b">
        <f>DJ12&gt;DI11</f>
        <v>1</v>
      </c>
      <c r="DK11" s="16"/>
      <c r="DL11" s="16">
        <v>27770.44498257912</v>
      </c>
      <c r="DM11" s="16" t="b">
        <f>DM12&gt;DL11</f>
        <v>0</v>
      </c>
      <c r="DN11" s="16"/>
      <c r="DO11" s="16">
        <v>25262.519616896054</v>
      </c>
      <c r="DP11" s="16" t="b">
        <f>DP12&gt;DO11</f>
        <v>1</v>
      </c>
      <c r="DQ11" s="16"/>
      <c r="DR11" s="16">
        <v>5050.5747564224312</v>
      </c>
      <c r="DS11" s="16" t="b">
        <f>DS12&gt;DR11</f>
        <v>1</v>
      </c>
      <c r="DT11" s="16"/>
      <c r="DU11" s="16">
        <v>189939.42397680384</v>
      </c>
      <c r="DV11" s="16" t="b">
        <f>DV12&gt;DU11</f>
        <v>0</v>
      </c>
      <c r="DW11" s="16"/>
      <c r="DX11" s="16">
        <v>52935.931194497221</v>
      </c>
      <c r="DY11" s="16" t="b">
        <f>DY12&gt;DX11</f>
        <v>0</v>
      </c>
      <c r="DZ11" s="16"/>
      <c r="EA11" s="16">
        <v>10895.312454191968</v>
      </c>
      <c r="EB11" s="16" t="b">
        <f>EB12&gt;EA11</f>
        <v>1</v>
      </c>
      <c r="EC11" s="16"/>
      <c r="ED11" s="16">
        <v>1328999.7826312257</v>
      </c>
      <c r="EE11" s="16" t="b">
        <f>EE12&gt;ED11</f>
        <v>0</v>
      </c>
      <c r="EF11" s="16"/>
      <c r="EG11" s="16">
        <v>109777.16710164156</v>
      </c>
      <c r="EH11" s="16" t="b">
        <f>EH12&gt;EG11</f>
        <v>0</v>
      </c>
      <c r="EI11" s="16"/>
      <c r="EJ11" s="16">
        <v>295193.77956935851</v>
      </c>
      <c r="EK11" s="16" t="b">
        <f>EK12&gt;EJ11</f>
        <v>0</v>
      </c>
      <c r="EL11" s="16"/>
      <c r="EM11" s="16">
        <v>11670.430799966969</v>
      </c>
      <c r="EN11" s="16" t="b">
        <f>EN12&gt;EM11</f>
        <v>1</v>
      </c>
      <c r="EO11" s="16"/>
      <c r="EP11" s="16">
        <v>55249.614918085586</v>
      </c>
      <c r="EQ11" s="16" t="b">
        <f>EQ12&gt;EP11</f>
        <v>0</v>
      </c>
      <c r="ER11" s="16"/>
      <c r="ES11" s="16">
        <v>11322.883768148369</v>
      </c>
      <c r="ET11" s="16" t="b">
        <f>ET12&gt;ES11</f>
        <v>0</v>
      </c>
      <c r="EU11" s="16"/>
      <c r="EV11" s="14">
        <v>276084.20185078279</v>
      </c>
      <c r="EY11" s="14">
        <v>29165.742081567441</v>
      </c>
      <c r="FB11" s="14">
        <v>2528.0083078327007</v>
      </c>
      <c r="FE11" s="14">
        <v>54161.893611915533</v>
      </c>
      <c r="FH11" s="14">
        <v>46017.49903384033</v>
      </c>
      <c r="FK11" s="14">
        <v>71796.646769069572</v>
      </c>
      <c r="FN11" s="14">
        <v>30158.385868330151</v>
      </c>
      <c r="FQ11" s="14">
        <v>27423.241887243374</v>
      </c>
      <c r="FT11" s="14">
        <v>847002.99344231794</v>
      </c>
      <c r="FW11" s="14">
        <v>16432.988010247318</v>
      </c>
      <c r="FZ11" s="14">
        <v>25570.00590114122</v>
      </c>
      <c r="GC11" s="14">
        <v>18864.009163090686</v>
      </c>
      <c r="GF11" s="14">
        <v>149420.12635615142</v>
      </c>
      <c r="GI11" s="14">
        <v>4832.2955520971345</v>
      </c>
      <c r="GL11" s="14">
        <v>9994.3174613704559</v>
      </c>
      <c r="GO11" s="14">
        <v>643886.12586653279</v>
      </c>
      <c r="GR11" s="14">
        <v>53893.279673294412</v>
      </c>
      <c r="GU11" s="14">
        <v>7885.8005794963983</v>
      </c>
      <c r="GX11" s="14">
        <v>27497.545260873965</v>
      </c>
      <c r="HA11" s="14">
        <v>5384.0001277095698</v>
      </c>
      <c r="HD11" s="14">
        <v>31802.651331693247</v>
      </c>
      <c r="HG11" s="14">
        <v>9395.8613990073572</v>
      </c>
      <c r="HJ11" s="14">
        <v>3697.7694342153723</v>
      </c>
    </row>
    <row r="12" spans="1:220" s="14" customFormat="1" outlineLevel="1" x14ac:dyDescent="0.4">
      <c r="A12" s="27" t="s">
        <v>65</v>
      </c>
      <c r="B12" s="17">
        <v>357542.77588566684</v>
      </c>
      <c r="C12" s="17">
        <f>[2]!CPRICE</f>
        <v>361400</v>
      </c>
      <c r="D12" s="50">
        <f>ABS($B$12-$C$12)/10096.0853135561</f>
        <v>0.38205145801947965</v>
      </c>
      <c r="E12" s="17">
        <v>144339.17611156276</v>
      </c>
      <c r="F12" s="17">
        <f>[3]!CPRICE</f>
        <v>141500</v>
      </c>
      <c r="G12" s="50">
        <f>ABS($E$12-$F$12)/3134.77746480194</f>
        <v>0.90570260359522625</v>
      </c>
      <c r="H12" s="17">
        <v>41712.498524234798</v>
      </c>
      <c r="I12" s="17">
        <f>[4]!CPRICE</f>
        <v>41300</v>
      </c>
      <c r="J12" s="50">
        <f>ABS($H$12-$I$12)/2101.75362470199</f>
        <v>0.19626397660824121</v>
      </c>
      <c r="K12" s="17">
        <v>59297.433949620994</v>
      </c>
      <c r="L12" s="17">
        <f>[5]!CPRICE</f>
        <v>59200</v>
      </c>
      <c r="M12" s="50">
        <f>ABS($K$12-$L$12)/2374.4758224261</f>
        <v>4.103387733021506E-2</v>
      </c>
      <c r="N12" s="17">
        <v>255207.02232784446</v>
      </c>
      <c r="O12" s="17">
        <f>[6]!CPRICE</f>
        <v>257000</v>
      </c>
      <c r="P12" s="50">
        <f>ABS($N$12-$O$12)/6315.71796808272</f>
        <v>0.28389134556301887</v>
      </c>
      <c r="Q12" s="17">
        <v>85235.225738384062</v>
      </c>
      <c r="R12" s="17">
        <f>[7]!CPRICE</f>
        <v>85400</v>
      </c>
      <c r="S12" s="50">
        <f>ABS($Q$12-$R$12)/2290.2162192307</f>
        <v>7.1947032875038508E-2</v>
      </c>
      <c r="T12" s="17">
        <v>17065.028986219721</v>
      </c>
      <c r="U12" s="17">
        <f>[8]!CPRICE</f>
        <v>17250</v>
      </c>
      <c r="V12" s="50">
        <f>ABS($T$12-$U$12)/652.681963167241</f>
        <v>0.28340144851357435</v>
      </c>
      <c r="W12" s="17">
        <v>15212.464771840147</v>
      </c>
      <c r="X12" s="17">
        <f>[9]!CPRICE</f>
        <v>15350</v>
      </c>
      <c r="Y12" s="50">
        <f>ABS($W$12-$X$12)/524.253399461597</f>
        <v>0.2623449429247397</v>
      </c>
      <c r="Z12" s="17">
        <v>21085.050676386418</v>
      </c>
      <c r="AA12" s="17">
        <f>[10]!CPRICE</f>
        <v>21050</v>
      </c>
      <c r="AB12" s="17">
        <f>ABS($Z$12-$AA$12)/879.510960144711</f>
        <v>3.9852461168477848E-2</v>
      </c>
      <c r="AC12" s="17">
        <v>10555.730159504903</v>
      </c>
      <c r="AD12" s="17">
        <f>[11]!CPRICE</f>
        <v>10750</v>
      </c>
      <c r="AE12" s="17">
        <f>ABS($AC$12-$AD$12)/348.346763990108</f>
        <v>0.55769095791173673</v>
      </c>
      <c r="AF12" s="17">
        <v>34355.205473082715</v>
      </c>
      <c r="AG12" s="17">
        <f>[12]!CPRICE</f>
        <v>34400</v>
      </c>
      <c r="AH12" s="17">
        <f>ABS($AF$12-$AG$12)/1587.92123611028</f>
        <v>2.8209539553115569E-2</v>
      </c>
      <c r="AI12" s="17">
        <v>44582.396749763851</v>
      </c>
      <c r="AJ12" s="34">
        <f>[13]!CPRICE</f>
        <v>44400</v>
      </c>
      <c r="AK12" s="17">
        <f>ABS($AI$12-$AJ$12)/1063.11439961365</f>
        <v>0.17156831835796488</v>
      </c>
      <c r="AL12" s="17">
        <v>12736.020661884486</v>
      </c>
      <c r="AM12" s="17">
        <f>[14]!CPRICE</f>
        <v>13250</v>
      </c>
      <c r="AN12" s="17">
        <f>ABS($AL$12-$AM$12)/614.700616151584</f>
        <v>0.83614579945169243</v>
      </c>
      <c r="AO12" s="17">
        <v>19122.467928425773</v>
      </c>
      <c r="AP12" s="17">
        <f>[15]!CPRICE</f>
        <v>19500</v>
      </c>
      <c r="AQ12" s="17">
        <f>ABS($AO$12-$AP$12)/755.291964280692</f>
        <v>0.49984918339992246</v>
      </c>
      <c r="AR12" s="17">
        <v>23802.598023779698</v>
      </c>
      <c r="AS12" s="17">
        <f>[16]!CPRICE</f>
        <v>23800</v>
      </c>
      <c r="AT12" s="17">
        <f>ABS($AR$12-$AS$12)/807.121827725237</f>
        <v>3.2188743885414647E-3</v>
      </c>
      <c r="AU12" s="17">
        <v>140410.45144402992</v>
      </c>
      <c r="AV12" s="17">
        <f>[17]!CPRICE</f>
        <v>146000</v>
      </c>
      <c r="AW12" s="17">
        <f>ABS($AU$12-$AV$12)/4766.22146936887</f>
        <v>1.1727420959962711</v>
      </c>
      <c r="AX12" s="17">
        <v>546882.93008822307</v>
      </c>
      <c r="AY12" s="17">
        <f>[18]!CPRICE</f>
        <v>547000</v>
      </c>
      <c r="AZ12" s="17">
        <f>ABS($AX$12-$AY$12)/14441.4571037979</f>
        <v>8.1065166025482086E-3</v>
      </c>
      <c r="BA12" s="17">
        <v>176673.93473538954</v>
      </c>
      <c r="BB12" s="17">
        <f>[19]!CPRICE</f>
        <v>178500</v>
      </c>
      <c r="BC12" s="17">
        <f>ABS($BA$12-$BB$12)/4006.25670297872</f>
        <v>0.45580335959319496</v>
      </c>
      <c r="BD12" s="17">
        <v>33011.506728295775</v>
      </c>
      <c r="BE12" s="17">
        <f>[20]!CPRICE</f>
        <v>33450</v>
      </c>
      <c r="BF12" s="17">
        <f>ABS($BD$12-$BE$12)/1350.10195631943</f>
        <v>0.32478530206683043</v>
      </c>
      <c r="BG12" s="17">
        <v>33704.368933459293</v>
      </c>
      <c r="BH12" s="17">
        <f>[21]!CPRICE</f>
        <v>33200</v>
      </c>
      <c r="BI12" s="17">
        <f>ABS($BG$12-$BH$12)/1282.5973115619</f>
        <v>0.39324028587358473</v>
      </c>
      <c r="BJ12" s="17">
        <v>61719.584827158571</v>
      </c>
      <c r="BK12" s="17">
        <f>[22]!CPRICE</f>
        <v>63100</v>
      </c>
      <c r="BL12" s="17">
        <f>ABS($BJ$12-$BK$12)/1701.78894049428</f>
        <v>0.8111553318947361</v>
      </c>
      <c r="BM12" s="17">
        <v>1008124.7397466978</v>
      </c>
      <c r="BN12" s="17">
        <f>[23]!CPRICE</f>
        <v>1009000</v>
      </c>
      <c r="BO12" s="17">
        <f>ABS($BM$12-$BN$12)/29758.358672733</f>
        <v>2.9412248939124277E-2</v>
      </c>
      <c r="BP12" s="17">
        <v>39038.460878366881</v>
      </c>
      <c r="BQ12" s="17">
        <f>[24]!CPRICE</f>
        <v>38400</v>
      </c>
      <c r="BR12" s="17">
        <f>ABS($BP$12-$BQ$12)/1824.26708763774</f>
        <v>0.34998212854545863</v>
      </c>
      <c r="BS12" s="17">
        <v>116701.52701745011</v>
      </c>
      <c r="BT12" s="17">
        <f>[25]!CPRICE</f>
        <v>118000</v>
      </c>
      <c r="BU12" s="17">
        <f>ABS($BS$12-$BT$12)/3773.18205078435</f>
        <v>0.34413207872648882</v>
      </c>
      <c r="BV12" s="17">
        <v>35962.531800048222</v>
      </c>
      <c r="BW12" s="17">
        <f>[26]!CPRICE</f>
        <v>36800</v>
      </c>
      <c r="BX12" s="17">
        <f>ABS($BV$12-$BW$12)/1303.1716756574</f>
        <v>0.64263843022010692</v>
      </c>
      <c r="BY12" s="17">
        <v>24913.782340440732</v>
      </c>
      <c r="BZ12" s="17">
        <f>[27]!CPRICE</f>
        <v>23650</v>
      </c>
      <c r="CA12" s="17">
        <f>ABS($BY$12-$BZ$12)/1269.71986811838</f>
        <v>0.9953237498863059</v>
      </c>
      <c r="CB12" s="17">
        <v>91196.005845517822</v>
      </c>
      <c r="CC12" s="17">
        <f>[28]!CPRICE</f>
        <v>92300</v>
      </c>
      <c r="CD12" s="17">
        <f>ABS($CB$12-$CC$12)/2677.16235752674</f>
        <v>0.41237474872539581</v>
      </c>
      <c r="CE12" s="17">
        <v>15163.069138839757</v>
      </c>
      <c r="CF12" s="17">
        <f>[29]!CPRICE</f>
        <v>15150</v>
      </c>
      <c r="CG12" s="17">
        <f>ABS($CE$12-$CF$12)/433.990406264757</f>
        <v>3.0113888812059023E-2</v>
      </c>
      <c r="CH12" s="17">
        <v>61792.288920520892</v>
      </c>
      <c r="CI12" s="17">
        <f>[30]!CPRICE</f>
        <v>62300</v>
      </c>
      <c r="CJ12" s="17">
        <f>ABS($CH$12-$CI$12)/1985.24291425384</f>
        <v>0.25574254708771132</v>
      </c>
      <c r="CK12" s="17">
        <v>292201.34846146754</v>
      </c>
      <c r="CL12" s="17">
        <f>[1]!CPRICE</f>
        <v>296500</v>
      </c>
      <c r="CM12" s="17">
        <f>ABS($CK$12-$CL$12)/4228.49722999759</f>
        <v>1.016590837056055</v>
      </c>
      <c r="CN12" s="17">
        <v>105894.81734532317</v>
      </c>
      <c r="CO12" s="17">
        <f>[31]!CPRICE</f>
        <v>107000</v>
      </c>
      <c r="CP12" s="17">
        <f>ABS($CN$12-$CO$12)/2845.12265140895</f>
        <v>0.38844815851067932</v>
      </c>
      <c r="CQ12" s="17">
        <v>71641.305361731938</v>
      </c>
      <c r="CR12" s="17">
        <f>[32]!CPRICE</f>
        <v>71800</v>
      </c>
      <c r="CS12" s="17">
        <f>ABS($CQ$12-$CR$12)/1236.09999923276</f>
        <v>0.12838333336021562</v>
      </c>
      <c r="CT12" s="17">
        <v>21744.378102286297</v>
      </c>
      <c r="CU12" s="17">
        <f>[33]!CPRICE</f>
        <v>21700</v>
      </c>
      <c r="CV12" s="17">
        <f>ABS($CT$12-$CU$12)/941.447324435689</f>
        <v>4.7138168152846327E-2</v>
      </c>
      <c r="CW12" s="17">
        <v>125480.17558331336</v>
      </c>
      <c r="CX12" s="17">
        <f>[34]!CPRICE</f>
        <v>125000</v>
      </c>
      <c r="CY12" s="17">
        <f>ABS($CW$12-$CX$12)/2240.10758701492</f>
        <v>0.214353804297957</v>
      </c>
      <c r="CZ12" s="17">
        <v>24177.361501439133</v>
      </c>
      <c r="DA12" s="17">
        <f>[35]!CPRICE</f>
        <v>24750</v>
      </c>
      <c r="DB12" s="17">
        <f>ABS($CZ$12-$DA$12)/908.352828863517</f>
        <v>0.63041417427776658</v>
      </c>
      <c r="DC12" s="17">
        <v>21913.409360843652</v>
      </c>
      <c r="DD12" s="17">
        <f>[36]!CPRICE</f>
        <v>21500</v>
      </c>
      <c r="DE12" s="17">
        <f>ABS($DC$12-$DD$12)/570.675594317734</f>
        <v>0.72442095817659802</v>
      </c>
      <c r="DF12" s="17">
        <v>58848.435784443333</v>
      </c>
      <c r="DG12" s="17">
        <f>[37]!CPRICE</f>
        <v>59900</v>
      </c>
      <c r="DH12" s="17">
        <f>ABS($DF$12-$DG$12)/1499.8643159245</f>
        <v>0.70110622967151182</v>
      </c>
      <c r="DI12" s="17">
        <v>169422.12110517343</v>
      </c>
      <c r="DJ12" s="17">
        <f>[38]!CPRICE</f>
        <v>173000</v>
      </c>
      <c r="DK12" s="17">
        <f>ABS($DI$12-$DJ$12)/5107.70770877702</f>
        <v>0.70048622568562213</v>
      </c>
      <c r="DL12" s="17">
        <v>27325.853597964408</v>
      </c>
      <c r="DM12" s="17">
        <f>[39]!CPRICE</f>
        <v>27150</v>
      </c>
      <c r="DN12" s="17">
        <f>ABS($DL$12-$DM$12)/889.182769229421</f>
        <v>0.19776991193475879</v>
      </c>
      <c r="DO12" s="17">
        <v>24823.578466931976</v>
      </c>
      <c r="DP12" s="17">
        <f>[40]!CPRICE</f>
        <v>25800</v>
      </c>
      <c r="DQ12" s="17">
        <f>ABS($DO$12-$DP$12)/877.882299928158</f>
        <v>1.1122465200037974</v>
      </c>
      <c r="DR12" s="17">
        <v>4970.9377327808525</v>
      </c>
      <c r="DS12" s="17">
        <f>[41]!CPRICE</f>
        <v>5120</v>
      </c>
      <c r="DT12" s="17">
        <f>ABS($DR$12-$DS$12)/159.274047283157</f>
        <v>0.93588547388480081</v>
      </c>
      <c r="DU12" s="17">
        <v>187261.99594426583</v>
      </c>
      <c r="DV12" s="17">
        <f>[42]!CPRICE</f>
        <v>187000</v>
      </c>
      <c r="DW12" s="17">
        <f>ABS($DU$12-$DV$12)/5354.85606507602</f>
        <v>4.8926794872143728E-2</v>
      </c>
      <c r="DX12" s="17">
        <v>51889.960529492993</v>
      </c>
      <c r="DY12" s="17">
        <f>[43]!CPRICE</f>
        <v>49500</v>
      </c>
      <c r="DZ12" s="17">
        <f>ABS($DX$12-$DY$12)/2091.94133000846</f>
        <v>1.1424605916091002</v>
      </c>
      <c r="EA12" s="17">
        <v>10733.055521622144</v>
      </c>
      <c r="EB12" s="17">
        <f>[44]!CPRICE</f>
        <v>11000</v>
      </c>
      <c r="EC12" s="17">
        <f>ABS($EA$12-$EB$12)/324.513865139646</f>
        <v>0.82259806761410259</v>
      </c>
      <c r="ED12" s="17">
        <v>1313947.4246692231</v>
      </c>
      <c r="EE12" s="17">
        <f>[45]!CPRICE</f>
        <v>1267000</v>
      </c>
      <c r="EF12" s="17">
        <f>ABS($ED$12-$EE$12)/30104.715924005</f>
        <v>1.559470774869131</v>
      </c>
      <c r="EG12" s="17">
        <v>107843.15881214847</v>
      </c>
      <c r="EH12" s="17">
        <f>[46]!CPRICE</f>
        <v>106000</v>
      </c>
      <c r="EI12" s="17">
        <f>ABS($EG$12-$EH$12)/3868.01657898619</f>
        <v>0.47651264530814413</v>
      </c>
      <c r="EJ12" s="17">
        <v>290754.90739276854</v>
      </c>
      <c r="EK12" s="17">
        <f>[47]!CPRICE</f>
        <v>288000</v>
      </c>
      <c r="EL12" s="17">
        <f>ABS($EJ$12-$EK$12)/8877.74435317999</f>
        <v>0.31031614373776556</v>
      </c>
      <c r="EM12" s="17">
        <v>11507.912540649881</v>
      </c>
      <c r="EN12" s="17">
        <f>[48]!CPRICE</f>
        <v>11900</v>
      </c>
      <c r="EO12" s="17">
        <f>ABS($EM$12-$EN$12)/325.036518634177</f>
        <v>1.2062874073279348</v>
      </c>
      <c r="EP12" s="17">
        <v>54321.576059048923</v>
      </c>
      <c r="EQ12" s="17">
        <f>[49]!CPRICE</f>
        <v>52900</v>
      </c>
      <c r="ER12" s="17">
        <f>ABS($EP$12-$EQ$12)/1856.07771807333</f>
        <v>0.76590330523689787</v>
      </c>
      <c r="ES12" s="17">
        <v>11094.224290739538</v>
      </c>
      <c r="ET12" s="17">
        <f>[50]!CPRICE</f>
        <v>11200</v>
      </c>
      <c r="EU12" s="17">
        <f>ABS($ES$12-$ET$12)/457.318954817665</f>
        <v>0.23129526591049718</v>
      </c>
      <c r="EV12" s="14">
        <v>270121.80801955919</v>
      </c>
      <c r="EW12" s="14">
        <f>[51]!CPRICE</f>
        <v>268000</v>
      </c>
      <c r="EX12" s="14">
        <f>ABS($EV$12-$EW$12)/11924.7876624472</f>
        <v>0.17793256195588758</v>
      </c>
      <c r="EY12" s="14">
        <v>28767.238966623037</v>
      </c>
      <c r="EZ12" s="14">
        <f>[52]!CPRICE</f>
        <v>28400</v>
      </c>
      <c r="FA12" s="14">
        <f>ABS($EY$12-$EZ$12)/797.006229888808</f>
        <v>0.46077301889380679</v>
      </c>
      <c r="FB12" s="14">
        <v>2484.4766475191363</v>
      </c>
      <c r="FC12" s="14">
        <f>[53]!CPRICE</f>
        <v>2460</v>
      </c>
      <c r="FD12" s="14">
        <f>ABS($FB$12-$FC$12)/87.0633206271286</f>
        <v>0.28113615863520736</v>
      </c>
      <c r="FE12" s="14">
        <v>53608.183316397313</v>
      </c>
      <c r="FF12" s="14">
        <f>[54]!CPRICE</f>
        <v>53000</v>
      </c>
      <c r="FG12" s="14">
        <f>ABS($FE$12-$FF$12)/1107.42059103644</f>
        <v>0.54918909881214306</v>
      </c>
      <c r="FH12" s="14">
        <v>44833.344046307349</v>
      </c>
      <c r="FI12" s="14">
        <f>[55]!CPRICE</f>
        <v>44400</v>
      </c>
      <c r="FJ12" s="14">
        <f>ABS($FH$12-$FI$12)/2368.30997506596</f>
        <v>0.18297606768948405</v>
      </c>
      <c r="FK12" s="14">
        <v>70891.62044311504</v>
      </c>
      <c r="FL12" s="14">
        <f>[56]!CPRICE</f>
        <v>70300</v>
      </c>
      <c r="FM12" s="14">
        <f>ABS($FK$12-$FL$12)/1810.05265190905</f>
        <v>0.32685261530434601</v>
      </c>
      <c r="FN12" s="14">
        <v>29691.29320505674</v>
      </c>
      <c r="FO12" s="14">
        <f>[57]!CPRICE</f>
        <v>29600</v>
      </c>
      <c r="FP12" s="14">
        <f>ABS($FN$12-$FO$12)/934.185326546823</f>
        <v>9.7724940076078043E-2</v>
      </c>
      <c r="FQ12" s="14">
        <v>26887.670481505978</v>
      </c>
      <c r="FR12" s="14">
        <f>[58]!CPRICE</f>
        <v>26650</v>
      </c>
      <c r="FS12" s="14">
        <f>ABS($FQ$12-$FR$12)/1071.14281147479</f>
        <v>0.22188496151950518</v>
      </c>
      <c r="FT12" s="14">
        <v>834555.02694802976</v>
      </c>
      <c r="FU12" s="14">
        <f>[59]!CPRICE</f>
        <v>815000</v>
      </c>
      <c r="FV12" s="14">
        <f>ABS($FT$12-$FU$12)/24895.9329885764</f>
        <v>0.78547074162686181</v>
      </c>
      <c r="FW12" s="14">
        <v>16131.842263770797</v>
      </c>
      <c r="FX12" s="14">
        <f>[60]!CPRICE</f>
        <v>15950</v>
      </c>
      <c r="FY12" s="14">
        <f>ABS($FW$12-$FX$12)/602.291492953042</f>
        <v>0.30191737040684824</v>
      </c>
      <c r="FZ12" s="14">
        <v>25082.447377499233</v>
      </c>
      <c r="GA12" s="14">
        <f>[61]!CPRICE</f>
        <v>26300</v>
      </c>
      <c r="GB12" s="14">
        <f>ABS($FZ$12-$GA$12)/975.117047283973</f>
        <v>1.2486220253169178</v>
      </c>
      <c r="GC12" s="14">
        <v>18643.8408257503</v>
      </c>
      <c r="GD12" s="14">
        <f>[62]!CPRICE</f>
        <v>18600</v>
      </c>
      <c r="GE12" s="14">
        <f>ABS($GC$12-$GD$12)/440.336674680773</f>
        <v>9.9562058468290415E-2</v>
      </c>
      <c r="GF12" s="14">
        <v>146946.44722664991</v>
      </c>
      <c r="GG12" s="14">
        <f>[63]!CPRICE</f>
        <v>150500</v>
      </c>
      <c r="GH12" s="14">
        <f>ABS($GF$12-$GG$12)/4947.35825900306</f>
        <v>0.71827278060638522</v>
      </c>
      <c r="GI12" s="14">
        <v>4684.4498666423933</v>
      </c>
      <c r="GJ12" s="14">
        <f>[64]!CPRICE</f>
        <v>4615</v>
      </c>
      <c r="GK12" s="14">
        <f>ABS($GI$12-$GJ$12)/295.691370909482</f>
        <v>0.23487282171536059</v>
      </c>
      <c r="GL12" s="14">
        <v>9753.8732095217238</v>
      </c>
      <c r="GM12" s="14">
        <f>[65]!CPRICE</f>
        <v>9950</v>
      </c>
      <c r="GN12" s="14">
        <f>ABS($GL$12-$GM$12)/480.888503697464</f>
        <v>0.40784254348002313</v>
      </c>
      <c r="GO12" s="14">
        <v>632079.04938859644</v>
      </c>
      <c r="GP12" s="14">
        <f>[66]!CPRICE</f>
        <v>633000</v>
      </c>
      <c r="GQ12" s="14">
        <f>ABS($GO$12-$GP$12)/23614.1529558727</f>
        <v>3.8999942666777983E-2</v>
      </c>
      <c r="GR12" s="14">
        <v>53515.730612869949</v>
      </c>
      <c r="GS12" s="14">
        <f>[67]!CPRICE</f>
        <v>53300</v>
      </c>
      <c r="GT12" s="14">
        <f>ABS($GR$12-$GS$12)/755.098120848925</f>
        <v>0.28569878127548831</v>
      </c>
      <c r="GU12" s="14">
        <v>7700.6644152961944</v>
      </c>
      <c r="GV12" s="14">
        <f>[68]!CPRICE</f>
        <v>7520</v>
      </c>
      <c r="GW12" s="14">
        <f>ABS($GU$12-$GV$12)/370.272328400408</f>
        <v>0.48792308103787357</v>
      </c>
      <c r="GX12" s="14">
        <v>26938.047723905303</v>
      </c>
      <c r="GY12" s="14">
        <f>[69]!CPRICE</f>
        <v>26400</v>
      </c>
      <c r="GZ12" s="14">
        <f>ABS($GX$12-$GY$12)/1118.99507393732</f>
        <v>0.48083118186759943</v>
      </c>
      <c r="HA12" s="14">
        <v>5289.2331096547168</v>
      </c>
      <c r="HB12" s="14">
        <f>[70]!CPRICE</f>
        <v>5330</v>
      </c>
      <c r="HC12" s="14">
        <f>ABS($HA$12-$HB$12)/189.534036109707</f>
        <v>0.21509007660073406</v>
      </c>
      <c r="HD12" s="14">
        <v>31061.827231889198</v>
      </c>
      <c r="HE12" s="14">
        <f>[71]!CPRICE</f>
        <v>31250</v>
      </c>
      <c r="HF12" s="14">
        <f>ABS($HD$12-$HE$12)/1481.6481996081</f>
        <v>0.12700232630159744</v>
      </c>
      <c r="HG12" s="14">
        <v>9234.8484721518234</v>
      </c>
      <c r="HH12" s="14">
        <f>[72]!CPRICE</f>
        <v>9230</v>
      </c>
      <c r="HI12" s="14">
        <f>ABS($HG$12-$HH$12)/322.025853711068</f>
        <v>1.505615805671817E-2</v>
      </c>
      <c r="HJ12" s="14">
        <v>3627.886765369803</v>
      </c>
      <c r="HK12" s="14">
        <f>[73]!CPRICE</f>
        <v>3640</v>
      </c>
      <c r="HL12" s="14">
        <f>ABS($HJ$12-$HK$12)/139.765337691138</f>
        <v>8.6668374507601814E-2</v>
      </c>
    </row>
    <row r="13" spans="1:220" s="14" customFormat="1" outlineLevel="1" x14ac:dyDescent="0.4">
      <c r="A13" s="27" t="s">
        <v>64</v>
      </c>
      <c r="B13" s="16">
        <v>352494.73322888877</v>
      </c>
      <c r="C13" s="16" t="b">
        <f>C12&lt;B13</f>
        <v>0</v>
      </c>
      <c r="D13" s="16"/>
      <c r="E13" s="16">
        <v>142771.78737916177</v>
      </c>
      <c r="F13" s="16" t="b">
        <f>F12&lt;E13</f>
        <v>1</v>
      </c>
      <c r="G13" s="16"/>
      <c r="H13" s="16">
        <v>40661.621711883803</v>
      </c>
      <c r="I13" s="16" t="b">
        <f>I12&lt;H13</f>
        <v>0</v>
      </c>
      <c r="J13" s="16"/>
      <c r="K13" s="16">
        <v>58110.196038407943</v>
      </c>
      <c r="L13" s="16" t="b">
        <f>L12&lt;K13</f>
        <v>0</v>
      </c>
      <c r="M13" s="16"/>
      <c r="N13" s="16">
        <v>252049.16334380311</v>
      </c>
      <c r="O13" s="16" t="b">
        <f>O12&lt;N13</f>
        <v>0</v>
      </c>
      <c r="P13" s="16"/>
      <c r="Q13" s="16">
        <v>84090.117628768712</v>
      </c>
      <c r="R13" s="16" t="b">
        <f>R12&lt;Q13</f>
        <v>0</v>
      </c>
      <c r="S13" s="16"/>
      <c r="T13" s="16">
        <v>16738.6880046361</v>
      </c>
      <c r="U13" s="16" t="b">
        <f>U12&lt;T13</f>
        <v>0</v>
      </c>
      <c r="V13" s="16"/>
      <c r="W13" s="16">
        <v>14950.338072109349</v>
      </c>
      <c r="X13" s="16" t="b">
        <f>X12&lt;W13</f>
        <v>0</v>
      </c>
      <c r="Y13" s="16"/>
      <c r="Z13" s="16">
        <v>20645.295196314062</v>
      </c>
      <c r="AA13" s="16" t="b">
        <f>AA12&lt;Z13</f>
        <v>0</v>
      </c>
      <c r="AB13" s="16"/>
      <c r="AC13" s="16">
        <v>10381.556777509848</v>
      </c>
      <c r="AD13" s="16" t="b">
        <f>AD12&lt;AC13</f>
        <v>0</v>
      </c>
      <c r="AE13" s="16"/>
      <c r="AF13" s="16">
        <v>33561.244855027573</v>
      </c>
      <c r="AG13" s="16" t="b">
        <f>AG12&lt;AF13</f>
        <v>0</v>
      </c>
      <c r="AH13" s="16"/>
      <c r="AI13" s="16">
        <v>44050.839549957025</v>
      </c>
      <c r="AJ13" s="16" t="b">
        <f>AJ12&lt;AI13</f>
        <v>0</v>
      </c>
      <c r="AK13" s="16"/>
      <c r="AL13" s="16">
        <v>12428.670353808695</v>
      </c>
      <c r="AM13" s="16" t="b">
        <f>AM12&lt;AL13</f>
        <v>0</v>
      </c>
      <c r="AN13" s="16"/>
      <c r="AO13" s="16">
        <v>18744.821946285425</v>
      </c>
      <c r="AP13" s="16" t="b">
        <f>AP12&lt;AO13</f>
        <v>0</v>
      </c>
      <c r="AQ13" s="16"/>
      <c r="AR13" s="16">
        <v>23399.037109917081</v>
      </c>
      <c r="AS13" s="16" t="b">
        <f>AS12&lt;AR13</f>
        <v>0</v>
      </c>
      <c r="AT13" s="16"/>
      <c r="AU13" s="16">
        <v>138027.34070934547</v>
      </c>
      <c r="AV13" s="16" t="b">
        <f>AV12&lt;AU13</f>
        <v>0</v>
      </c>
      <c r="AW13" s="16"/>
      <c r="AX13" s="16">
        <v>539662.20153632411</v>
      </c>
      <c r="AY13" s="16" t="b">
        <f>AY12&lt;AX13</f>
        <v>0</v>
      </c>
      <c r="AZ13" s="16"/>
      <c r="BA13" s="16">
        <v>174670.80638390017</v>
      </c>
      <c r="BB13" s="16" t="b">
        <f>BB12&lt;BA13</f>
        <v>0</v>
      </c>
      <c r="BC13" s="16"/>
      <c r="BD13" s="16">
        <v>32336.455750136058</v>
      </c>
      <c r="BE13" s="16" t="b">
        <f>BE12&lt;BD13</f>
        <v>0</v>
      </c>
      <c r="BF13" s="16"/>
      <c r="BG13" s="16">
        <v>33063.070277678344</v>
      </c>
      <c r="BH13" s="16" t="b">
        <f>BH12&lt;BG13</f>
        <v>0</v>
      </c>
      <c r="BI13" s="16"/>
      <c r="BJ13" s="16">
        <v>60868.690356911437</v>
      </c>
      <c r="BK13" s="16" t="b">
        <f>BK12&lt;BJ13</f>
        <v>0</v>
      </c>
      <c r="BL13" s="16"/>
      <c r="BM13" s="16">
        <v>993245.56041033135</v>
      </c>
      <c r="BN13" s="16" t="b">
        <f>BN12&lt;BM13</f>
        <v>0</v>
      </c>
      <c r="BO13" s="16"/>
      <c r="BP13" s="16">
        <v>38126.327334548012</v>
      </c>
      <c r="BQ13" s="16" t="b">
        <f>BQ12&lt;BP13</f>
        <v>0</v>
      </c>
      <c r="BR13" s="16"/>
      <c r="BS13" s="16">
        <v>114814.93599205793</v>
      </c>
      <c r="BT13" s="16" t="b">
        <f>BT12&lt;BS13</f>
        <v>0</v>
      </c>
      <c r="BU13" s="16"/>
      <c r="BV13" s="16">
        <v>35310.945962219528</v>
      </c>
      <c r="BW13" s="16" t="b">
        <f>BW12&lt;BV13</f>
        <v>0</v>
      </c>
      <c r="BX13" s="16"/>
      <c r="BY13" s="16">
        <v>24278.922406381545</v>
      </c>
      <c r="BZ13" s="16" t="b">
        <f>BZ12&lt;BY13</f>
        <v>1</v>
      </c>
      <c r="CA13" s="16"/>
      <c r="CB13" s="16">
        <v>89857.42466675445</v>
      </c>
      <c r="CC13" s="16" t="b">
        <f>CC12&lt;CB13</f>
        <v>0</v>
      </c>
      <c r="CD13" s="16"/>
      <c r="CE13" s="16">
        <v>14946.07393570738</v>
      </c>
      <c r="CF13" s="16" t="b">
        <f>CF12&lt;CE13</f>
        <v>0</v>
      </c>
      <c r="CG13" s="16"/>
      <c r="CH13" s="16">
        <v>60799.667463393977</v>
      </c>
      <c r="CI13" s="16" t="b">
        <f>CI12&lt;CH13</f>
        <v>0</v>
      </c>
      <c r="CJ13" s="16"/>
      <c r="CK13" s="16">
        <v>290087.09984646871</v>
      </c>
      <c r="CL13" s="16" t="b">
        <f>CL12&lt;CK13</f>
        <v>0</v>
      </c>
      <c r="CM13" s="16"/>
      <c r="CN13" s="16">
        <v>104472.2560196187</v>
      </c>
      <c r="CO13" s="16" t="b">
        <f>CO12&lt;CN13</f>
        <v>0</v>
      </c>
      <c r="CP13" s="16"/>
      <c r="CQ13" s="16">
        <v>71023.255362115568</v>
      </c>
      <c r="CR13" s="16" t="b">
        <f>CR12&lt;CQ13</f>
        <v>0</v>
      </c>
      <c r="CS13" s="16"/>
      <c r="CT13" s="16">
        <v>21273.654440068451</v>
      </c>
      <c r="CU13" s="16" t="b">
        <f>CU12&lt;CT13</f>
        <v>0</v>
      </c>
      <c r="CV13" s="16"/>
      <c r="CW13" s="16">
        <v>124360.12178980591</v>
      </c>
      <c r="CX13" s="16" t="b">
        <f>CX12&lt;CW13</f>
        <v>0</v>
      </c>
      <c r="CY13" s="16"/>
      <c r="CZ13" s="16">
        <v>23723.185087007376</v>
      </c>
      <c r="DA13" s="16" t="b">
        <f>DA12&lt;CZ13</f>
        <v>0</v>
      </c>
      <c r="DB13" s="16"/>
      <c r="DC13" s="16">
        <v>21628.071563684785</v>
      </c>
      <c r="DD13" s="16" t="b">
        <f>DD12&lt;DC13</f>
        <v>1</v>
      </c>
      <c r="DE13" s="16"/>
      <c r="DF13" s="16">
        <v>58098.503626481084</v>
      </c>
      <c r="DG13" s="16" t="b">
        <f>DG12&lt;DF13</f>
        <v>0</v>
      </c>
      <c r="DH13" s="16"/>
      <c r="DI13" s="16">
        <v>166868.26725078491</v>
      </c>
      <c r="DJ13" s="16" t="b">
        <f>DJ12&lt;DI13</f>
        <v>0</v>
      </c>
      <c r="DK13" s="16"/>
      <c r="DL13" s="16">
        <v>26881.262213349699</v>
      </c>
      <c r="DM13" s="16" t="b">
        <f>DM12&lt;DL13</f>
        <v>0</v>
      </c>
      <c r="DN13" s="16"/>
      <c r="DO13" s="16">
        <v>24384.637316967895</v>
      </c>
      <c r="DP13" s="16" t="b">
        <f>DP12&lt;DO13</f>
        <v>0</v>
      </c>
      <c r="DQ13" s="16"/>
      <c r="DR13" s="16">
        <v>4891.3007091392747</v>
      </c>
      <c r="DS13" s="16" t="b">
        <f>DS12&lt;DR13</f>
        <v>0</v>
      </c>
      <c r="DT13" s="16"/>
      <c r="DU13" s="16">
        <v>184584.56791172782</v>
      </c>
      <c r="DV13" s="16" t="b">
        <f>DV12&lt;DU13</f>
        <v>0</v>
      </c>
      <c r="DW13" s="16"/>
      <c r="DX13" s="16">
        <v>50843.989864488765</v>
      </c>
      <c r="DY13" s="16" t="b">
        <f>DY12&lt;DX13</f>
        <v>1</v>
      </c>
      <c r="DZ13" s="16"/>
      <c r="EA13" s="16">
        <v>10570.798589052321</v>
      </c>
      <c r="EB13" s="16" t="b">
        <f>EB12&lt;EA13</f>
        <v>0</v>
      </c>
      <c r="EC13" s="16"/>
      <c r="ED13" s="16">
        <v>1298895.0667072206</v>
      </c>
      <c r="EE13" s="16" t="b">
        <f>EE12&lt;ED13</f>
        <v>1</v>
      </c>
      <c r="EF13" s="16"/>
      <c r="EG13" s="16">
        <v>105909.15052265537</v>
      </c>
      <c r="EH13" s="16" t="b">
        <f>EH12&lt;EG13</f>
        <v>0</v>
      </c>
      <c r="EI13" s="16"/>
      <c r="EJ13" s="16">
        <v>286316.03521617851</v>
      </c>
      <c r="EK13" s="16" t="b">
        <f>EK12&lt;EJ13</f>
        <v>0</v>
      </c>
      <c r="EL13" s="16"/>
      <c r="EM13" s="16">
        <v>11345.394281332792</v>
      </c>
      <c r="EN13" s="16" t="b">
        <f>EN12&lt;EM13</f>
        <v>0</v>
      </c>
      <c r="EO13" s="16"/>
      <c r="EP13" s="16">
        <v>53393.537200012259</v>
      </c>
      <c r="EQ13" s="16" t="b">
        <f>EQ12&lt;EP13</f>
        <v>1</v>
      </c>
      <c r="ER13" s="16"/>
      <c r="ES13" s="16">
        <v>10865.564813330704</v>
      </c>
      <c r="ET13" s="16" t="b">
        <f>ET12&lt;ES13</f>
        <v>0</v>
      </c>
      <c r="EU13" s="16"/>
      <c r="EV13" s="14">
        <v>264159.41418833559</v>
      </c>
      <c r="EY13" s="14">
        <v>28368.735851678633</v>
      </c>
      <c r="FB13" s="14">
        <v>2440.944987205572</v>
      </c>
      <c r="FE13" s="14">
        <v>53054.473020879093</v>
      </c>
      <c r="FH13" s="14">
        <v>43649.189058774369</v>
      </c>
      <c r="FK13" s="14">
        <v>69986.594117160523</v>
      </c>
      <c r="FN13" s="14">
        <v>29224.200541783328</v>
      </c>
      <c r="FQ13" s="14">
        <v>26352.099075768579</v>
      </c>
      <c r="FT13" s="14">
        <v>822107.06045374158</v>
      </c>
      <c r="FW13" s="14">
        <v>15830.696517294276</v>
      </c>
      <c r="FZ13" s="14">
        <v>24594.888853857246</v>
      </c>
      <c r="GC13" s="14">
        <v>18423.672488409913</v>
      </c>
      <c r="GF13" s="14">
        <v>144472.76809714836</v>
      </c>
      <c r="GI13" s="14">
        <v>4536.604181187653</v>
      </c>
      <c r="GL13" s="14">
        <v>9513.4289576729916</v>
      </c>
      <c r="GO13" s="14">
        <v>620271.97291066009</v>
      </c>
      <c r="GR13" s="14">
        <v>53138.181552445487</v>
      </c>
      <c r="GU13" s="14">
        <v>7515.5282510959905</v>
      </c>
      <c r="GX13" s="14">
        <v>26378.550186936642</v>
      </c>
      <c r="HA13" s="14">
        <v>5194.4660915998629</v>
      </c>
      <c r="HD13" s="14">
        <v>30321.003132085145</v>
      </c>
      <c r="HG13" s="14">
        <v>9073.8355452962896</v>
      </c>
      <c r="HJ13" s="14">
        <v>3558.0040965242338</v>
      </c>
    </row>
    <row r="14" spans="1:220" ht="18" outlineLevel="1" thickBot="1" x14ac:dyDescent="0.45">
      <c r="A14" s="25" t="s">
        <v>4</v>
      </c>
      <c r="B14" s="26" t="s">
        <v>60</v>
      </c>
      <c r="C14" s="26" t="s">
        <v>61</v>
      </c>
      <c r="D14" s="26" t="s">
        <v>62</v>
      </c>
      <c r="E14" s="26" t="s">
        <v>60</v>
      </c>
      <c r="F14" s="26" t="s">
        <v>61</v>
      </c>
      <c r="G14" s="26" t="s">
        <v>62</v>
      </c>
      <c r="H14" s="26" t="s">
        <v>60</v>
      </c>
      <c r="I14" s="26" t="s">
        <v>61</v>
      </c>
      <c r="J14" s="26" t="s">
        <v>62</v>
      </c>
      <c r="K14" s="26" t="s">
        <v>60</v>
      </c>
      <c r="L14" s="26" t="s">
        <v>61</v>
      </c>
      <c r="M14" s="26" t="s">
        <v>62</v>
      </c>
      <c r="N14" s="26" t="s">
        <v>60</v>
      </c>
      <c r="O14" s="26" t="s">
        <v>61</v>
      </c>
      <c r="P14" s="26" t="s">
        <v>62</v>
      </c>
      <c r="Q14" s="26" t="s">
        <v>60</v>
      </c>
      <c r="R14" s="26" t="s">
        <v>61</v>
      </c>
      <c r="S14" s="26" t="s">
        <v>62</v>
      </c>
      <c r="T14" s="26" t="s">
        <v>60</v>
      </c>
      <c r="U14" s="26" t="s">
        <v>61</v>
      </c>
      <c r="V14" s="26" t="s">
        <v>62</v>
      </c>
      <c r="W14" s="26" t="s">
        <v>60</v>
      </c>
      <c r="X14" s="26" t="s">
        <v>61</v>
      </c>
      <c r="Y14" s="26" t="s">
        <v>62</v>
      </c>
      <c r="Z14" s="26" t="s">
        <v>60</v>
      </c>
      <c r="AA14" s="26" t="s">
        <v>61</v>
      </c>
      <c r="AB14" s="26" t="s">
        <v>62</v>
      </c>
      <c r="AC14" s="26" t="s">
        <v>60</v>
      </c>
      <c r="AD14" s="26" t="s">
        <v>61</v>
      </c>
      <c r="AE14" s="26" t="s">
        <v>62</v>
      </c>
      <c r="AF14" s="26" t="s">
        <v>60</v>
      </c>
      <c r="AG14" s="26" t="s">
        <v>61</v>
      </c>
      <c r="AH14" s="26" t="s">
        <v>62</v>
      </c>
      <c r="AI14" s="26" t="s">
        <v>60</v>
      </c>
      <c r="AJ14" s="26" t="s">
        <v>61</v>
      </c>
      <c r="AK14" s="26" t="s">
        <v>62</v>
      </c>
      <c r="AL14" s="26" t="s">
        <v>60</v>
      </c>
      <c r="AM14" s="26" t="s">
        <v>61</v>
      </c>
      <c r="AN14" s="26" t="s">
        <v>62</v>
      </c>
      <c r="AO14" s="26" t="s">
        <v>60</v>
      </c>
      <c r="AP14" s="26" t="s">
        <v>61</v>
      </c>
      <c r="AQ14" s="26" t="s">
        <v>62</v>
      </c>
      <c r="AR14" s="26" t="s">
        <v>60</v>
      </c>
      <c r="AS14" s="26" t="s">
        <v>61</v>
      </c>
      <c r="AT14" s="26" t="s">
        <v>62</v>
      </c>
      <c r="AU14" s="26" t="s">
        <v>60</v>
      </c>
      <c r="AV14" s="26" t="s">
        <v>61</v>
      </c>
      <c r="AW14" s="26" t="s">
        <v>62</v>
      </c>
      <c r="AX14" s="26" t="s">
        <v>60</v>
      </c>
      <c r="AY14" s="26" t="s">
        <v>61</v>
      </c>
      <c r="AZ14" s="26" t="s">
        <v>62</v>
      </c>
      <c r="BA14" s="26" t="s">
        <v>60</v>
      </c>
      <c r="BB14" s="26" t="s">
        <v>61</v>
      </c>
      <c r="BC14" s="26" t="s">
        <v>62</v>
      </c>
      <c r="BD14" s="26" t="s">
        <v>60</v>
      </c>
      <c r="BE14" s="26" t="s">
        <v>61</v>
      </c>
      <c r="BF14" s="26" t="s">
        <v>62</v>
      </c>
      <c r="BG14" s="26" t="s">
        <v>60</v>
      </c>
      <c r="BH14" s="26" t="s">
        <v>61</v>
      </c>
      <c r="BI14" s="26" t="s">
        <v>62</v>
      </c>
      <c r="BJ14" s="26" t="s">
        <v>60</v>
      </c>
      <c r="BK14" s="26" t="s">
        <v>61</v>
      </c>
      <c r="BL14" s="26" t="s">
        <v>62</v>
      </c>
      <c r="BM14" s="26" t="s">
        <v>60</v>
      </c>
      <c r="BN14" s="26" t="s">
        <v>61</v>
      </c>
      <c r="BO14" s="26" t="s">
        <v>62</v>
      </c>
      <c r="BP14" s="26" t="s">
        <v>60</v>
      </c>
      <c r="BQ14" s="26" t="s">
        <v>61</v>
      </c>
      <c r="BR14" s="26" t="s">
        <v>62</v>
      </c>
      <c r="BS14" s="26" t="s">
        <v>60</v>
      </c>
      <c r="BT14" s="26" t="s">
        <v>61</v>
      </c>
      <c r="BU14" s="26" t="s">
        <v>62</v>
      </c>
      <c r="BV14" s="26" t="s">
        <v>60</v>
      </c>
      <c r="BW14" s="26" t="s">
        <v>61</v>
      </c>
      <c r="BX14" s="26" t="s">
        <v>62</v>
      </c>
      <c r="BY14" s="26" t="s">
        <v>60</v>
      </c>
      <c r="BZ14" s="26" t="s">
        <v>61</v>
      </c>
      <c r="CA14" s="26" t="s">
        <v>62</v>
      </c>
      <c r="CB14" s="26" t="s">
        <v>60</v>
      </c>
      <c r="CC14" s="26" t="s">
        <v>61</v>
      </c>
      <c r="CD14" s="26" t="s">
        <v>62</v>
      </c>
      <c r="CE14" s="26" t="s">
        <v>60</v>
      </c>
      <c r="CF14" s="26" t="s">
        <v>61</v>
      </c>
      <c r="CG14" s="26" t="s">
        <v>62</v>
      </c>
      <c r="CH14" s="26" t="s">
        <v>60</v>
      </c>
      <c r="CI14" s="26" t="s">
        <v>61</v>
      </c>
      <c r="CJ14" s="26" t="s">
        <v>62</v>
      </c>
      <c r="CK14" s="26" t="s">
        <v>60</v>
      </c>
      <c r="CL14" s="26" t="s">
        <v>61</v>
      </c>
      <c r="CM14" s="26" t="s">
        <v>62</v>
      </c>
      <c r="CN14" s="26" t="s">
        <v>60</v>
      </c>
      <c r="CO14" s="26" t="s">
        <v>61</v>
      </c>
      <c r="CP14" s="26" t="s">
        <v>62</v>
      </c>
      <c r="CQ14" s="26" t="s">
        <v>60</v>
      </c>
      <c r="CR14" s="26" t="s">
        <v>61</v>
      </c>
      <c r="CS14" s="26" t="s">
        <v>62</v>
      </c>
      <c r="CT14" s="26" t="s">
        <v>60</v>
      </c>
      <c r="CU14" s="26" t="s">
        <v>61</v>
      </c>
      <c r="CV14" s="26" t="s">
        <v>62</v>
      </c>
      <c r="CW14" s="26" t="s">
        <v>60</v>
      </c>
      <c r="CX14" s="26" t="s">
        <v>61</v>
      </c>
      <c r="CY14" s="26" t="s">
        <v>62</v>
      </c>
      <c r="CZ14" s="26" t="s">
        <v>60</v>
      </c>
      <c r="DA14" s="26" t="s">
        <v>61</v>
      </c>
      <c r="DB14" s="26" t="s">
        <v>62</v>
      </c>
      <c r="DC14" s="26" t="s">
        <v>60</v>
      </c>
      <c r="DD14" s="26" t="s">
        <v>61</v>
      </c>
      <c r="DE14" s="26" t="s">
        <v>62</v>
      </c>
      <c r="DF14" s="26" t="s">
        <v>60</v>
      </c>
      <c r="DG14" s="26" t="s">
        <v>61</v>
      </c>
      <c r="DH14" s="26" t="s">
        <v>62</v>
      </c>
      <c r="DI14" s="26" t="s">
        <v>60</v>
      </c>
      <c r="DJ14" s="26" t="s">
        <v>61</v>
      </c>
      <c r="DK14" s="26" t="s">
        <v>62</v>
      </c>
      <c r="DL14" s="26" t="s">
        <v>60</v>
      </c>
      <c r="DM14" s="26" t="s">
        <v>61</v>
      </c>
      <c r="DN14" s="26" t="s">
        <v>62</v>
      </c>
      <c r="DO14" s="26" t="s">
        <v>60</v>
      </c>
      <c r="DP14" s="26" t="s">
        <v>61</v>
      </c>
      <c r="DQ14" s="26" t="s">
        <v>62</v>
      </c>
      <c r="DR14" s="26" t="s">
        <v>60</v>
      </c>
      <c r="DS14" s="26" t="s">
        <v>61</v>
      </c>
      <c r="DT14" s="26" t="s">
        <v>62</v>
      </c>
      <c r="DU14" s="26" t="s">
        <v>60</v>
      </c>
      <c r="DV14" s="26" t="s">
        <v>61</v>
      </c>
      <c r="DW14" s="26" t="s">
        <v>62</v>
      </c>
      <c r="DX14" s="26" t="s">
        <v>60</v>
      </c>
      <c r="DY14" s="26" t="s">
        <v>61</v>
      </c>
      <c r="DZ14" s="26" t="s">
        <v>62</v>
      </c>
      <c r="EA14" s="26" t="s">
        <v>60</v>
      </c>
      <c r="EB14" s="26" t="s">
        <v>61</v>
      </c>
      <c r="EC14" s="26" t="s">
        <v>62</v>
      </c>
      <c r="ED14" s="26" t="s">
        <v>60</v>
      </c>
      <c r="EE14" s="26" t="s">
        <v>61</v>
      </c>
      <c r="EF14" s="26" t="s">
        <v>62</v>
      </c>
      <c r="EG14" s="26" t="s">
        <v>60</v>
      </c>
      <c r="EH14" s="26" t="s">
        <v>61</v>
      </c>
      <c r="EI14" s="26" t="s">
        <v>62</v>
      </c>
      <c r="EJ14" s="26" t="s">
        <v>60</v>
      </c>
      <c r="EK14" s="26" t="s">
        <v>61</v>
      </c>
      <c r="EL14" s="26" t="s">
        <v>62</v>
      </c>
      <c r="EM14" s="26" t="s">
        <v>60</v>
      </c>
      <c r="EN14" s="26" t="s">
        <v>61</v>
      </c>
      <c r="EO14" s="26" t="s">
        <v>62</v>
      </c>
      <c r="EP14" s="26" t="s">
        <v>60</v>
      </c>
      <c r="EQ14" s="26" t="s">
        <v>61</v>
      </c>
      <c r="ER14" s="26" t="s">
        <v>62</v>
      </c>
      <c r="ES14" s="26" t="s">
        <v>60</v>
      </c>
      <c r="ET14" s="26" t="s">
        <v>61</v>
      </c>
      <c r="EU14" s="26" t="s">
        <v>62</v>
      </c>
      <c r="EV14" t="s">
        <v>60</v>
      </c>
      <c r="EW14" t="s">
        <v>61</v>
      </c>
      <c r="EX14" t="s">
        <v>62</v>
      </c>
      <c r="EY14" t="s">
        <v>60</v>
      </c>
      <c r="EZ14" t="s">
        <v>61</v>
      </c>
      <c r="FA14" t="s">
        <v>62</v>
      </c>
      <c r="FB14" t="s">
        <v>60</v>
      </c>
      <c r="FC14" t="s">
        <v>61</v>
      </c>
      <c r="FD14" t="s">
        <v>62</v>
      </c>
      <c r="FE14" t="s">
        <v>60</v>
      </c>
      <c r="FF14" t="s">
        <v>61</v>
      </c>
      <c r="FG14" t="s">
        <v>62</v>
      </c>
      <c r="FH14" t="s">
        <v>60</v>
      </c>
      <c r="FI14" t="s">
        <v>61</v>
      </c>
      <c r="FJ14" t="s">
        <v>62</v>
      </c>
      <c r="FK14" t="s">
        <v>60</v>
      </c>
      <c r="FL14" t="s">
        <v>61</v>
      </c>
      <c r="FM14" t="s">
        <v>62</v>
      </c>
      <c r="FN14" t="s">
        <v>60</v>
      </c>
      <c r="FO14" t="s">
        <v>61</v>
      </c>
      <c r="FP14" t="s">
        <v>62</v>
      </c>
      <c r="FQ14" t="s">
        <v>60</v>
      </c>
      <c r="FR14" t="s">
        <v>61</v>
      </c>
      <c r="FS14" t="s">
        <v>62</v>
      </c>
      <c r="FT14" t="s">
        <v>60</v>
      </c>
      <c r="FU14" t="s">
        <v>61</v>
      </c>
      <c r="FV14" t="s">
        <v>62</v>
      </c>
      <c r="FW14" t="s">
        <v>60</v>
      </c>
      <c r="FX14" t="s">
        <v>61</v>
      </c>
      <c r="FY14" t="s">
        <v>62</v>
      </c>
      <c r="FZ14" t="s">
        <v>60</v>
      </c>
      <c r="GA14" t="s">
        <v>61</v>
      </c>
      <c r="GB14" t="s">
        <v>62</v>
      </c>
      <c r="GC14" t="s">
        <v>60</v>
      </c>
      <c r="GD14" t="s">
        <v>61</v>
      </c>
      <c r="GE14" t="s">
        <v>62</v>
      </c>
      <c r="GF14" t="s">
        <v>60</v>
      </c>
      <c r="GG14" t="s">
        <v>61</v>
      </c>
      <c r="GH14" t="s">
        <v>62</v>
      </c>
      <c r="GI14" t="s">
        <v>60</v>
      </c>
      <c r="GJ14" t="s">
        <v>61</v>
      </c>
      <c r="GK14" t="s">
        <v>62</v>
      </c>
      <c r="GL14" t="s">
        <v>60</v>
      </c>
      <c r="GM14" t="s">
        <v>61</v>
      </c>
      <c r="GN14" t="s">
        <v>62</v>
      </c>
      <c r="GO14" t="s">
        <v>60</v>
      </c>
      <c r="GP14" t="s">
        <v>61</v>
      </c>
      <c r="GQ14" t="s">
        <v>62</v>
      </c>
      <c r="GR14" t="s">
        <v>60</v>
      </c>
      <c r="GS14" t="s">
        <v>61</v>
      </c>
      <c r="GT14" t="s">
        <v>62</v>
      </c>
      <c r="GU14" t="s">
        <v>60</v>
      </c>
      <c r="GV14" t="s">
        <v>61</v>
      </c>
      <c r="GW14" t="s">
        <v>62</v>
      </c>
      <c r="GX14" t="s">
        <v>60</v>
      </c>
      <c r="GY14" t="s">
        <v>61</v>
      </c>
      <c r="GZ14" t="s">
        <v>62</v>
      </c>
      <c r="HA14" t="s">
        <v>60</v>
      </c>
      <c r="HB14" t="s">
        <v>61</v>
      </c>
      <c r="HC14" t="s">
        <v>62</v>
      </c>
      <c r="HD14" t="s">
        <v>60</v>
      </c>
      <c r="HE14" t="s">
        <v>61</v>
      </c>
      <c r="HF14" t="s">
        <v>62</v>
      </c>
      <c r="HG14" t="s">
        <v>60</v>
      </c>
      <c r="HH14" t="s">
        <v>61</v>
      </c>
      <c r="HI14" t="s">
        <v>62</v>
      </c>
      <c r="HJ14" t="s">
        <v>60</v>
      </c>
      <c r="HK14" t="s">
        <v>61</v>
      </c>
      <c r="HL14" t="s">
        <v>62</v>
      </c>
    </row>
    <row r="15" spans="1:220" ht="18" thickTop="1" x14ac:dyDescent="0.4">
      <c r="A15" s="11">
        <v>41460</v>
      </c>
      <c r="B15" s="8">
        <f>$C$12</f>
        <v>361400</v>
      </c>
      <c r="C15" s="8">
        <v>362590.81854244485</v>
      </c>
      <c r="D15" s="8">
        <v>352494.73322888877</v>
      </c>
      <c r="E15" s="8">
        <f>$F$12</f>
        <v>141500</v>
      </c>
      <c r="F15" s="8">
        <v>145906.56484396372</v>
      </c>
      <c r="G15" s="8">
        <v>142771.78737916177</v>
      </c>
      <c r="H15" s="8">
        <f>$I$12</f>
        <v>41300</v>
      </c>
      <c r="I15" s="8">
        <v>42763.375336585792</v>
      </c>
      <c r="J15" s="8">
        <v>40661.621711883803</v>
      </c>
      <c r="K15" s="8">
        <f>$L$12</f>
        <v>59200</v>
      </c>
      <c r="L15" s="8">
        <v>60484.671860834045</v>
      </c>
      <c r="M15" s="8">
        <v>58110.196038407943</v>
      </c>
      <c r="N15" s="8">
        <f>$O$12</f>
        <v>257000</v>
      </c>
      <c r="O15" s="8">
        <v>258364.88131188584</v>
      </c>
      <c r="P15" s="8">
        <v>252049.16334380311</v>
      </c>
      <c r="Q15" s="8">
        <f>$R$12</f>
        <v>85400</v>
      </c>
      <c r="R15" s="8">
        <v>86380.333847999413</v>
      </c>
      <c r="S15" s="8">
        <v>84090.117628768712</v>
      </c>
      <c r="T15" s="8">
        <f>$U$12</f>
        <v>17250</v>
      </c>
      <c r="U15" s="8">
        <v>17391.369967803341</v>
      </c>
      <c r="V15" s="8">
        <v>16738.6880046361</v>
      </c>
      <c r="W15" s="8">
        <f>$X$12</f>
        <v>15350</v>
      </c>
      <c r="X15" s="8">
        <v>15474.591471570946</v>
      </c>
      <c r="Y15" s="8">
        <v>14950.338072109349</v>
      </c>
      <c r="Z15" s="8">
        <f>$AA$12</f>
        <v>21050</v>
      </c>
      <c r="AA15" s="8">
        <v>21524.806156458773</v>
      </c>
      <c r="AB15" s="8">
        <v>20645.295196314062</v>
      </c>
      <c r="AC15" s="8">
        <f>$AD$12</f>
        <v>10750</v>
      </c>
      <c r="AD15" s="8">
        <v>10729.903541499956</v>
      </c>
      <c r="AE15" s="8">
        <v>10381.556777509848</v>
      </c>
      <c r="AF15" s="8">
        <f>$AG$12</f>
        <v>34400</v>
      </c>
      <c r="AG15" s="8">
        <v>35149.166091137857</v>
      </c>
      <c r="AH15" s="8">
        <v>33561.244855027573</v>
      </c>
      <c r="AI15" s="8">
        <f>$AJ$12</f>
        <v>44400</v>
      </c>
      <c r="AJ15" s="8">
        <v>45113.95394957067</v>
      </c>
      <c r="AK15" s="8">
        <v>44050.839549957025</v>
      </c>
      <c r="AL15" s="8">
        <f>$AM$12</f>
        <v>13250</v>
      </c>
      <c r="AM15" s="8">
        <v>13043.370969960279</v>
      </c>
      <c r="AN15" s="8">
        <v>12428.670353808695</v>
      </c>
      <c r="AO15" s="8">
        <f>$AP$12</f>
        <v>19500</v>
      </c>
      <c r="AP15" s="8">
        <v>19500.113910566117</v>
      </c>
      <c r="AQ15" s="8">
        <v>18744.821946285425</v>
      </c>
      <c r="AR15" s="8">
        <f>$AS$12</f>
        <v>23800</v>
      </c>
      <c r="AS15" s="8">
        <v>24206.158937642318</v>
      </c>
      <c r="AT15" s="8">
        <v>23399.037109917081</v>
      </c>
      <c r="AU15" s="8">
        <f>$AV$12</f>
        <v>146000</v>
      </c>
      <c r="AV15" s="8">
        <v>142793.56217871435</v>
      </c>
      <c r="AW15" s="8">
        <v>138027.34070934547</v>
      </c>
      <c r="AX15" s="8">
        <f>$AY$12</f>
        <v>547000</v>
      </c>
      <c r="AY15" s="8">
        <v>554103.65864012204</v>
      </c>
      <c r="AZ15" s="8">
        <v>539662.20153632411</v>
      </c>
      <c r="BA15" s="8">
        <f>$BB$12</f>
        <v>178500</v>
      </c>
      <c r="BB15" s="8">
        <v>178677.06308687889</v>
      </c>
      <c r="BC15" s="8">
        <v>174670.80638390017</v>
      </c>
      <c r="BD15" s="8">
        <f>$BE$12</f>
        <v>33450</v>
      </c>
      <c r="BE15" s="8">
        <v>33686.557706455489</v>
      </c>
      <c r="BF15" s="8">
        <v>32336.455750136058</v>
      </c>
      <c r="BG15" s="8">
        <f>$BH$12</f>
        <v>33200</v>
      </c>
      <c r="BH15" s="8">
        <v>34345.667589240242</v>
      </c>
      <c r="BI15" s="8">
        <v>33063.070277678344</v>
      </c>
      <c r="BJ15" s="8">
        <f>$BK$12</f>
        <v>63100</v>
      </c>
      <c r="BK15" s="8">
        <v>62570.479297405713</v>
      </c>
      <c r="BL15" s="8">
        <v>60868.690356911437</v>
      </c>
      <c r="BM15" s="8">
        <f>$BN$12</f>
        <v>1009000</v>
      </c>
      <c r="BN15" s="8">
        <v>1023003.9190830643</v>
      </c>
      <c r="BO15" s="8">
        <v>993245.56041033135</v>
      </c>
      <c r="BP15" s="8">
        <f>$BQ$12</f>
        <v>38400</v>
      </c>
      <c r="BQ15" s="8">
        <v>39950.59442218575</v>
      </c>
      <c r="BR15" s="8">
        <v>38126.327334548012</v>
      </c>
      <c r="BS15" s="8">
        <f>$BT$12</f>
        <v>118000</v>
      </c>
      <c r="BT15" s="8">
        <v>118588.11804284228</v>
      </c>
      <c r="BU15" s="8">
        <v>114814.93599205793</v>
      </c>
      <c r="BV15" s="8">
        <f>$BW$12</f>
        <v>36800</v>
      </c>
      <c r="BW15" s="8">
        <v>36614.117637876923</v>
      </c>
      <c r="BX15" s="8">
        <v>35310.945962219528</v>
      </c>
      <c r="BY15" s="8">
        <f>$BZ$12</f>
        <v>23650</v>
      </c>
      <c r="BZ15" s="8">
        <v>25548.642274499922</v>
      </c>
      <c r="CA15" s="8">
        <v>24278.922406381545</v>
      </c>
      <c r="CB15" s="8">
        <f>$CC$12</f>
        <v>92300</v>
      </c>
      <c r="CC15" s="8">
        <v>92534.587024281194</v>
      </c>
      <c r="CD15" s="8">
        <v>89857.42466675445</v>
      </c>
      <c r="CE15" s="8">
        <f>$CF$12</f>
        <v>15150</v>
      </c>
      <c r="CF15" s="8">
        <v>15380.064341972136</v>
      </c>
      <c r="CG15" s="8">
        <v>14946.07393570738</v>
      </c>
      <c r="CH15" s="8">
        <f>$CI$12</f>
        <v>62300</v>
      </c>
      <c r="CI15" s="8">
        <v>62784.910377647815</v>
      </c>
      <c r="CJ15" s="8">
        <v>60799.667463393977</v>
      </c>
      <c r="CK15" s="8">
        <f>$CL$12</f>
        <v>296500</v>
      </c>
      <c r="CL15" s="8">
        <v>294315.59707646631</v>
      </c>
      <c r="CM15" s="8">
        <v>290087.09984646871</v>
      </c>
      <c r="CN15" s="8">
        <f>$CO$12</f>
        <v>107000</v>
      </c>
      <c r="CO15" s="8">
        <v>107317.37867102765</v>
      </c>
      <c r="CP15" s="8">
        <v>104472.2560196187</v>
      </c>
      <c r="CQ15" s="8">
        <f>$CR$12</f>
        <v>71800</v>
      </c>
      <c r="CR15" s="8">
        <v>72259.355361348324</v>
      </c>
      <c r="CS15" s="8">
        <v>71023.255362115568</v>
      </c>
      <c r="CT15" s="8">
        <f>$CU$12</f>
        <v>21700</v>
      </c>
      <c r="CU15" s="8">
        <v>22215.101764504139</v>
      </c>
      <c r="CV15" s="8">
        <v>21273.654440068451</v>
      </c>
      <c r="CW15" s="8">
        <f>$CX$12</f>
        <v>125000</v>
      </c>
      <c r="CX15" s="8">
        <v>126600.22937682083</v>
      </c>
      <c r="CY15" s="8">
        <v>124360.12178980591</v>
      </c>
      <c r="CZ15" s="8">
        <f>$DA$12</f>
        <v>24750</v>
      </c>
      <c r="DA15" s="8">
        <v>24631.537915870893</v>
      </c>
      <c r="DB15" s="8">
        <v>23723.185087007376</v>
      </c>
      <c r="DC15" s="8">
        <f>$DD$12</f>
        <v>21500</v>
      </c>
      <c r="DD15" s="8">
        <v>22198.747158002519</v>
      </c>
      <c r="DE15" s="8">
        <v>21628.071563684785</v>
      </c>
      <c r="DF15" s="8">
        <f>$DG$12</f>
        <v>59900</v>
      </c>
      <c r="DG15" s="8">
        <v>59598.367942405581</v>
      </c>
      <c r="DH15" s="8">
        <v>58098.503626481084</v>
      </c>
      <c r="DI15" s="8">
        <f>$DJ$12</f>
        <v>173000</v>
      </c>
      <c r="DJ15" s="8">
        <v>171975.97495956192</v>
      </c>
      <c r="DK15" s="8">
        <v>166868.26725078491</v>
      </c>
      <c r="DL15" s="8">
        <f>$DM$12</f>
        <v>27150</v>
      </c>
      <c r="DM15" s="8">
        <v>27770.44498257912</v>
      </c>
      <c r="DN15" s="8">
        <v>26881.262213349699</v>
      </c>
      <c r="DO15" s="8">
        <f>$DP$12</f>
        <v>25800</v>
      </c>
      <c r="DP15" s="8">
        <v>25262.519616896054</v>
      </c>
      <c r="DQ15" s="8">
        <v>24384.637316967895</v>
      </c>
      <c r="DR15" s="8">
        <f>$DS$12</f>
        <v>5120</v>
      </c>
      <c r="DS15" s="8">
        <v>5050.5747564224312</v>
      </c>
      <c r="DT15" s="8">
        <v>4891.3007091392747</v>
      </c>
      <c r="DU15" s="8">
        <f>$DV$12</f>
        <v>187000</v>
      </c>
      <c r="DV15" s="8">
        <v>189939.42397680384</v>
      </c>
      <c r="DW15" s="8">
        <v>184584.56791172782</v>
      </c>
      <c r="DX15" s="8">
        <f>$DY$12</f>
        <v>49500</v>
      </c>
      <c r="DY15" s="8">
        <v>52935.931194497221</v>
      </c>
      <c r="DZ15" s="8">
        <v>50843.989864488765</v>
      </c>
      <c r="EA15" s="8">
        <f>$EB$12</f>
        <v>11000</v>
      </c>
      <c r="EB15" s="8">
        <v>10895.312454191968</v>
      </c>
      <c r="EC15" s="8">
        <v>10570.798589052321</v>
      </c>
      <c r="ED15" s="8">
        <f>$EE$12</f>
        <v>1267000</v>
      </c>
      <c r="EE15" s="8">
        <v>1328999.7826312257</v>
      </c>
      <c r="EF15" s="8">
        <v>1298895.0667072206</v>
      </c>
      <c r="EG15" s="8">
        <f>$EH$12</f>
        <v>106000</v>
      </c>
      <c r="EH15" s="8">
        <v>109777.16710164156</v>
      </c>
      <c r="EI15" s="8">
        <v>105909.15052265537</v>
      </c>
      <c r="EJ15" s="8">
        <f>$EK$12</f>
        <v>288000</v>
      </c>
      <c r="EK15" s="8">
        <v>295193.77956935851</v>
      </c>
      <c r="EL15" s="8">
        <v>286316.03521617851</v>
      </c>
      <c r="EM15" s="8">
        <f>$EN$12</f>
        <v>11900</v>
      </c>
      <c r="EN15" s="8">
        <v>11670.430799966969</v>
      </c>
      <c r="EO15" s="8">
        <v>11345.394281332792</v>
      </c>
      <c r="EP15" s="8">
        <f>$EQ$12</f>
        <v>52900</v>
      </c>
      <c r="EQ15" s="8">
        <v>55249.614918085586</v>
      </c>
      <c r="ER15" s="8">
        <v>53393.537200012259</v>
      </c>
      <c r="ES15" s="8">
        <f>$ET$12</f>
        <v>11200</v>
      </c>
      <c r="ET15" s="8">
        <v>11322.883768148369</v>
      </c>
      <c r="EU15" s="8">
        <v>10865.564813330704</v>
      </c>
      <c r="EV15" s="72">
        <f>$EW$12</f>
        <v>268000</v>
      </c>
      <c r="EW15">
        <v>276084.20185078279</v>
      </c>
      <c r="EX15">
        <v>264159.41418833559</v>
      </c>
      <c r="EY15" s="72">
        <f>$EZ$12</f>
        <v>28400</v>
      </c>
      <c r="EZ15">
        <v>29165.742081567441</v>
      </c>
      <c r="FA15">
        <v>28368.735851678633</v>
      </c>
      <c r="FB15" s="72">
        <f>$FC$12</f>
        <v>2460</v>
      </c>
      <c r="FC15">
        <v>2528.0083078327007</v>
      </c>
      <c r="FD15">
        <v>2440.944987205572</v>
      </c>
      <c r="FE15" s="72">
        <f>$FF$12</f>
        <v>53000</v>
      </c>
      <c r="FF15">
        <v>54161.893611915533</v>
      </c>
      <c r="FG15">
        <v>53054.473020879093</v>
      </c>
      <c r="FH15" s="72">
        <f>$FI$12</f>
        <v>44400</v>
      </c>
      <c r="FI15">
        <v>46017.49903384033</v>
      </c>
      <c r="FJ15">
        <v>43649.189058774369</v>
      </c>
      <c r="FK15" s="72">
        <f>$FL$12</f>
        <v>70300</v>
      </c>
      <c r="FL15">
        <v>71796.646769069572</v>
      </c>
      <c r="FM15">
        <v>69986.594117160523</v>
      </c>
      <c r="FN15" s="72">
        <f>$FO$12</f>
        <v>29600</v>
      </c>
      <c r="FO15">
        <v>30158.385868330151</v>
      </c>
      <c r="FP15">
        <v>29224.200541783328</v>
      </c>
      <c r="FQ15" s="72">
        <f>$FR$12</f>
        <v>26650</v>
      </c>
      <c r="FR15">
        <v>27423.241887243374</v>
      </c>
      <c r="FS15">
        <v>26352.099075768579</v>
      </c>
      <c r="FT15" s="72">
        <f>$FU$12</f>
        <v>815000</v>
      </c>
      <c r="FU15">
        <v>847002.99344231794</v>
      </c>
      <c r="FV15">
        <v>822107.06045374158</v>
      </c>
      <c r="FW15" s="72">
        <f>$FX$12</f>
        <v>15950</v>
      </c>
      <c r="FX15">
        <v>16432.988010247318</v>
      </c>
      <c r="FY15">
        <v>15830.696517294276</v>
      </c>
      <c r="FZ15" s="72">
        <f>$GA$12</f>
        <v>26300</v>
      </c>
      <c r="GA15">
        <v>25570.00590114122</v>
      </c>
      <c r="GB15">
        <v>24594.888853857246</v>
      </c>
      <c r="GC15" s="72">
        <f>$GD$12</f>
        <v>18600</v>
      </c>
      <c r="GD15">
        <v>18864.009163090686</v>
      </c>
      <c r="GE15">
        <v>18423.672488409913</v>
      </c>
      <c r="GF15" s="72">
        <f>$GG$12</f>
        <v>150500</v>
      </c>
      <c r="GG15">
        <v>149420.12635615142</v>
      </c>
      <c r="GH15">
        <v>144472.76809714836</v>
      </c>
      <c r="GI15" s="72">
        <f>$GJ$12</f>
        <v>4615</v>
      </c>
      <c r="GJ15">
        <v>4832.2955520971345</v>
      </c>
      <c r="GK15">
        <v>4536.604181187653</v>
      </c>
      <c r="GL15" s="72">
        <f>$GM$12</f>
        <v>9950</v>
      </c>
      <c r="GM15">
        <v>9994.3174613704559</v>
      </c>
      <c r="GN15">
        <v>9513.4289576729916</v>
      </c>
      <c r="GO15" s="72">
        <f>$GP$12</f>
        <v>633000</v>
      </c>
      <c r="GP15">
        <v>643886.12586653279</v>
      </c>
      <c r="GQ15">
        <v>620271.97291066009</v>
      </c>
      <c r="GR15" s="72">
        <f>$GS$12</f>
        <v>53300</v>
      </c>
      <c r="GS15">
        <v>53893.279673294412</v>
      </c>
      <c r="GT15">
        <v>53138.181552445487</v>
      </c>
      <c r="GU15" s="72">
        <f>$GV$12</f>
        <v>7520</v>
      </c>
      <c r="GV15">
        <v>7885.8005794963983</v>
      </c>
      <c r="GW15">
        <v>7515.5282510959905</v>
      </c>
      <c r="GX15" s="72">
        <f>$GY$12</f>
        <v>26400</v>
      </c>
      <c r="GY15">
        <v>27497.545260873965</v>
      </c>
      <c r="GZ15">
        <v>26378.550186936642</v>
      </c>
      <c r="HA15" s="72">
        <f>$HB$12</f>
        <v>5330</v>
      </c>
      <c r="HB15">
        <v>5384.0001277095698</v>
      </c>
      <c r="HC15">
        <v>5194.4660915998629</v>
      </c>
      <c r="HD15" s="72">
        <f>$HE$12</f>
        <v>31250</v>
      </c>
      <c r="HE15">
        <v>31802.651331693247</v>
      </c>
      <c r="HF15">
        <v>30321.003132085145</v>
      </c>
      <c r="HG15" s="72">
        <f>$HH$12</f>
        <v>9230</v>
      </c>
      <c r="HH15">
        <v>9395.8613990073572</v>
      </c>
      <c r="HI15">
        <v>9073.8355452962896</v>
      </c>
      <c r="HJ15" s="72">
        <f>$HK$12</f>
        <v>3640</v>
      </c>
      <c r="HK15">
        <v>3697.7694342153723</v>
      </c>
      <c r="HL15">
        <v>3558.0040965242338</v>
      </c>
    </row>
    <row r="16" spans="1:220" x14ac:dyDescent="0.4">
      <c r="A16" s="11">
        <v>41459</v>
      </c>
      <c r="B16" s="8">
        <v>356200</v>
      </c>
      <c r="C16" s="8">
        <v>353632.93195296283</v>
      </c>
      <c r="D16" s="8">
        <v>343786.2726662436</v>
      </c>
      <c r="E16" s="8">
        <v>144000</v>
      </c>
      <c r="F16" s="8">
        <v>142866.8447430477</v>
      </c>
      <c r="G16" s="8">
        <v>139797.37514209579</v>
      </c>
      <c r="H16" s="8">
        <v>42050</v>
      </c>
      <c r="I16" s="8">
        <v>42254.892871228098</v>
      </c>
      <c r="J16" s="8">
        <v>40178.130371671199</v>
      </c>
      <c r="K16" s="8">
        <v>59200</v>
      </c>
      <c r="L16" s="8">
        <v>59667.311430282251</v>
      </c>
      <c r="M16" s="8">
        <v>57324.923118970008</v>
      </c>
      <c r="N16" s="8">
        <v>255000</v>
      </c>
      <c r="O16" s="8">
        <v>253298.90324694689</v>
      </c>
      <c r="P16" s="8">
        <v>247107.02288608145</v>
      </c>
      <c r="Q16" s="8">
        <v>85000</v>
      </c>
      <c r="R16" s="8">
        <v>84347.855404517089</v>
      </c>
      <c r="S16" s="8">
        <v>82111.526625738872</v>
      </c>
      <c r="T16" s="8">
        <v>17050</v>
      </c>
      <c r="U16" s="8">
        <v>17238.36671295463</v>
      </c>
      <c r="V16" s="8">
        <v>16591.426819844579</v>
      </c>
      <c r="W16" s="8">
        <v>15200</v>
      </c>
      <c r="X16" s="8">
        <v>15169.171903053084</v>
      </c>
      <c r="Y16" s="8">
        <v>14655.265610159808</v>
      </c>
      <c r="Z16" s="8">
        <v>21050</v>
      </c>
      <c r="AA16" s="8">
        <v>21320.294934069603</v>
      </c>
      <c r="AB16" s="8">
        <v>20449.140372596103</v>
      </c>
      <c r="AC16" s="8">
        <v>10600</v>
      </c>
      <c r="AD16" s="8">
        <v>10729.903541499956</v>
      </c>
      <c r="AE16" s="8">
        <v>10381.556777509848</v>
      </c>
      <c r="AF16" s="8">
        <v>34500</v>
      </c>
      <c r="AG16" s="8">
        <v>33977.527221433207</v>
      </c>
      <c r="AH16" s="8">
        <v>32442.536693193266</v>
      </c>
      <c r="AI16" s="8">
        <v>44500</v>
      </c>
      <c r="AJ16" s="8">
        <v>44860.504770078733</v>
      </c>
      <c r="AK16" s="8">
        <v>43803.362923271903</v>
      </c>
      <c r="AL16" s="8">
        <v>12650</v>
      </c>
      <c r="AM16" s="8">
        <v>12630.932362214493</v>
      </c>
      <c r="AN16" s="8">
        <v>12035.66891969616</v>
      </c>
      <c r="AO16" s="8">
        <v>19050</v>
      </c>
      <c r="AP16" s="8">
        <v>18834.755693145245</v>
      </c>
      <c r="AQ16" s="8">
        <v>18105.234845756018</v>
      </c>
      <c r="AR16" s="8">
        <v>23800</v>
      </c>
      <c r="AS16" s="8">
        <v>24053.599112405082</v>
      </c>
      <c r="AT16" s="8">
        <v>23251.56418695542</v>
      </c>
      <c r="AU16" s="8">
        <v>141000</v>
      </c>
      <c r="AV16" s="8">
        <v>139755.40128129479</v>
      </c>
      <c r="AW16" s="8">
        <v>135090.58877935933</v>
      </c>
      <c r="AX16" s="8">
        <v>547000</v>
      </c>
      <c r="AY16" s="8">
        <v>571324.4304808568</v>
      </c>
      <c r="AZ16" s="8">
        <v>556434.15295518574</v>
      </c>
      <c r="BA16" s="8">
        <v>177000</v>
      </c>
      <c r="BB16" s="8">
        <v>180696.01295226722</v>
      </c>
      <c r="BC16" s="8">
        <v>176644.48781196674</v>
      </c>
      <c r="BD16" s="8">
        <v>32900</v>
      </c>
      <c r="BE16" s="8">
        <v>34096.120718084159</v>
      </c>
      <c r="BF16" s="8">
        <v>32729.604148314036</v>
      </c>
      <c r="BG16" s="8">
        <v>33600</v>
      </c>
      <c r="BH16" s="8">
        <v>34447.886838017737</v>
      </c>
      <c r="BI16" s="8">
        <v>33161.472272552382</v>
      </c>
      <c r="BJ16" s="8">
        <v>61900</v>
      </c>
      <c r="BK16" s="8">
        <v>62772.645627930506</v>
      </c>
      <c r="BL16" s="8">
        <v>61065.35817712768</v>
      </c>
      <c r="BM16" s="8">
        <v>1009000</v>
      </c>
      <c r="BN16" s="8">
        <v>1013879.0080109658</v>
      </c>
      <c r="BO16" s="8">
        <v>984386.08563957538</v>
      </c>
      <c r="BP16" s="8">
        <v>38900</v>
      </c>
      <c r="BQ16" s="8">
        <v>40053.295179055182</v>
      </c>
      <c r="BR16" s="8">
        <v>38224.338458801401</v>
      </c>
      <c r="BS16" s="8">
        <v>117000</v>
      </c>
      <c r="BT16" s="8">
        <v>119601.69170132803</v>
      </c>
      <c r="BU16" s="8">
        <v>115796.26023130621</v>
      </c>
      <c r="BV16" s="8">
        <v>36000</v>
      </c>
      <c r="BW16" s="8">
        <v>36766.676461368035</v>
      </c>
      <c r="BX16" s="8">
        <v>35458.074903728739</v>
      </c>
      <c r="BY16" s="8">
        <v>24750</v>
      </c>
      <c r="BZ16" s="8">
        <v>26116.389880599927</v>
      </c>
      <c r="CA16" s="8">
        <v>24818.454015412251</v>
      </c>
      <c r="CB16" s="8">
        <v>91300</v>
      </c>
      <c r="CC16" s="8">
        <v>91419.712481820039</v>
      </c>
      <c r="CD16" s="8">
        <v>88774.80509245627</v>
      </c>
      <c r="CE16" s="8">
        <v>15200</v>
      </c>
      <c r="CF16" s="8">
        <v>14924.733489742701</v>
      </c>
      <c r="CG16" s="8">
        <v>14503.591483663415</v>
      </c>
      <c r="CH16" s="8">
        <v>61600</v>
      </c>
      <c r="CI16" s="8">
        <v>61969.521931184951</v>
      </c>
      <c r="CJ16" s="8">
        <v>60010.061392440897</v>
      </c>
      <c r="CK16" s="8">
        <v>292500</v>
      </c>
      <c r="CL16" s="8">
        <v>295824.90783070418</v>
      </c>
      <c r="CM16" s="8">
        <v>291574.72599952715</v>
      </c>
      <c r="CN16" s="8">
        <v>105500</v>
      </c>
      <c r="CO16" s="8">
        <v>105282.92599479959</v>
      </c>
      <c r="CP16" s="8">
        <v>102491.73931782493</v>
      </c>
      <c r="CQ16" s="8">
        <v>71900</v>
      </c>
      <c r="CR16" s="8">
        <v>71756.856367180357</v>
      </c>
      <c r="CS16" s="8">
        <v>70529.352334562573</v>
      </c>
      <c r="CT16" s="8">
        <v>21800</v>
      </c>
      <c r="CU16" s="8">
        <v>20737.491784755002</v>
      </c>
      <c r="CV16" s="8">
        <v>19858.663663091411</v>
      </c>
      <c r="CW16" s="8">
        <v>125500</v>
      </c>
      <c r="CX16" s="8">
        <v>126095.84599284943</v>
      </c>
      <c r="CY16" s="8">
        <v>123864.66313725688</v>
      </c>
      <c r="CZ16" s="8">
        <v>24100</v>
      </c>
      <c r="DA16" s="8">
        <v>23711.687952207645</v>
      </c>
      <c r="DB16" s="8">
        <v>22837.257013218703</v>
      </c>
      <c r="DC16" s="8">
        <v>21850</v>
      </c>
      <c r="DD16" s="8">
        <v>22147.949109586043</v>
      </c>
      <c r="DE16" s="8">
        <v>21578.579409076814</v>
      </c>
      <c r="DF16" s="8">
        <v>58700</v>
      </c>
      <c r="DG16" s="8">
        <v>59090.715745281123</v>
      </c>
      <c r="DH16" s="8">
        <v>57603.627104960753</v>
      </c>
      <c r="DI16" s="8">
        <v>169000</v>
      </c>
      <c r="DJ16" s="8">
        <v>172993.58427884919</v>
      </c>
      <c r="DK16" s="8">
        <v>167855.65344753503</v>
      </c>
      <c r="DL16" s="8">
        <v>27250</v>
      </c>
      <c r="DM16" s="8">
        <v>27668.53509273479</v>
      </c>
      <c r="DN16" s="8">
        <v>26782.615379539235</v>
      </c>
      <c r="DO16" s="8">
        <v>24850</v>
      </c>
      <c r="DP16" s="8">
        <v>25211.68959754617</v>
      </c>
      <c r="DQ16" s="8">
        <v>24335.573660394522</v>
      </c>
      <c r="DR16" s="8">
        <v>4960</v>
      </c>
      <c r="DS16" s="8">
        <v>5045.4834512244188</v>
      </c>
      <c r="DT16" s="8">
        <v>4886.3699624566698</v>
      </c>
      <c r="DU16" s="8">
        <v>187000</v>
      </c>
      <c r="DV16" s="8">
        <v>190447.28339920161</v>
      </c>
      <c r="DW16" s="8">
        <v>185078.10953716017</v>
      </c>
      <c r="DX16" s="8">
        <v>51800</v>
      </c>
      <c r="DY16" s="8">
        <v>52016.194938222179</v>
      </c>
      <c r="DZ16" s="8">
        <v>49960.600079198419</v>
      </c>
      <c r="EA16" s="8">
        <v>10750</v>
      </c>
      <c r="EB16" s="8">
        <v>10692.608966672104</v>
      </c>
      <c r="EC16" s="8">
        <v>10374.132568790868</v>
      </c>
      <c r="ED16" s="8">
        <v>1317000</v>
      </c>
      <c r="EE16" s="8">
        <v>1312853.9993950087</v>
      </c>
      <c r="EF16" s="8">
        <v>1283115.0203387211</v>
      </c>
      <c r="EG16" s="8">
        <v>108000</v>
      </c>
      <c r="EH16" s="8">
        <v>110793.62235258264</v>
      </c>
      <c r="EI16" s="8">
        <v>106889.7908052725</v>
      </c>
      <c r="EJ16" s="8">
        <v>290500</v>
      </c>
      <c r="EK16" s="8">
        <v>296209.93715823756</v>
      </c>
      <c r="EL16" s="8">
        <v>287301.63258353202</v>
      </c>
      <c r="EM16" s="8">
        <v>11500</v>
      </c>
      <c r="EN16" s="8">
        <v>11568.948793010735</v>
      </c>
      <c r="EO16" s="8">
        <v>11246.738678886421</v>
      </c>
      <c r="EP16" s="8">
        <v>54100</v>
      </c>
      <c r="EQ16" s="8">
        <v>54738.990011264112</v>
      </c>
      <c r="ER16" s="8">
        <v>52900.066431065767</v>
      </c>
      <c r="ES16" s="8">
        <v>11100</v>
      </c>
      <c r="ET16" s="8">
        <v>11220.875806273165</v>
      </c>
      <c r="EU16" s="8">
        <v>10767.676842039442</v>
      </c>
      <c r="EV16">
        <v>271000</v>
      </c>
      <c r="EW16">
        <v>274556.06051212538</v>
      </c>
      <c r="EX16">
        <v>262697.27720943344</v>
      </c>
      <c r="EY16">
        <v>28750</v>
      </c>
      <c r="EZ16">
        <v>29165.742081567441</v>
      </c>
      <c r="FA16">
        <v>28368.735851678633</v>
      </c>
      <c r="FB16">
        <v>2485</v>
      </c>
      <c r="FC16">
        <v>2538.181379493999</v>
      </c>
      <c r="FD16">
        <v>2450.767703451872</v>
      </c>
      <c r="FE16">
        <v>53800</v>
      </c>
      <c r="FF16">
        <v>54363.23894132788</v>
      </c>
      <c r="FG16">
        <v>53251.701545120297</v>
      </c>
      <c r="FH16">
        <v>44750</v>
      </c>
      <c r="FI16">
        <v>46120.331433915941</v>
      </c>
      <c r="FJ16">
        <v>43746.729146056539</v>
      </c>
      <c r="FK16">
        <v>71000</v>
      </c>
      <c r="FL16">
        <v>71291.036580554937</v>
      </c>
      <c r="FM16">
        <v>69493.730778307217</v>
      </c>
      <c r="FN16">
        <v>29800</v>
      </c>
      <c r="FO16">
        <v>30158.385868330151</v>
      </c>
      <c r="FP16">
        <v>29224.200541783328</v>
      </c>
      <c r="FQ16">
        <v>26750</v>
      </c>
      <c r="FR16">
        <v>27218.20830303969</v>
      </c>
      <c r="FS16">
        <v>26155.074035949754</v>
      </c>
      <c r="FT16">
        <v>835000</v>
      </c>
      <c r="FU16">
        <v>849031.74312721007</v>
      </c>
      <c r="FV16">
        <v>824076.17916141567</v>
      </c>
      <c r="FW16">
        <v>16200</v>
      </c>
      <c r="FX16">
        <v>15976.51612107379</v>
      </c>
      <c r="FY16">
        <v>15390.954947369441</v>
      </c>
      <c r="FZ16">
        <v>25150</v>
      </c>
      <c r="GA16">
        <v>25773.345908307383</v>
      </c>
      <c r="GB16">
        <v>24790.474451104652</v>
      </c>
      <c r="GC16">
        <v>18700</v>
      </c>
      <c r="GD16">
        <v>18813.570635916647</v>
      </c>
      <c r="GE16">
        <v>18374.411332023792</v>
      </c>
      <c r="GF16">
        <v>147000</v>
      </c>
      <c r="GG16">
        <v>155010.67530144966</v>
      </c>
      <c r="GH16">
        <v>149878.21180146351</v>
      </c>
      <c r="GI16">
        <v>4650</v>
      </c>
      <c r="GJ16">
        <v>4769.9433514249122</v>
      </c>
      <c r="GK16">
        <v>4478.067353043295</v>
      </c>
      <c r="GL16">
        <v>9740</v>
      </c>
      <c r="GM16">
        <v>9953.2730364777763</v>
      </c>
      <c r="GN16">
        <v>9474.359434232867</v>
      </c>
      <c r="GO16">
        <v>634000</v>
      </c>
      <c r="GP16">
        <v>644901.71912499808</v>
      </c>
      <c r="GQ16">
        <v>621250.31987108767</v>
      </c>
      <c r="GR16">
        <v>53600</v>
      </c>
      <c r="GS16">
        <v>53993.826836864006</v>
      </c>
      <c r="GT16">
        <v>53237.31995086425</v>
      </c>
      <c r="GU16">
        <v>7690</v>
      </c>
      <c r="GV16">
        <v>7896.0551966348867</v>
      </c>
      <c r="GW16">
        <v>7525.3013697580145</v>
      </c>
      <c r="GX16">
        <v>26850</v>
      </c>
      <c r="GY16">
        <v>27139.104261197783</v>
      </c>
      <c r="GZ16">
        <v>26034.695715226124</v>
      </c>
      <c r="HA16">
        <v>5280</v>
      </c>
      <c r="HB16">
        <v>5282.030428321139</v>
      </c>
      <c r="HC16">
        <v>5096.0860519862372</v>
      </c>
      <c r="HD16">
        <v>30950</v>
      </c>
      <c r="HE16">
        <v>31802.651331693247</v>
      </c>
      <c r="HF16">
        <v>30321.003132085145</v>
      </c>
      <c r="HG16">
        <v>9250</v>
      </c>
      <c r="HH16">
        <v>9294.2845190180888</v>
      </c>
      <c r="HI16">
        <v>8975.7400258876805</v>
      </c>
      <c r="HJ16">
        <v>3635</v>
      </c>
      <c r="HK16">
        <v>3677.4240728166606</v>
      </c>
      <c r="HL16">
        <v>3538.4277328569729</v>
      </c>
    </row>
    <row r="17" spans="1:220" x14ac:dyDescent="0.4">
      <c r="A17" s="11">
        <v>41458</v>
      </c>
      <c r="B17" s="8">
        <v>347400</v>
      </c>
      <c r="C17" s="8">
        <v>354243.6969477004</v>
      </c>
      <c r="D17" s="8">
        <v>344380.03134096961</v>
      </c>
      <c r="E17" s="8">
        <v>141000</v>
      </c>
      <c r="F17" s="8">
        <v>145906.56484396372</v>
      </c>
      <c r="G17" s="8">
        <v>142771.78737916177</v>
      </c>
      <c r="H17" s="8">
        <v>41550</v>
      </c>
      <c r="I17" s="8">
        <v>42915.920076193113</v>
      </c>
      <c r="J17" s="8">
        <v>40806.669113947602</v>
      </c>
      <c r="K17" s="8">
        <v>58400</v>
      </c>
      <c r="L17" s="8">
        <v>58747.780945911472</v>
      </c>
      <c r="M17" s="8">
        <v>56441.491084602334</v>
      </c>
      <c r="N17" s="8">
        <v>250000</v>
      </c>
      <c r="O17" s="8">
        <v>256338.49008591039</v>
      </c>
      <c r="P17" s="8">
        <v>250072.30716071458</v>
      </c>
      <c r="Q17" s="8">
        <v>83000</v>
      </c>
      <c r="R17" s="8">
        <v>85059.222859735863</v>
      </c>
      <c r="S17" s="8">
        <v>82804.03347679929</v>
      </c>
      <c r="T17" s="8">
        <v>16900</v>
      </c>
      <c r="U17" s="8">
        <v>16932.360203257234</v>
      </c>
      <c r="V17" s="8">
        <v>16296.90445026156</v>
      </c>
      <c r="W17" s="8">
        <v>14900</v>
      </c>
      <c r="X17" s="8">
        <v>15321.881687312014</v>
      </c>
      <c r="Y17" s="8">
        <v>14802.801841134578</v>
      </c>
      <c r="Z17" s="8">
        <v>20850</v>
      </c>
      <c r="AA17" s="8">
        <v>20195.483210929262</v>
      </c>
      <c r="AB17" s="8">
        <v>19370.288842147405</v>
      </c>
      <c r="AC17" s="8">
        <v>10600</v>
      </c>
      <c r="AD17" s="8">
        <v>11236.031067042406</v>
      </c>
      <c r="AE17" s="8">
        <v>10871.25285192069</v>
      </c>
      <c r="AF17" s="8">
        <v>33350</v>
      </c>
      <c r="AG17" s="8">
        <v>33977.527221433207</v>
      </c>
      <c r="AH17" s="8">
        <v>32442.536693193266</v>
      </c>
      <c r="AI17" s="8">
        <v>44250</v>
      </c>
      <c r="AJ17" s="8">
        <v>45113.95394957067</v>
      </c>
      <c r="AK17" s="8">
        <v>44050.839549957025</v>
      </c>
      <c r="AL17" s="8">
        <v>12250</v>
      </c>
      <c r="AM17" s="8">
        <v>12321.603406405167</v>
      </c>
      <c r="AN17" s="8">
        <v>11740.917844111773</v>
      </c>
      <c r="AO17" s="8">
        <v>18400</v>
      </c>
      <c r="AP17" s="8">
        <v>19704.839515926396</v>
      </c>
      <c r="AQ17" s="8">
        <v>18941.61797721756</v>
      </c>
      <c r="AR17" s="8">
        <v>23650</v>
      </c>
      <c r="AS17" s="8">
        <v>24968.958063828512</v>
      </c>
      <c r="AT17" s="8">
        <v>24136.401724725376</v>
      </c>
      <c r="AU17" s="8">
        <v>138000</v>
      </c>
      <c r="AV17" s="8">
        <v>143299.92232828424</v>
      </c>
      <c r="AW17" s="8">
        <v>138516.79936434314</v>
      </c>
      <c r="AX17" s="8">
        <v>564000</v>
      </c>
      <c r="AY17" s="8">
        <v>576389.36337519088</v>
      </c>
      <c r="AZ17" s="8">
        <v>561367.07984308666</v>
      </c>
      <c r="BA17" s="8">
        <v>179000</v>
      </c>
      <c r="BB17" s="8">
        <v>186248.12508208546</v>
      </c>
      <c r="BC17" s="8">
        <v>182072.11173915004</v>
      </c>
      <c r="BD17" s="8">
        <v>33300</v>
      </c>
      <c r="BE17" s="8">
        <v>34556.87910616638</v>
      </c>
      <c r="BF17" s="8">
        <v>33171.89609626423</v>
      </c>
      <c r="BG17" s="8">
        <v>33700</v>
      </c>
      <c r="BH17" s="8">
        <v>33681.242472186481</v>
      </c>
      <c r="BI17" s="8">
        <v>32423.457310997062</v>
      </c>
      <c r="BJ17" s="8">
        <v>62100</v>
      </c>
      <c r="BK17" s="8">
        <v>65198.641594227331</v>
      </c>
      <c r="BL17" s="8">
        <v>63425.372019721981</v>
      </c>
      <c r="BM17" s="8">
        <v>1000000</v>
      </c>
      <c r="BN17" s="8">
        <v>1012865.1290029546</v>
      </c>
      <c r="BO17" s="8">
        <v>983401.69955393556</v>
      </c>
      <c r="BP17" s="8">
        <v>39000</v>
      </c>
      <c r="BQ17" s="8">
        <v>41285.704261487648</v>
      </c>
      <c r="BR17" s="8">
        <v>39400.471949841449</v>
      </c>
      <c r="BS17" s="8">
        <v>118000</v>
      </c>
      <c r="BT17" s="8">
        <v>121122.05218905688</v>
      </c>
      <c r="BU17" s="8">
        <v>117268.24659017884</v>
      </c>
      <c r="BV17" s="8">
        <v>36150</v>
      </c>
      <c r="BW17" s="8">
        <v>36715.823520204336</v>
      </c>
      <c r="BX17" s="8">
        <v>35409.031923225673</v>
      </c>
      <c r="BY17" s="8">
        <v>25300</v>
      </c>
      <c r="BZ17" s="8">
        <v>26993.817999118084</v>
      </c>
      <c r="CA17" s="8">
        <v>25652.275593005135</v>
      </c>
      <c r="CB17" s="8">
        <v>90200</v>
      </c>
      <c r="CC17" s="8">
        <v>92331.882562015628</v>
      </c>
      <c r="CD17" s="8">
        <v>89660.584744154869</v>
      </c>
      <c r="CE17" s="8">
        <v>14750</v>
      </c>
      <c r="CF17" s="8">
        <v>15329.472025057761</v>
      </c>
      <c r="CG17" s="8">
        <v>14896.909218813611</v>
      </c>
      <c r="CH17" s="8">
        <v>60800</v>
      </c>
      <c r="CI17" s="8">
        <v>62479.139710224241</v>
      </c>
      <c r="CJ17" s="8">
        <v>60503.565186786574</v>
      </c>
      <c r="CK17" s="8">
        <v>294000</v>
      </c>
      <c r="CL17" s="8">
        <v>301359.04726291151</v>
      </c>
      <c r="CM17" s="8">
        <v>297029.35522740969</v>
      </c>
      <c r="CN17" s="8">
        <v>103500</v>
      </c>
      <c r="CO17" s="8">
        <v>106300.15233291352</v>
      </c>
      <c r="CP17" s="8">
        <v>103481.99766872173</v>
      </c>
      <c r="CQ17" s="8">
        <v>71400</v>
      </c>
      <c r="CR17" s="8">
        <v>73063.35375201705</v>
      </c>
      <c r="CS17" s="8">
        <v>71813.500206200333</v>
      </c>
      <c r="CT17" s="8">
        <v>20350</v>
      </c>
      <c r="CU17" s="8">
        <v>19107.025600204226</v>
      </c>
      <c r="CV17" s="8">
        <v>18297.294529875369</v>
      </c>
      <c r="CW17" s="8">
        <v>125000</v>
      </c>
      <c r="CX17" s="8">
        <v>129626.52968064943</v>
      </c>
      <c r="CY17" s="8">
        <v>127332.87370510027</v>
      </c>
      <c r="CZ17" s="8">
        <v>23200</v>
      </c>
      <c r="DA17" s="8">
        <v>24427.126812834635</v>
      </c>
      <c r="DB17" s="8">
        <v>23526.312181721023</v>
      </c>
      <c r="DC17" s="8">
        <v>21800</v>
      </c>
      <c r="DD17" s="8">
        <v>22198.747158002519</v>
      </c>
      <c r="DE17" s="8">
        <v>21628.071563684785</v>
      </c>
      <c r="DF17" s="8">
        <v>58200</v>
      </c>
      <c r="DG17" s="8">
        <v>59902.959260680123</v>
      </c>
      <c r="DH17" s="8">
        <v>58395.429539393161</v>
      </c>
      <c r="DI17" s="8">
        <v>170000</v>
      </c>
      <c r="DJ17" s="8">
        <v>172484.77961920536</v>
      </c>
      <c r="DK17" s="8">
        <v>167361.96034915981</v>
      </c>
      <c r="DL17" s="8">
        <v>27150</v>
      </c>
      <c r="DM17" s="8">
        <v>28432.85926656727</v>
      </c>
      <c r="DN17" s="8">
        <v>27522.466633117696</v>
      </c>
      <c r="DO17" s="8">
        <v>24800</v>
      </c>
      <c r="DP17" s="8">
        <v>26024.969907144419</v>
      </c>
      <c r="DQ17" s="8">
        <v>25120.592165568531</v>
      </c>
      <c r="DR17" s="8">
        <v>4955</v>
      </c>
      <c r="DS17" s="8">
        <v>4989.4790940463536</v>
      </c>
      <c r="DT17" s="8">
        <v>4832.1317489480743</v>
      </c>
      <c r="DU17" s="8">
        <v>187500</v>
      </c>
      <c r="DV17" s="8">
        <v>190955.14282159953</v>
      </c>
      <c r="DW17" s="8">
        <v>185571.65116259264</v>
      </c>
      <c r="DX17" s="8">
        <v>50900</v>
      </c>
      <c r="DY17" s="8">
        <v>52424.966607677758</v>
      </c>
      <c r="DZ17" s="8">
        <v>50353.217761549691</v>
      </c>
      <c r="EA17" s="8">
        <v>10550</v>
      </c>
      <c r="EB17" s="8">
        <v>11148.691813591769</v>
      </c>
      <c r="EC17" s="8">
        <v>10816.631114379108</v>
      </c>
      <c r="ED17" s="8">
        <v>1301000</v>
      </c>
      <c r="EE17" s="8">
        <v>1347163.7887719723</v>
      </c>
      <c r="EF17" s="8">
        <v>1316647.6188717848</v>
      </c>
      <c r="EG17" s="8">
        <v>109000</v>
      </c>
      <c r="EH17" s="8">
        <v>111301.84997805333</v>
      </c>
      <c r="EI17" s="8">
        <v>107380.1109465812</v>
      </c>
      <c r="EJ17" s="8">
        <v>291500</v>
      </c>
      <c r="EK17" s="8">
        <v>297734.17354155576</v>
      </c>
      <c r="EL17" s="8">
        <v>288780.02863456187</v>
      </c>
      <c r="EM17" s="8">
        <v>11400</v>
      </c>
      <c r="EN17" s="8">
        <v>11518.207789532618</v>
      </c>
      <c r="EO17" s="8">
        <v>11197.410877663235</v>
      </c>
      <c r="EP17" s="8">
        <v>53600</v>
      </c>
      <c r="EQ17" s="8">
        <v>55147.489936721329</v>
      </c>
      <c r="ER17" s="8">
        <v>53294.843046222995</v>
      </c>
      <c r="ES17" s="8">
        <v>11000</v>
      </c>
      <c r="ET17" s="8">
        <v>11475.895710961187</v>
      </c>
      <c r="EU17" s="8">
        <v>11012.396770267607</v>
      </c>
      <c r="EV17">
        <v>269500</v>
      </c>
      <c r="EW17">
        <v>286781.19122138509</v>
      </c>
      <c r="EX17">
        <v>274394.3730406512</v>
      </c>
      <c r="EY17">
        <v>28750</v>
      </c>
      <c r="EZ17">
        <v>29216.46511127449</v>
      </c>
      <c r="FA17">
        <v>28418.072783594569</v>
      </c>
      <c r="FB17">
        <v>2495</v>
      </c>
      <c r="FC17">
        <v>2604.3063452924393</v>
      </c>
      <c r="FD17">
        <v>2514.615359052822</v>
      </c>
      <c r="FE17">
        <v>54000</v>
      </c>
      <c r="FF17">
        <v>55369.965588389459</v>
      </c>
      <c r="FG17">
        <v>54237.844166326191</v>
      </c>
      <c r="FH17">
        <v>44850</v>
      </c>
      <c r="FI17">
        <v>46994.406834558788</v>
      </c>
      <c r="FJ17">
        <v>44575.819887955113</v>
      </c>
      <c r="FK17">
        <v>70500</v>
      </c>
      <c r="FL17">
        <v>74122.453636236576</v>
      </c>
      <c r="FM17">
        <v>72253.765475885404</v>
      </c>
      <c r="FN17">
        <v>29800</v>
      </c>
      <c r="FO17">
        <v>30816.203009753484</v>
      </c>
      <c r="FP17">
        <v>29861.641157627619</v>
      </c>
      <c r="FQ17">
        <v>26550</v>
      </c>
      <c r="FR17">
        <v>28550.926600363677</v>
      </c>
      <c r="FS17">
        <v>27435.736794772158</v>
      </c>
      <c r="FT17">
        <v>837000</v>
      </c>
      <c r="FU17">
        <v>866276.11544878897</v>
      </c>
      <c r="FV17">
        <v>840813.68817664019</v>
      </c>
      <c r="FW17">
        <v>15750</v>
      </c>
      <c r="FX17">
        <v>16230.111615059082</v>
      </c>
      <c r="FY17">
        <v>15635.255819549904</v>
      </c>
      <c r="FZ17">
        <v>25350</v>
      </c>
      <c r="GA17">
        <v>26485.035933388815</v>
      </c>
      <c r="GB17">
        <v>25475.024041470428</v>
      </c>
      <c r="GC17">
        <v>18650</v>
      </c>
      <c r="GD17">
        <v>19267.517380483012</v>
      </c>
      <c r="GE17">
        <v>18817.76173949891</v>
      </c>
      <c r="GF17">
        <v>152500</v>
      </c>
      <c r="GG17">
        <v>156535.3704683492</v>
      </c>
      <c r="GH17">
        <v>151352.4237208222</v>
      </c>
      <c r="GI17">
        <v>4590</v>
      </c>
      <c r="GJ17">
        <v>4749.1592845341684</v>
      </c>
      <c r="GK17">
        <v>4458.5550769951733</v>
      </c>
      <c r="GL17">
        <v>9700</v>
      </c>
      <c r="GM17">
        <v>9799.3564431301802</v>
      </c>
      <c r="GN17">
        <v>9327.8487213323569</v>
      </c>
      <c r="GO17">
        <v>635000</v>
      </c>
      <c r="GP17">
        <v>644901.71912499808</v>
      </c>
      <c r="GQ17">
        <v>621250.31987108767</v>
      </c>
      <c r="GR17">
        <v>53700</v>
      </c>
      <c r="GS17">
        <v>53993.826836864006</v>
      </c>
      <c r="GT17">
        <v>53237.31995086425</v>
      </c>
      <c r="GU17">
        <v>7700</v>
      </c>
      <c r="GV17">
        <v>8049.8744537121838</v>
      </c>
      <c r="GW17">
        <v>7671.8981496883598</v>
      </c>
      <c r="GX17">
        <v>26500</v>
      </c>
      <c r="GY17">
        <v>28163.221403129788</v>
      </c>
      <c r="GZ17">
        <v>27017.13706297052</v>
      </c>
      <c r="HA17">
        <v>5180</v>
      </c>
      <c r="HB17">
        <v>5506.3637669757036</v>
      </c>
      <c r="HC17">
        <v>5312.5221391362302</v>
      </c>
      <c r="HD17">
        <v>30950</v>
      </c>
      <c r="HE17">
        <v>31854.028797495695</v>
      </c>
      <c r="HF17">
        <v>30369.986982056238</v>
      </c>
      <c r="HG17">
        <v>9150</v>
      </c>
      <c r="HH17">
        <v>9477.1229029987589</v>
      </c>
      <c r="HI17">
        <v>9152.3119608231646</v>
      </c>
      <c r="HJ17">
        <v>3615</v>
      </c>
      <c r="HK17">
        <v>3845.2733043560079</v>
      </c>
      <c r="HL17">
        <v>3699.9327331118534</v>
      </c>
    </row>
    <row r="18" spans="1:220" x14ac:dyDescent="0.4">
      <c r="A18" s="11">
        <v>41457</v>
      </c>
      <c r="B18" s="8">
        <v>348000</v>
      </c>
      <c r="C18" s="8">
        <v>355567.02110296476</v>
      </c>
      <c r="D18" s="8">
        <v>345666.50846954214</v>
      </c>
      <c r="E18" s="8">
        <v>144000</v>
      </c>
      <c r="F18" s="8">
        <v>143373.464759867</v>
      </c>
      <c r="G18" s="8">
        <v>140293.11051494005</v>
      </c>
      <c r="H18" s="8">
        <v>42200</v>
      </c>
      <c r="I18" s="8">
        <v>43271.857801943537</v>
      </c>
      <c r="J18" s="8">
        <v>41145.113052096458</v>
      </c>
      <c r="K18" s="8">
        <v>57500</v>
      </c>
      <c r="L18" s="8">
        <v>58134.760622997543</v>
      </c>
      <c r="M18" s="8">
        <v>55852.536395023802</v>
      </c>
      <c r="N18" s="8">
        <v>253000</v>
      </c>
      <c r="O18" s="8">
        <v>255831.89227941653</v>
      </c>
      <c r="P18" s="8">
        <v>249578.09311494246</v>
      </c>
      <c r="Q18" s="8">
        <v>83700</v>
      </c>
      <c r="R18" s="8">
        <v>85668.966392780552</v>
      </c>
      <c r="S18" s="8">
        <v>83397.610777708236</v>
      </c>
      <c r="T18" s="8">
        <v>16600</v>
      </c>
      <c r="U18" s="8">
        <v>16728.355863458935</v>
      </c>
      <c r="V18" s="8">
        <v>16100.556203872851</v>
      </c>
      <c r="W18" s="8">
        <v>15050</v>
      </c>
      <c r="X18" s="8">
        <v>14965.558857374528</v>
      </c>
      <c r="Y18" s="8">
        <v>14458.550635526799</v>
      </c>
      <c r="Z18" s="8">
        <v>19750</v>
      </c>
      <c r="AA18" s="8">
        <v>20809.016878096721</v>
      </c>
      <c r="AB18" s="8">
        <v>19958.75331330124</v>
      </c>
      <c r="AC18" s="8">
        <v>11100</v>
      </c>
      <c r="AD18" s="8">
        <v>10831.129046608445</v>
      </c>
      <c r="AE18" s="8">
        <v>10479.495992392016</v>
      </c>
      <c r="AF18" s="8">
        <v>33350</v>
      </c>
      <c r="AG18" s="8">
        <v>34486.935425652606</v>
      </c>
      <c r="AH18" s="8">
        <v>32928.931546164691</v>
      </c>
      <c r="AI18" s="8">
        <v>44500</v>
      </c>
      <c r="AJ18" s="8">
        <v>45012.574277773885</v>
      </c>
      <c r="AK18" s="8">
        <v>43951.848899282966</v>
      </c>
      <c r="AL18" s="8">
        <v>11950</v>
      </c>
      <c r="AM18" s="8">
        <v>12166.938928500491</v>
      </c>
      <c r="AN18" s="8">
        <v>11593.542306319567</v>
      </c>
      <c r="AO18" s="8">
        <v>19250</v>
      </c>
      <c r="AP18" s="8">
        <v>20421.379134687351</v>
      </c>
      <c r="AQ18" s="8">
        <v>19630.404085480015</v>
      </c>
      <c r="AR18" s="8">
        <v>24550</v>
      </c>
      <c r="AS18" s="8">
        <v>24714.691688433111</v>
      </c>
      <c r="AT18" s="8">
        <v>23890.613519789276</v>
      </c>
      <c r="AU18" s="8">
        <v>141500</v>
      </c>
      <c r="AV18" s="8">
        <v>145325.36292656403</v>
      </c>
      <c r="AW18" s="8">
        <v>140474.63398433401</v>
      </c>
      <c r="AX18" s="8">
        <v>569000</v>
      </c>
      <c r="AY18" s="8">
        <v>574363.39021745673</v>
      </c>
      <c r="AZ18" s="8">
        <v>559393.90908792568</v>
      </c>
      <c r="BA18" s="8">
        <v>184500</v>
      </c>
      <c r="BB18" s="8">
        <v>184229.17521669719</v>
      </c>
      <c r="BC18" s="8">
        <v>180098.43031108356</v>
      </c>
      <c r="BD18" s="8">
        <v>33750</v>
      </c>
      <c r="BE18" s="8">
        <v>34556.87910616638</v>
      </c>
      <c r="BF18" s="8">
        <v>33171.89609626423</v>
      </c>
      <c r="BG18" s="8">
        <v>32950</v>
      </c>
      <c r="BH18" s="8">
        <v>34652.325335572736</v>
      </c>
      <c r="BI18" s="8">
        <v>33358.27626230046</v>
      </c>
      <c r="BJ18" s="8">
        <v>64500</v>
      </c>
      <c r="BK18" s="8">
        <v>65299.72475948964</v>
      </c>
      <c r="BL18" s="8">
        <v>63523.705929830023</v>
      </c>
      <c r="BM18" s="8">
        <v>999000</v>
      </c>
      <c r="BN18" s="8">
        <v>976365.48471456137</v>
      </c>
      <c r="BO18" s="8">
        <v>947963.80047091236</v>
      </c>
      <c r="BP18" s="8">
        <v>40200</v>
      </c>
      <c r="BQ18" s="8">
        <v>39128.988367230799</v>
      </c>
      <c r="BR18" s="8">
        <v>37342.23834052134</v>
      </c>
      <c r="BS18" s="8">
        <v>119500</v>
      </c>
      <c r="BT18" s="8">
        <v>118588.11804284228</v>
      </c>
      <c r="BU18" s="8">
        <v>114814.93599205793</v>
      </c>
      <c r="BV18" s="8">
        <v>36100</v>
      </c>
      <c r="BW18" s="8">
        <v>37987.147049297266</v>
      </c>
      <c r="BX18" s="8">
        <v>36635.106435802722</v>
      </c>
      <c r="BY18" s="8">
        <v>26150</v>
      </c>
      <c r="BZ18" s="8">
        <v>27045.431417854459</v>
      </c>
      <c r="CA18" s="8">
        <v>25701.323921098843</v>
      </c>
      <c r="CB18" s="8">
        <v>91100</v>
      </c>
      <c r="CC18" s="8">
        <v>89798.076783694691</v>
      </c>
      <c r="CD18" s="8">
        <v>87200.085711658874</v>
      </c>
      <c r="CE18" s="8">
        <v>15150</v>
      </c>
      <c r="CF18" s="8">
        <v>15481.248975800896</v>
      </c>
      <c r="CG18" s="8">
        <v>15044.403369494925</v>
      </c>
      <c r="CH18" s="8">
        <v>61300</v>
      </c>
      <c r="CI18" s="8">
        <v>61969.521931184951</v>
      </c>
      <c r="CJ18" s="8">
        <v>60010.061392440897</v>
      </c>
      <c r="CK18" s="8">
        <v>299500</v>
      </c>
      <c r="CL18" s="8">
        <v>297837.32216968853</v>
      </c>
      <c r="CM18" s="8">
        <v>293558.22753693885</v>
      </c>
      <c r="CN18" s="8">
        <v>104500</v>
      </c>
      <c r="CO18" s="8">
        <v>108843.21817819861</v>
      </c>
      <c r="CP18" s="8">
        <v>105957.64354596393</v>
      </c>
      <c r="CQ18" s="8">
        <v>72700</v>
      </c>
      <c r="CR18" s="8">
        <v>73364.853148517752</v>
      </c>
      <c r="CS18" s="8">
        <v>72109.84202273206</v>
      </c>
      <c r="CT18" s="8">
        <v>18750</v>
      </c>
      <c r="CU18" s="8">
        <v>20177.019033815668</v>
      </c>
      <c r="CV18" s="8">
        <v>19321.943023548392</v>
      </c>
      <c r="CW18" s="8">
        <v>128500</v>
      </c>
      <c r="CX18" s="8">
        <v>128113.37952873508</v>
      </c>
      <c r="CY18" s="8">
        <v>125846.49774745305</v>
      </c>
      <c r="CZ18" s="8">
        <v>23900</v>
      </c>
      <c r="DA18" s="8">
        <v>24529.332364352736</v>
      </c>
      <c r="DB18" s="8">
        <v>23624.748634364172</v>
      </c>
      <c r="DC18" s="8">
        <v>21850</v>
      </c>
      <c r="DD18" s="8">
        <v>22300.343254835494</v>
      </c>
      <c r="DE18" s="8">
        <v>21727.055872900743</v>
      </c>
      <c r="DF18" s="8">
        <v>59000</v>
      </c>
      <c r="DG18" s="8">
        <v>62948.872443426677</v>
      </c>
      <c r="DH18" s="8">
        <v>61364.688668514944</v>
      </c>
      <c r="DI18" s="8">
        <v>169500</v>
      </c>
      <c r="DJ18" s="8">
        <v>170449.56098063069</v>
      </c>
      <c r="DK18" s="8">
        <v>165387.18795565941</v>
      </c>
      <c r="DL18" s="8">
        <v>27900</v>
      </c>
      <c r="DM18" s="8">
        <v>27770.44498257912</v>
      </c>
      <c r="DN18" s="8">
        <v>26881.262213349699</v>
      </c>
      <c r="DO18" s="8">
        <v>25600</v>
      </c>
      <c r="DP18" s="8">
        <v>25669.159771695213</v>
      </c>
      <c r="DQ18" s="8">
        <v>24777.14656955493</v>
      </c>
      <c r="DR18" s="8">
        <v>4900</v>
      </c>
      <c r="DS18" s="8">
        <v>5030.2095356304053</v>
      </c>
      <c r="DT18" s="8">
        <v>4871.5777224088743</v>
      </c>
      <c r="DU18" s="8">
        <v>188000</v>
      </c>
      <c r="DV18" s="8">
        <v>192986.58051119102</v>
      </c>
      <c r="DW18" s="8">
        <v>187545.81766432236</v>
      </c>
      <c r="DX18" s="8">
        <v>51300</v>
      </c>
      <c r="DY18" s="8">
        <v>52424.966607677758</v>
      </c>
      <c r="DZ18" s="8">
        <v>50353.217761549691</v>
      </c>
      <c r="EA18" s="8">
        <v>11000</v>
      </c>
      <c r="EB18" s="8">
        <v>11098.015941711803</v>
      </c>
      <c r="EC18" s="8">
        <v>10767.464609313745</v>
      </c>
      <c r="ED18" s="8">
        <v>1335000</v>
      </c>
      <c r="EE18" s="8">
        <v>1338081.7857015992</v>
      </c>
      <c r="EF18" s="8">
        <v>1307771.3427895028</v>
      </c>
      <c r="EG18" s="8">
        <v>109500</v>
      </c>
      <c r="EH18" s="8">
        <v>111810.07760352372</v>
      </c>
      <c r="EI18" s="8">
        <v>107870.43108788964</v>
      </c>
      <c r="EJ18" s="8">
        <v>293000</v>
      </c>
      <c r="EK18" s="8">
        <v>294685.70077491883</v>
      </c>
      <c r="EL18" s="8">
        <v>285823.23653250159</v>
      </c>
      <c r="EM18" s="8">
        <v>11350</v>
      </c>
      <c r="EN18" s="8">
        <v>11771.912806923201</v>
      </c>
      <c r="EO18" s="8">
        <v>11444.04988377916</v>
      </c>
      <c r="EP18" s="8">
        <v>54000</v>
      </c>
      <c r="EQ18" s="8">
        <v>54432.615067171202</v>
      </c>
      <c r="ER18" s="8">
        <v>52603.983969697845</v>
      </c>
      <c r="ES18" s="8">
        <v>11250</v>
      </c>
      <c r="ET18" s="8">
        <v>11628.907653774006</v>
      </c>
      <c r="EU18" s="8">
        <v>11159.228727204512</v>
      </c>
      <c r="EV18">
        <v>281500</v>
      </c>
      <c r="EW18">
        <v>282196.76720541291</v>
      </c>
      <c r="EX18">
        <v>270007.96210394474</v>
      </c>
      <c r="EY18">
        <v>28800</v>
      </c>
      <c r="EZ18">
        <v>32006.231745163583</v>
      </c>
      <c r="FA18">
        <v>31131.604038972557</v>
      </c>
      <c r="FB18">
        <v>2560</v>
      </c>
      <c r="FC18">
        <v>2594.1332736311406</v>
      </c>
      <c r="FD18">
        <v>2504.7926428065216</v>
      </c>
      <c r="FE18">
        <v>55000</v>
      </c>
      <c r="FF18">
        <v>54061.220947209382</v>
      </c>
      <c r="FG18">
        <v>52955.858758758513</v>
      </c>
      <c r="FH18">
        <v>45700</v>
      </c>
      <c r="FI18">
        <v>46583.0772342563</v>
      </c>
      <c r="FJ18">
        <v>44185.659538826396</v>
      </c>
      <c r="FK18">
        <v>73300</v>
      </c>
      <c r="FL18">
        <v>74122.453636236576</v>
      </c>
      <c r="FM18">
        <v>72253.765475885404</v>
      </c>
      <c r="FN18">
        <v>30450</v>
      </c>
      <c r="FO18">
        <v>30664.399054040372</v>
      </c>
      <c r="FP18">
        <v>29714.539477048136</v>
      </c>
      <c r="FQ18">
        <v>27850</v>
      </c>
      <c r="FR18">
        <v>28755.960184567371</v>
      </c>
      <c r="FS18">
        <v>27632.761834590998</v>
      </c>
      <c r="FT18">
        <v>854000</v>
      </c>
      <c r="FU18">
        <v>877434.23871569464</v>
      </c>
      <c r="FV18">
        <v>851643.84106884606</v>
      </c>
      <c r="FW18">
        <v>16000</v>
      </c>
      <c r="FX18">
        <v>16635.864405435557</v>
      </c>
      <c r="FY18">
        <v>16026.137215038649</v>
      </c>
      <c r="FZ18">
        <v>26050</v>
      </c>
      <c r="GA18">
        <v>26332.530928014232</v>
      </c>
      <c r="GB18">
        <v>25328.334843534914</v>
      </c>
      <c r="GC18">
        <v>19100</v>
      </c>
      <c r="GD18">
        <v>19671.025597875327</v>
      </c>
      <c r="GE18">
        <v>19211.850990587889</v>
      </c>
      <c r="GF18">
        <v>154000</v>
      </c>
      <c r="GG18">
        <v>155010.67530144966</v>
      </c>
      <c r="GH18">
        <v>149878.21180146351</v>
      </c>
      <c r="GI18">
        <v>4570</v>
      </c>
      <c r="GJ18">
        <v>4473.7703982318599</v>
      </c>
      <c r="GK18">
        <v>4200.0174193575976</v>
      </c>
      <c r="GL18">
        <v>9550</v>
      </c>
      <c r="GM18">
        <v>9932.7508240314237</v>
      </c>
      <c r="GN18">
        <v>9454.8246725127938</v>
      </c>
      <c r="GO18">
        <v>635000</v>
      </c>
      <c r="GP18">
        <v>644901.71912499808</v>
      </c>
      <c r="GQ18">
        <v>621250.31987108767</v>
      </c>
      <c r="GR18">
        <v>53700</v>
      </c>
      <c r="GS18">
        <v>53893.279673294412</v>
      </c>
      <c r="GT18">
        <v>53138.181552445487</v>
      </c>
      <c r="GU18">
        <v>7850</v>
      </c>
      <c r="GV18">
        <v>7865.2913452194207</v>
      </c>
      <c r="GW18">
        <v>7495.9820137719389</v>
      </c>
      <c r="GX18">
        <v>27500</v>
      </c>
      <c r="GY18">
        <v>27907.192117646751</v>
      </c>
      <c r="GZ18">
        <v>26771.526726034386</v>
      </c>
      <c r="HA18">
        <v>5400</v>
      </c>
      <c r="HB18">
        <v>5659.3183160583549</v>
      </c>
      <c r="HC18">
        <v>5460.0921985566738</v>
      </c>
      <c r="HD18">
        <v>31000</v>
      </c>
      <c r="HE18">
        <v>31545.764002681204</v>
      </c>
      <c r="HF18">
        <v>30076.083882229868</v>
      </c>
      <c r="HG18">
        <v>9330</v>
      </c>
      <c r="HH18">
        <v>9477.1229029987589</v>
      </c>
      <c r="HI18">
        <v>9152.3119608231646</v>
      </c>
      <c r="HJ18">
        <v>3780</v>
      </c>
      <c r="HK18">
        <v>3901.2230482024588</v>
      </c>
      <c r="HL18">
        <v>3753.7677331968152</v>
      </c>
    </row>
    <row r="19" spans="1:220" x14ac:dyDescent="0.4">
      <c r="A19" s="11">
        <v>41456</v>
      </c>
      <c r="B19" s="10">
        <v>349300</v>
      </c>
      <c r="C19" s="10">
        <v>351189.8719740134</v>
      </c>
      <c r="D19" s="10">
        <v>341411.23796734062</v>
      </c>
      <c r="E19" s="10">
        <v>141500</v>
      </c>
      <c r="F19" s="10">
        <v>138307.26459167391</v>
      </c>
      <c r="G19" s="10">
        <v>135335.75678649708</v>
      </c>
      <c r="H19" s="10">
        <v>42550</v>
      </c>
      <c r="I19" s="10">
        <v>41187.079693976782</v>
      </c>
      <c r="J19" s="10">
        <v>39162.798557224574</v>
      </c>
      <c r="K19" s="10">
        <v>56900</v>
      </c>
      <c r="L19" s="10">
        <v>56602.209815712908</v>
      </c>
      <c r="M19" s="10">
        <v>54380.14967107767</v>
      </c>
      <c r="N19" s="10">
        <v>252500</v>
      </c>
      <c r="O19" s="10">
        <v>256338.49008591039</v>
      </c>
      <c r="P19" s="10">
        <v>250072.30716071458</v>
      </c>
      <c r="Q19" s="10">
        <v>84300</v>
      </c>
      <c r="R19" s="10">
        <v>86177.086003651144</v>
      </c>
      <c r="S19" s="10">
        <v>83892.258528465696</v>
      </c>
      <c r="T19" s="10">
        <v>16400</v>
      </c>
      <c r="U19" s="10">
        <v>16983.361288206797</v>
      </c>
      <c r="V19" s="10">
        <v>16345.991511858727</v>
      </c>
      <c r="W19" s="10">
        <v>14700</v>
      </c>
      <c r="X19" s="10">
        <v>14711.042550276326</v>
      </c>
      <c r="Y19" s="10">
        <v>14212.656917235532</v>
      </c>
      <c r="Z19" s="10">
        <v>20350</v>
      </c>
      <c r="AA19" s="10">
        <v>21371.422739666912</v>
      </c>
      <c r="AB19" s="10">
        <v>20498.179078525605</v>
      </c>
      <c r="AC19" s="10">
        <v>10700</v>
      </c>
      <c r="AD19" s="10">
        <v>10831.129046608445</v>
      </c>
      <c r="AE19" s="10">
        <v>10479.495992392016</v>
      </c>
      <c r="AF19" s="10">
        <v>33850</v>
      </c>
      <c r="AG19" s="10">
        <v>34435.99460523067</v>
      </c>
      <c r="AH19" s="10">
        <v>32880.292060867556</v>
      </c>
      <c r="AI19" s="10">
        <v>44400</v>
      </c>
      <c r="AJ19" s="10">
        <v>44201.536903399618</v>
      </c>
      <c r="AK19" s="10">
        <v>43159.923693890516</v>
      </c>
      <c r="AL19" s="10">
        <v>11800</v>
      </c>
      <c r="AM19" s="10">
        <v>12321.603406405167</v>
      </c>
      <c r="AN19" s="10">
        <v>11740.917844111773</v>
      </c>
      <c r="AO19" s="10">
        <v>19950</v>
      </c>
      <c r="AP19" s="10">
        <v>20165.472127987006</v>
      </c>
      <c r="AQ19" s="10">
        <v>19384.409046814846</v>
      </c>
      <c r="AR19" s="10">
        <v>24300</v>
      </c>
      <c r="AS19" s="10">
        <v>25426.637539540254</v>
      </c>
      <c r="AT19" s="10">
        <v>24578.820493610383</v>
      </c>
      <c r="AU19" s="10">
        <v>143500</v>
      </c>
      <c r="AV19" s="10">
        <v>144819.0027769939</v>
      </c>
      <c r="AW19" s="10">
        <v>139985.17532933614</v>
      </c>
      <c r="AX19" s="10">
        <v>567000</v>
      </c>
      <c r="AY19" s="10">
        <v>565246.51100765588</v>
      </c>
      <c r="AZ19" s="10">
        <v>550514.6406897048</v>
      </c>
      <c r="BA19" s="10">
        <v>182500</v>
      </c>
      <c r="BB19" s="10">
        <v>185238.65014939115</v>
      </c>
      <c r="BC19" s="10">
        <v>181085.27102511664</v>
      </c>
      <c r="BD19" s="10">
        <v>33750</v>
      </c>
      <c r="BE19" s="10">
        <v>37116.647928845327</v>
      </c>
      <c r="BF19" s="10">
        <v>35629.073584876351</v>
      </c>
      <c r="BG19" s="10">
        <v>33900</v>
      </c>
      <c r="BH19" s="10">
        <v>34498.996462406503</v>
      </c>
      <c r="BI19" s="10">
        <v>33210.67326998942</v>
      </c>
      <c r="BJ19" s="10">
        <v>64600</v>
      </c>
      <c r="BK19" s="10">
        <v>64895.392098440228</v>
      </c>
      <c r="BL19" s="10">
        <v>63130.370289397695</v>
      </c>
      <c r="BM19" s="10">
        <v>963000</v>
      </c>
      <c r="BN19" s="10">
        <v>966226.69463445118</v>
      </c>
      <c r="BO19" s="10">
        <v>938119.93961451598</v>
      </c>
      <c r="BP19" s="10">
        <v>38100</v>
      </c>
      <c r="BQ19" s="10">
        <v>38718.185339753341</v>
      </c>
      <c r="BR19" s="10">
        <v>36950.193843508023</v>
      </c>
      <c r="BS19" s="10">
        <v>117000</v>
      </c>
      <c r="BT19" s="10">
        <v>115040.61023814198</v>
      </c>
      <c r="BU19" s="10">
        <v>111380.30115468877</v>
      </c>
      <c r="BV19" s="10">
        <v>37350</v>
      </c>
      <c r="BW19" s="10">
        <v>38343.117637443327</v>
      </c>
      <c r="BX19" s="10">
        <v>36978.407299324339</v>
      </c>
      <c r="BY19" s="10">
        <v>26200</v>
      </c>
      <c r="BZ19" s="10">
        <v>28129.313211318069</v>
      </c>
      <c r="CA19" s="10">
        <v>26731.338811066522</v>
      </c>
      <c r="CB19" s="10">
        <v>88600</v>
      </c>
      <c r="CC19" s="10">
        <v>91217.008019554341</v>
      </c>
      <c r="CD19" s="10">
        <v>88577.965169856572</v>
      </c>
      <c r="CE19" s="10">
        <v>15300</v>
      </c>
      <c r="CF19" s="10">
        <v>15329.472025057761</v>
      </c>
      <c r="CG19" s="10">
        <v>14896.909218813611</v>
      </c>
      <c r="CH19" s="10">
        <v>60800</v>
      </c>
      <c r="CI19" s="10">
        <v>62173.369042800688</v>
      </c>
      <c r="CJ19" s="10">
        <v>60207.462910179194</v>
      </c>
      <c r="CK19" s="10">
        <v>296000</v>
      </c>
      <c r="CL19" s="10">
        <v>300352.84009341942</v>
      </c>
      <c r="CM19" s="10">
        <v>296037.60445870389</v>
      </c>
      <c r="CN19" s="10">
        <v>107000</v>
      </c>
      <c r="CO19" s="10">
        <v>107825.99184008462</v>
      </c>
      <c r="CP19" s="10">
        <v>104967.38519506709</v>
      </c>
      <c r="CQ19" s="10">
        <v>73000</v>
      </c>
      <c r="CR19" s="10">
        <v>73565.852746184901</v>
      </c>
      <c r="CS19" s="10">
        <v>72307.403233753212</v>
      </c>
      <c r="CT19" s="10">
        <v>19800</v>
      </c>
      <c r="CU19" s="10">
        <v>20278.923170350106</v>
      </c>
      <c r="CV19" s="10">
        <v>19419.528594374409</v>
      </c>
      <c r="CW19" s="10">
        <v>127000</v>
      </c>
      <c r="CX19" s="10">
        <v>129626.52968064943</v>
      </c>
      <c r="CY19" s="10">
        <v>127332.87370510027</v>
      </c>
      <c r="CZ19" s="10">
        <v>24000</v>
      </c>
      <c r="DA19" s="10">
        <v>23660.5851764486</v>
      </c>
      <c r="DB19" s="10">
        <v>22788.03878689713</v>
      </c>
      <c r="DC19" s="10">
        <v>21950</v>
      </c>
      <c r="DD19" s="10">
        <v>22300.343254835494</v>
      </c>
      <c r="DE19" s="10">
        <v>21727.055872900743</v>
      </c>
      <c r="DF19" s="10">
        <v>62000</v>
      </c>
      <c r="DG19" s="10">
        <v>63050.402882851537</v>
      </c>
      <c r="DH19" s="10">
        <v>61463.663972818984</v>
      </c>
      <c r="DI19" s="10">
        <v>167500</v>
      </c>
      <c r="DJ19" s="10">
        <v>164852.70972455025</v>
      </c>
      <c r="DK19" s="10">
        <v>159956.56387353325</v>
      </c>
      <c r="DL19" s="10">
        <v>27250</v>
      </c>
      <c r="DM19" s="10">
        <v>26802.301029058024</v>
      </c>
      <c r="DN19" s="10">
        <v>25944.11729215036</v>
      </c>
      <c r="DO19" s="10">
        <v>25250</v>
      </c>
      <c r="DP19" s="10">
        <v>25669.159771695213</v>
      </c>
      <c r="DQ19" s="10">
        <v>24777.14656955493</v>
      </c>
      <c r="DR19" s="10">
        <v>4940</v>
      </c>
      <c r="DS19" s="10">
        <v>5050.5747564224312</v>
      </c>
      <c r="DT19" s="10">
        <v>4891.3007091392747</v>
      </c>
      <c r="DU19" s="10">
        <v>190000</v>
      </c>
      <c r="DV19" s="10">
        <v>196541.59646797596</v>
      </c>
      <c r="DW19" s="10">
        <v>191000.60904234918</v>
      </c>
      <c r="DX19" s="10">
        <v>51300</v>
      </c>
      <c r="DY19" s="10">
        <v>51096.458681947122</v>
      </c>
      <c r="DZ19" s="10">
        <v>49077.210293908072</v>
      </c>
      <c r="EA19" s="10">
        <v>10950</v>
      </c>
      <c r="EB19" s="10">
        <v>11098.015941711803</v>
      </c>
      <c r="EC19" s="10">
        <v>10767.464609313745</v>
      </c>
      <c r="ED19" s="10">
        <v>1326000</v>
      </c>
      <c r="EE19" s="10">
        <v>1354227.5689378169</v>
      </c>
      <c r="EF19" s="10">
        <v>1323551.3891580028</v>
      </c>
      <c r="EG19" s="10">
        <v>110000</v>
      </c>
      <c r="EH19" s="10">
        <v>109777.16710164156</v>
      </c>
      <c r="EI19" s="10">
        <v>105909.15052265537</v>
      </c>
      <c r="EJ19" s="10">
        <v>290000</v>
      </c>
      <c r="EK19" s="10">
        <v>295193.77956935851</v>
      </c>
      <c r="EL19" s="10">
        <v>286316.03521617851</v>
      </c>
      <c r="EM19" s="10">
        <v>11600</v>
      </c>
      <c r="EN19" s="10">
        <v>11873.394813879449</v>
      </c>
      <c r="EO19" s="10">
        <v>11542.705486225546</v>
      </c>
      <c r="EP19" s="10">
        <v>53300</v>
      </c>
      <c r="EQ19" s="10">
        <v>54841.114992628427</v>
      </c>
      <c r="ER19" s="10">
        <v>52998.760584855081</v>
      </c>
      <c r="ES19" s="10">
        <v>11400</v>
      </c>
      <c r="ET19" s="10">
        <v>11526.899691898807</v>
      </c>
      <c r="EU19" s="10">
        <v>11061.340755913254</v>
      </c>
      <c r="EV19">
        <v>277000</v>
      </c>
      <c r="EW19">
        <v>282196.76720541291</v>
      </c>
      <c r="EX19">
        <v>270007.96210394474</v>
      </c>
      <c r="EY19">
        <v>31550</v>
      </c>
      <c r="EZ19">
        <v>31651.170537214028</v>
      </c>
      <c r="FA19">
        <v>30786.245515560782</v>
      </c>
      <c r="FB19">
        <v>2550</v>
      </c>
      <c r="FC19">
        <v>2461.883342034258</v>
      </c>
      <c r="FD19">
        <v>2377.0973316046202</v>
      </c>
      <c r="FE19">
        <v>53700</v>
      </c>
      <c r="FF19">
        <v>54262.566276621765</v>
      </c>
      <c r="FG19">
        <v>53153.087282999753</v>
      </c>
      <c r="FH19">
        <v>45300</v>
      </c>
      <c r="FI19">
        <v>44166.515832479206</v>
      </c>
      <c r="FJ19">
        <v>41893.467487695234</v>
      </c>
      <c r="FK19">
        <v>73300</v>
      </c>
      <c r="FL19">
        <v>73819.08752312779</v>
      </c>
      <c r="FM19">
        <v>71958.047472573424</v>
      </c>
      <c r="FN19">
        <v>30300</v>
      </c>
      <c r="FO19">
        <v>31119.810921179615</v>
      </c>
      <c r="FP19">
        <v>30155.8445187865</v>
      </c>
      <c r="FQ19">
        <v>28050</v>
      </c>
      <c r="FR19">
        <v>28755.960184567371</v>
      </c>
      <c r="FS19">
        <v>27632.761834590998</v>
      </c>
      <c r="FT19">
        <v>865000</v>
      </c>
      <c r="FU19">
        <v>896707.36072216672</v>
      </c>
      <c r="FV19">
        <v>870350.46879174584</v>
      </c>
      <c r="FW19">
        <v>16400</v>
      </c>
      <c r="FX19">
        <v>16534.426207841432</v>
      </c>
      <c r="FY19">
        <v>15928.416866166457</v>
      </c>
      <c r="FZ19">
        <v>25900</v>
      </c>
      <c r="GA19">
        <v>26129.190920848094</v>
      </c>
      <c r="GB19">
        <v>25132.749246287534</v>
      </c>
      <c r="GC19">
        <v>19500</v>
      </c>
      <c r="GD19">
        <v>19469.271489179169</v>
      </c>
      <c r="GE19">
        <v>19014.806365043401</v>
      </c>
      <c r="GF19">
        <v>152500</v>
      </c>
      <c r="GG19">
        <v>153485.98013455028</v>
      </c>
      <c r="GH19">
        <v>148403.99988210495</v>
      </c>
      <c r="GI19">
        <v>4305</v>
      </c>
      <c r="GJ19">
        <v>4624.4548831897282</v>
      </c>
      <c r="GK19">
        <v>4341.481420706461</v>
      </c>
      <c r="GL19">
        <v>9680</v>
      </c>
      <c r="GM19">
        <v>9748.050912014307</v>
      </c>
      <c r="GN19">
        <v>9279.0118170321803</v>
      </c>
      <c r="GO19">
        <v>635000</v>
      </c>
      <c r="GP19">
        <v>596153.24271869869</v>
      </c>
      <c r="GQ19">
        <v>574289.66577059566</v>
      </c>
      <c r="GR19">
        <v>53600</v>
      </c>
      <c r="GS19">
        <v>54295.468327572751</v>
      </c>
      <c r="GT19">
        <v>53534.735146120482</v>
      </c>
      <c r="GU19">
        <v>7670</v>
      </c>
      <c r="GV19">
        <v>7567.9074482032956</v>
      </c>
      <c r="GW19">
        <v>7212.5615725732559</v>
      </c>
      <c r="GX19">
        <v>27250</v>
      </c>
      <c r="GY19">
        <v>27804.780403453547</v>
      </c>
      <c r="GZ19">
        <v>26673.282591259944</v>
      </c>
      <c r="HA19">
        <v>5550</v>
      </c>
      <c r="HB19">
        <v>5659.3183160583549</v>
      </c>
      <c r="HC19">
        <v>5460.0921985566738</v>
      </c>
      <c r="HD19">
        <v>30700</v>
      </c>
      <c r="HE19">
        <v>31597.141468483616</v>
      </c>
      <c r="HF19">
        <v>30125.067732200925</v>
      </c>
      <c r="HG19">
        <v>9330</v>
      </c>
      <c r="HH19">
        <v>9355.2306470116437</v>
      </c>
      <c r="HI19">
        <v>9034.5973375328413</v>
      </c>
      <c r="HJ19">
        <v>3835</v>
      </c>
      <c r="HK19">
        <v>3840.1869640063296</v>
      </c>
      <c r="HL19">
        <v>3695.0386421950375</v>
      </c>
    </row>
    <row r="20" spans="1:220" x14ac:dyDescent="0.4">
      <c r="A20" s="73">
        <v>41453</v>
      </c>
      <c r="B20" s="8">
        <v>345000</v>
      </c>
      <c r="C20" s="8">
        <v>338872.77791347535</v>
      </c>
      <c r="D20" s="8">
        <v>329437.1046937033</v>
      </c>
      <c r="E20" s="8">
        <v>136500</v>
      </c>
      <c r="F20" s="8">
        <v>137800.64457485441</v>
      </c>
      <c r="G20" s="8">
        <v>134840.02141365258</v>
      </c>
      <c r="H20" s="8">
        <v>40500</v>
      </c>
      <c r="I20" s="8">
        <v>40729.445475154884</v>
      </c>
      <c r="J20" s="8">
        <v>38727.656351033249</v>
      </c>
      <c r="K20" s="8">
        <v>55400</v>
      </c>
      <c r="L20" s="8">
        <v>54967.488954609282</v>
      </c>
      <c r="M20" s="8">
        <v>52809.603832201778</v>
      </c>
      <c r="N20" s="8">
        <v>253000</v>
      </c>
      <c r="O20" s="8">
        <v>245699.93614953881</v>
      </c>
      <c r="P20" s="8">
        <v>239693.81219949934</v>
      </c>
      <c r="Q20" s="8">
        <v>84800</v>
      </c>
      <c r="R20" s="8">
        <v>85872.214237128879</v>
      </c>
      <c r="S20" s="8">
        <v>83595.46987801131</v>
      </c>
      <c r="T20" s="8">
        <v>16650</v>
      </c>
      <c r="U20" s="8">
        <v>16881.359118307653</v>
      </c>
      <c r="V20" s="8">
        <v>16247.817388664378</v>
      </c>
      <c r="W20" s="8">
        <v>14450</v>
      </c>
      <c r="X20" s="8">
        <v>13998.396890401353</v>
      </c>
      <c r="Y20" s="8">
        <v>13524.154506019973</v>
      </c>
      <c r="Z20" s="8">
        <v>20900</v>
      </c>
      <c r="AA20" s="8">
        <v>21166.911517277731</v>
      </c>
      <c r="AB20" s="8">
        <v>20302.024254807635</v>
      </c>
      <c r="AC20" s="8">
        <v>10700</v>
      </c>
      <c r="AD20" s="8">
        <v>10729.903541499956</v>
      </c>
      <c r="AE20" s="8">
        <v>10381.556777509848</v>
      </c>
      <c r="AF20" s="8">
        <v>33800</v>
      </c>
      <c r="AG20" s="8">
        <v>32041.776045399583</v>
      </c>
      <c r="AH20" s="8">
        <v>30594.236251901948</v>
      </c>
      <c r="AI20" s="8">
        <v>43600</v>
      </c>
      <c r="AJ20" s="8">
        <v>44201.536903399618</v>
      </c>
      <c r="AK20" s="8">
        <v>43159.923693890516</v>
      </c>
      <c r="AL20" s="8">
        <v>11950</v>
      </c>
      <c r="AM20" s="8">
        <v>11960.719624627594</v>
      </c>
      <c r="AN20" s="8">
        <v>11397.041589263297</v>
      </c>
      <c r="AO20" s="8">
        <v>19700</v>
      </c>
      <c r="AP20" s="8">
        <v>20319.016332007235</v>
      </c>
      <c r="AQ20" s="8">
        <v>19532.006070013966</v>
      </c>
      <c r="AR20" s="8">
        <v>25000</v>
      </c>
      <c r="AS20" s="8">
        <v>24562.131863195882</v>
      </c>
      <c r="AT20" s="8">
        <v>23743.140596827627</v>
      </c>
      <c r="AU20" s="8">
        <v>143000</v>
      </c>
      <c r="AV20" s="8">
        <v>138236.32083258525</v>
      </c>
      <c r="AW20" s="8">
        <v>133622.21281436644</v>
      </c>
      <c r="AX20" s="8">
        <v>558000</v>
      </c>
      <c r="AY20" s="8">
        <v>567272.48416538944</v>
      </c>
      <c r="AZ20" s="8">
        <v>552487.81144486496</v>
      </c>
      <c r="BA20" s="8">
        <v>183500</v>
      </c>
      <c r="BB20" s="8">
        <v>181200.75041861445</v>
      </c>
      <c r="BC20" s="8">
        <v>177137.9081689835</v>
      </c>
      <c r="BD20" s="8">
        <v>36250</v>
      </c>
      <c r="BE20" s="8">
        <v>34556.87910616638</v>
      </c>
      <c r="BF20" s="8">
        <v>33171.89609626423</v>
      </c>
      <c r="BG20" s="8">
        <v>33750</v>
      </c>
      <c r="BH20" s="8">
        <v>34192.338716073973</v>
      </c>
      <c r="BI20" s="8">
        <v>32915.46728536726</v>
      </c>
      <c r="BJ20" s="8">
        <v>64200</v>
      </c>
      <c r="BK20" s="8">
        <v>64491.059437390693</v>
      </c>
      <c r="BL20" s="8">
        <v>62737.034648965251</v>
      </c>
      <c r="BM20" s="8">
        <v>953000</v>
      </c>
      <c r="BN20" s="8">
        <v>992587.5488427357</v>
      </c>
      <c r="BO20" s="8">
        <v>963713.97784114443</v>
      </c>
      <c r="BP20" s="8">
        <v>37700</v>
      </c>
      <c r="BQ20" s="8">
        <v>38872.236475057383</v>
      </c>
      <c r="BR20" s="8">
        <v>37097.210529888012</v>
      </c>
      <c r="BS20" s="8">
        <v>113500</v>
      </c>
      <c r="BT20" s="8">
        <v>113520.24975041316</v>
      </c>
      <c r="BU20" s="8">
        <v>109908.31479581617</v>
      </c>
      <c r="BV20" s="8">
        <v>37700</v>
      </c>
      <c r="BW20" s="8">
        <v>37275.205873005238</v>
      </c>
      <c r="BX20" s="8">
        <v>35948.504708759589</v>
      </c>
      <c r="BY20" s="8">
        <v>27250</v>
      </c>
      <c r="BZ20" s="8">
        <v>27664.792442690799</v>
      </c>
      <c r="CA20" s="8">
        <v>26289.903858223224</v>
      </c>
      <c r="CB20" s="8">
        <v>90000</v>
      </c>
      <c r="CC20" s="8">
        <v>89291.315628030527</v>
      </c>
      <c r="CD20" s="8">
        <v>86707.985905159687</v>
      </c>
      <c r="CE20" s="8">
        <v>15150</v>
      </c>
      <c r="CF20" s="8">
        <v>15228.287391228983</v>
      </c>
      <c r="CG20" s="8">
        <v>14798.57978502605</v>
      </c>
      <c r="CH20" s="8">
        <v>61000</v>
      </c>
      <c r="CI20" s="8">
        <v>61765.674819569118</v>
      </c>
      <c r="CJ20" s="8">
        <v>59812.65987470252</v>
      </c>
      <c r="CK20" s="8">
        <v>298500</v>
      </c>
      <c r="CL20" s="8">
        <v>295824.90783070418</v>
      </c>
      <c r="CM20" s="8">
        <v>291574.72599952715</v>
      </c>
      <c r="CN20" s="8">
        <v>106000</v>
      </c>
      <c r="CO20" s="8">
        <v>106808.76550197061</v>
      </c>
      <c r="CP20" s="8">
        <v>103977.12684417023</v>
      </c>
      <c r="CQ20" s="8">
        <v>73200</v>
      </c>
      <c r="CR20" s="8">
        <v>72259.355361348324</v>
      </c>
      <c r="CS20" s="8">
        <v>71023.255362115568</v>
      </c>
      <c r="CT20" s="8">
        <v>19900</v>
      </c>
      <c r="CU20" s="8">
        <v>20380.827306884508</v>
      </c>
      <c r="CV20" s="8">
        <v>19517.11416520039</v>
      </c>
      <c r="CW20" s="8">
        <v>128500</v>
      </c>
      <c r="CX20" s="8">
        <v>127608.99614476369</v>
      </c>
      <c r="CY20" s="8">
        <v>125351.03909490403</v>
      </c>
      <c r="CZ20" s="8">
        <v>23150</v>
      </c>
      <c r="DA20" s="8">
        <v>23660.5851764486</v>
      </c>
      <c r="DB20" s="8">
        <v>22788.03878689713</v>
      </c>
      <c r="DC20" s="8">
        <v>21950</v>
      </c>
      <c r="DD20" s="8">
        <v>21690.766673837694</v>
      </c>
      <c r="DE20" s="8">
        <v>21133.150017605032</v>
      </c>
      <c r="DF20" s="8">
        <v>62100</v>
      </c>
      <c r="DG20" s="8">
        <v>62035.098488602736</v>
      </c>
      <c r="DH20" s="8">
        <v>60473.910929778431</v>
      </c>
      <c r="DI20" s="8">
        <v>162000</v>
      </c>
      <c r="DJ20" s="8">
        <v>162817.49108597558</v>
      </c>
      <c r="DK20" s="8">
        <v>157981.79148003287</v>
      </c>
      <c r="DL20" s="8">
        <v>26300</v>
      </c>
      <c r="DM20" s="8">
        <v>27158.985643513151</v>
      </c>
      <c r="DN20" s="8">
        <v>26289.381210486947</v>
      </c>
      <c r="DO20" s="8">
        <v>25250</v>
      </c>
      <c r="DP20" s="8">
        <v>24754.219423397153</v>
      </c>
      <c r="DQ20" s="8">
        <v>23894.000751234147</v>
      </c>
      <c r="DR20" s="8">
        <v>4960</v>
      </c>
      <c r="DS20" s="8">
        <v>4994.570399244355</v>
      </c>
      <c r="DT20" s="8">
        <v>4837.0624956306692</v>
      </c>
      <c r="DU20" s="8">
        <v>193500</v>
      </c>
      <c r="DV20" s="8">
        <v>194002.29935598659</v>
      </c>
      <c r="DW20" s="8">
        <v>188532.90091518703</v>
      </c>
      <c r="DX20" s="8">
        <v>50000</v>
      </c>
      <c r="DY20" s="8">
        <v>51045.362223265161</v>
      </c>
      <c r="DZ20" s="8">
        <v>49028.13308361415</v>
      </c>
      <c r="EA20" s="8">
        <v>10950</v>
      </c>
      <c r="EB20" s="8">
        <v>10439.2296072723</v>
      </c>
      <c r="EC20" s="8">
        <v>10128.30004346408</v>
      </c>
      <c r="ED20" s="8">
        <v>1342000</v>
      </c>
      <c r="EE20" s="8">
        <v>1351200.2345810262</v>
      </c>
      <c r="EF20" s="8">
        <v>1320592.6304639094</v>
      </c>
      <c r="EG20" s="8">
        <v>108000</v>
      </c>
      <c r="EH20" s="8">
        <v>105203.11847240652</v>
      </c>
      <c r="EI20" s="8">
        <v>101496.26925087809</v>
      </c>
      <c r="EJ20" s="8">
        <v>290500</v>
      </c>
      <c r="EK20" s="8">
        <v>281475.65211949171</v>
      </c>
      <c r="EL20" s="8">
        <v>273010.47075690702</v>
      </c>
      <c r="EM20" s="8">
        <v>11700</v>
      </c>
      <c r="EN20" s="8">
        <v>11721.171803445091</v>
      </c>
      <c r="EO20" s="8">
        <v>11394.722082555982</v>
      </c>
      <c r="EP20" s="8">
        <v>53700</v>
      </c>
      <c r="EQ20" s="8">
        <v>54432.615067171202</v>
      </c>
      <c r="ER20" s="8">
        <v>52603.983969697845</v>
      </c>
      <c r="ES20" s="8">
        <v>11300</v>
      </c>
      <c r="ET20" s="8">
        <v>11118.867844397957</v>
      </c>
      <c r="EU20" s="8">
        <v>10669.788870748178</v>
      </c>
      <c r="EV20">
        <v>277000</v>
      </c>
      <c r="EW20">
        <v>270990.3973885912</v>
      </c>
      <c r="EX20">
        <v>259285.6242586615</v>
      </c>
      <c r="EY20">
        <v>31200</v>
      </c>
      <c r="EZ20">
        <v>31093.217210436218</v>
      </c>
      <c r="FA20">
        <v>30243.539264485193</v>
      </c>
      <c r="FB20">
        <v>2420</v>
      </c>
      <c r="FC20">
        <v>2487.3160211875065</v>
      </c>
      <c r="FD20">
        <v>2401.6541222203723</v>
      </c>
      <c r="FE20">
        <v>53900</v>
      </c>
      <c r="FF20">
        <v>53356.512294266271</v>
      </c>
      <c r="FG20">
        <v>52265.558923914388</v>
      </c>
      <c r="FH20">
        <v>42950</v>
      </c>
      <c r="FI20">
        <v>43241.024231798576</v>
      </c>
      <c r="FJ20">
        <v>41015.606702155586</v>
      </c>
      <c r="FK20">
        <v>73000</v>
      </c>
      <c r="FL20">
        <v>73717.965485424938</v>
      </c>
      <c r="FM20">
        <v>71859.474804802841</v>
      </c>
      <c r="FN20">
        <v>30750</v>
      </c>
      <c r="FO20">
        <v>30208.987186901173</v>
      </c>
      <c r="FP20">
        <v>29273.234435309809</v>
      </c>
      <c r="FQ20">
        <v>28050</v>
      </c>
      <c r="FR20">
        <v>28192.117828007227</v>
      </c>
      <c r="FS20">
        <v>27090.942975089212</v>
      </c>
      <c r="FT20">
        <v>884000</v>
      </c>
      <c r="FU20">
        <v>887577.98714015272</v>
      </c>
      <c r="FV20">
        <v>861489.43460721348</v>
      </c>
      <c r="FW20">
        <v>16300</v>
      </c>
      <c r="FX20">
        <v>16331.549812653209</v>
      </c>
      <c r="FY20">
        <v>15732.976168422099</v>
      </c>
      <c r="FZ20">
        <v>25700</v>
      </c>
      <c r="GA20">
        <v>26434.200931597283</v>
      </c>
      <c r="GB20">
        <v>25426.127642158583</v>
      </c>
      <c r="GC20">
        <v>19300</v>
      </c>
      <c r="GD20">
        <v>19620.587070701295</v>
      </c>
      <c r="GE20">
        <v>19162.589834201775</v>
      </c>
      <c r="GF20">
        <v>151000</v>
      </c>
      <c r="GG20">
        <v>149928.35807845133</v>
      </c>
      <c r="GH20">
        <v>144964.17207026799</v>
      </c>
      <c r="GI20">
        <v>4450</v>
      </c>
      <c r="GJ20">
        <v>4364.6540470554737</v>
      </c>
      <c r="GK20">
        <v>4097.5779701049742</v>
      </c>
      <c r="GL20">
        <v>9500</v>
      </c>
      <c r="GM20">
        <v>9645.4398497825787</v>
      </c>
      <c r="GN20">
        <v>9181.3380084318414</v>
      </c>
      <c r="GO20">
        <v>587000</v>
      </c>
      <c r="GP20">
        <v>616465.10788799031</v>
      </c>
      <c r="GQ20">
        <v>593856.60497913428</v>
      </c>
      <c r="GR20">
        <v>54000</v>
      </c>
      <c r="GS20">
        <v>53993.826836864006</v>
      </c>
      <c r="GT20">
        <v>53237.31995086425</v>
      </c>
      <c r="GU20">
        <v>7380</v>
      </c>
      <c r="GV20">
        <v>7567.9074482032956</v>
      </c>
      <c r="GW20">
        <v>7212.5615725732559</v>
      </c>
      <c r="GX20">
        <v>27150</v>
      </c>
      <c r="GY20">
        <v>27753.574546356984</v>
      </c>
      <c r="GZ20">
        <v>26624.160523872761</v>
      </c>
      <c r="HA20">
        <v>5550</v>
      </c>
      <c r="HB20">
        <v>5628.7274062418319</v>
      </c>
      <c r="HC20">
        <v>5430.578186672592</v>
      </c>
      <c r="HD20">
        <v>30750</v>
      </c>
      <c r="HE20">
        <v>31545.764002681204</v>
      </c>
      <c r="HF20">
        <v>30076.083882229868</v>
      </c>
      <c r="HG20">
        <v>9210</v>
      </c>
      <c r="HH20">
        <v>9284.1268310191517</v>
      </c>
      <c r="HI20">
        <v>8965.9304739468116</v>
      </c>
      <c r="HJ20">
        <v>3775</v>
      </c>
      <c r="HK20">
        <v>3880.8776868037467</v>
      </c>
      <c r="HL20">
        <v>3734.1913695295539</v>
      </c>
    </row>
    <row r="21" spans="1:220" x14ac:dyDescent="0.4">
      <c r="A21" s="11">
        <v>41452</v>
      </c>
      <c r="B21" s="8">
        <v>332900</v>
      </c>
      <c r="C21" s="8">
        <v>325944.91885820002</v>
      </c>
      <c r="D21" s="8">
        <v>316869.21274534025</v>
      </c>
      <c r="E21" s="8">
        <v>136000</v>
      </c>
      <c r="F21" s="8">
        <v>135774.16450757731</v>
      </c>
      <c r="G21" s="8">
        <v>132857.07992227547</v>
      </c>
      <c r="H21" s="8">
        <v>40050</v>
      </c>
      <c r="I21" s="8">
        <v>35949.710300792103</v>
      </c>
      <c r="J21" s="8">
        <v>34182.837753034306</v>
      </c>
      <c r="K21" s="8">
        <v>53800</v>
      </c>
      <c r="L21" s="8">
        <v>54150.128524057509</v>
      </c>
      <c r="M21" s="8">
        <v>52024.330912763871</v>
      </c>
      <c r="N21" s="8">
        <v>242500</v>
      </c>
      <c r="O21" s="8">
        <v>237594.37124563643</v>
      </c>
      <c r="P21" s="8">
        <v>231786.38746714464</v>
      </c>
      <c r="Q21" s="8">
        <v>84500</v>
      </c>
      <c r="R21" s="8">
        <v>79266.659295811274</v>
      </c>
      <c r="S21" s="8">
        <v>77165.049118164286</v>
      </c>
      <c r="T21" s="8">
        <v>16550</v>
      </c>
      <c r="U21" s="8">
        <v>16065.341759114535</v>
      </c>
      <c r="V21" s="8">
        <v>15462.424403109604</v>
      </c>
      <c r="W21" s="8">
        <v>13750</v>
      </c>
      <c r="X21" s="8">
        <v>13794.783844722784</v>
      </c>
      <c r="Y21" s="8">
        <v>13327.439531386952</v>
      </c>
      <c r="Z21" s="8">
        <v>20700</v>
      </c>
      <c r="AA21" s="8">
        <v>19888.716377345532</v>
      </c>
      <c r="AB21" s="8">
        <v>19076.056606570488</v>
      </c>
      <c r="AC21" s="8">
        <v>10600</v>
      </c>
      <c r="AD21" s="8">
        <v>10527.452531282985</v>
      </c>
      <c r="AE21" s="8">
        <v>10185.678347745521</v>
      </c>
      <c r="AF21" s="8">
        <v>31450</v>
      </c>
      <c r="AG21" s="8">
        <v>30564.492253163338</v>
      </c>
      <c r="AH21" s="8">
        <v>29183.691178284833</v>
      </c>
      <c r="AI21" s="8">
        <v>43600</v>
      </c>
      <c r="AJ21" s="8">
        <v>43948.087723907629</v>
      </c>
      <c r="AK21" s="8">
        <v>42912.44706720535</v>
      </c>
      <c r="AL21" s="8">
        <v>11600</v>
      </c>
      <c r="AM21" s="8">
        <v>11651.390668818276</v>
      </c>
      <c r="AN21" s="8">
        <v>11102.290513678916</v>
      </c>
      <c r="AO21" s="8">
        <v>19850</v>
      </c>
      <c r="AP21" s="8">
        <v>19602.476713246244</v>
      </c>
      <c r="AQ21" s="8">
        <v>18843.219961751482</v>
      </c>
      <c r="AR21" s="8">
        <v>24150</v>
      </c>
      <c r="AS21" s="8">
        <v>23748.479461930609</v>
      </c>
      <c r="AT21" s="8">
        <v>22956.61834103211</v>
      </c>
      <c r="AU21" s="8">
        <v>136500</v>
      </c>
      <c r="AV21" s="8">
        <v>132159.99903774637</v>
      </c>
      <c r="AW21" s="8">
        <v>127748.70895439434</v>
      </c>
      <c r="AX21" s="8">
        <v>560000</v>
      </c>
      <c r="AY21" s="8">
        <v>536882.88679938647</v>
      </c>
      <c r="AZ21" s="8">
        <v>522890.2501174616</v>
      </c>
      <c r="BA21" s="8">
        <v>179500</v>
      </c>
      <c r="BB21" s="8">
        <v>177667.58815418463</v>
      </c>
      <c r="BC21" s="8">
        <v>173683.96566986683</v>
      </c>
      <c r="BD21" s="8">
        <v>33750</v>
      </c>
      <c r="BE21" s="8">
        <v>34915.246741341405</v>
      </c>
      <c r="BF21" s="8">
        <v>33515.900944669898</v>
      </c>
      <c r="BG21" s="8">
        <v>33450</v>
      </c>
      <c r="BH21" s="8">
        <v>31585.747872247706</v>
      </c>
      <c r="BI21" s="8">
        <v>30406.216416079176</v>
      </c>
      <c r="BJ21" s="8">
        <v>63800</v>
      </c>
      <c r="BK21" s="8">
        <v>64288.893106866031</v>
      </c>
      <c r="BL21" s="8">
        <v>62540.366828749131</v>
      </c>
      <c r="BM21" s="8">
        <v>979000</v>
      </c>
      <c r="BN21" s="8">
        <v>988532.03281069291</v>
      </c>
      <c r="BO21" s="8">
        <v>959776.43349858711</v>
      </c>
      <c r="BP21" s="8">
        <v>37850</v>
      </c>
      <c r="BQ21" s="8">
        <v>38820.886096622722</v>
      </c>
      <c r="BR21" s="8">
        <v>37048.204967761369</v>
      </c>
      <c r="BS21" s="8">
        <v>112000</v>
      </c>
      <c r="BT21" s="8">
        <v>109972.74194571281</v>
      </c>
      <c r="BU21" s="8">
        <v>106473.67995844697</v>
      </c>
      <c r="BV21" s="8">
        <v>36650</v>
      </c>
      <c r="BW21" s="8">
        <v>36614.117637876923</v>
      </c>
      <c r="BX21" s="8">
        <v>35310.945962219528</v>
      </c>
      <c r="BY21" s="8">
        <v>26800</v>
      </c>
      <c r="BZ21" s="8">
        <v>24980.894668399935</v>
      </c>
      <c r="CA21" s="8">
        <v>23739.390797350854</v>
      </c>
      <c r="CB21" s="8">
        <v>88100</v>
      </c>
      <c r="CC21" s="8">
        <v>85439.930844982548</v>
      </c>
      <c r="CD21" s="8">
        <v>82968.02737576564</v>
      </c>
      <c r="CE21" s="8">
        <v>15050</v>
      </c>
      <c r="CF21" s="8">
        <v>14975.325806657074</v>
      </c>
      <c r="CG21" s="8">
        <v>14552.75620055718</v>
      </c>
      <c r="CH21" s="8">
        <v>60600</v>
      </c>
      <c r="CI21" s="8">
        <v>61154.13348472197</v>
      </c>
      <c r="CJ21" s="8">
        <v>59220.455321487709</v>
      </c>
      <c r="CK21" s="8">
        <v>294000</v>
      </c>
      <c r="CL21" s="8">
        <v>294315.59707646631</v>
      </c>
      <c r="CM21" s="8">
        <v>290087.09984646871</v>
      </c>
      <c r="CN21" s="8">
        <v>105000</v>
      </c>
      <c r="CO21" s="8">
        <v>104265.69965668555</v>
      </c>
      <c r="CP21" s="8">
        <v>101501.48096692804</v>
      </c>
      <c r="CQ21" s="8">
        <v>71900</v>
      </c>
      <c r="CR21" s="8">
        <v>72058.355763681175</v>
      </c>
      <c r="CS21" s="8">
        <v>70825.694151094402</v>
      </c>
      <c r="CT21" s="8">
        <v>20000</v>
      </c>
      <c r="CU21" s="8">
        <v>19157.977668471445</v>
      </c>
      <c r="CV21" s="8">
        <v>18346.087315288376</v>
      </c>
      <c r="CW21" s="8">
        <v>126500</v>
      </c>
      <c r="CX21" s="8">
        <v>126095.84599284943</v>
      </c>
      <c r="CY21" s="8">
        <v>123864.66313725688</v>
      </c>
      <c r="CZ21" s="8">
        <v>23150</v>
      </c>
      <c r="DA21" s="8">
        <v>22740.735212785348</v>
      </c>
      <c r="DB21" s="8">
        <v>21902.11071310845</v>
      </c>
      <c r="DC21" s="8">
        <v>21350</v>
      </c>
      <c r="DD21" s="8">
        <v>21538.372528588243</v>
      </c>
      <c r="DE21" s="8">
        <v>20984.673553781104</v>
      </c>
      <c r="DF21" s="8">
        <v>61100</v>
      </c>
      <c r="DG21" s="8">
        <v>59699.898381830433</v>
      </c>
      <c r="DH21" s="8">
        <v>58197.478930785117</v>
      </c>
      <c r="DI21" s="8">
        <v>160000</v>
      </c>
      <c r="DJ21" s="8">
        <v>157729.44448953893</v>
      </c>
      <c r="DK21" s="8">
        <v>153044.86049628191</v>
      </c>
      <c r="DL21" s="8">
        <v>26650</v>
      </c>
      <c r="DM21" s="8">
        <v>26547.526304447198</v>
      </c>
      <c r="DN21" s="8">
        <v>25697.500207624209</v>
      </c>
      <c r="DO21" s="8">
        <v>24350</v>
      </c>
      <c r="DP21" s="8">
        <v>24093.42917184858</v>
      </c>
      <c r="DQ21" s="8">
        <v>23256.173215780273</v>
      </c>
      <c r="DR21" s="8">
        <v>4905</v>
      </c>
      <c r="DS21" s="8">
        <v>4796.0094965221051</v>
      </c>
      <c r="DT21" s="8">
        <v>4644.7633750092691</v>
      </c>
      <c r="DU21" s="8">
        <v>191000</v>
      </c>
      <c r="DV21" s="8">
        <v>191463.00224399724</v>
      </c>
      <c r="DW21" s="8">
        <v>186065.1927880249</v>
      </c>
      <c r="DX21" s="8">
        <v>49950</v>
      </c>
      <c r="DY21" s="8">
        <v>51096.458681947122</v>
      </c>
      <c r="DZ21" s="8">
        <v>49077.210293908072</v>
      </c>
      <c r="EA21" s="8">
        <v>10300</v>
      </c>
      <c r="EB21" s="8">
        <v>10337.87786351236</v>
      </c>
      <c r="EC21" s="8">
        <v>10029.967033333347</v>
      </c>
      <c r="ED21" s="8">
        <v>1339000</v>
      </c>
      <c r="EE21" s="8">
        <v>1272489.5413044614</v>
      </c>
      <c r="EF21" s="8">
        <v>1243664.9044174678</v>
      </c>
      <c r="EG21" s="8">
        <v>103500</v>
      </c>
      <c r="EH21" s="8">
        <v>103170.20797052429</v>
      </c>
      <c r="EI21" s="8">
        <v>99534.988685643737</v>
      </c>
      <c r="EJ21" s="8">
        <v>277000</v>
      </c>
      <c r="EK21" s="8">
        <v>280459.49453061231</v>
      </c>
      <c r="EL21" s="8">
        <v>272024.87338955316</v>
      </c>
      <c r="EM21" s="8">
        <v>11550</v>
      </c>
      <c r="EN21" s="8">
        <v>11518.207789532618</v>
      </c>
      <c r="EO21" s="8">
        <v>11197.410877663235</v>
      </c>
      <c r="EP21" s="8">
        <v>53300</v>
      </c>
      <c r="EQ21" s="8">
        <v>54432.615067171202</v>
      </c>
      <c r="ER21" s="8">
        <v>52603.983969697845</v>
      </c>
      <c r="ES21" s="8">
        <v>10900</v>
      </c>
      <c r="ET21" s="8">
        <v>10710.835996897105</v>
      </c>
      <c r="EU21" s="8">
        <v>10278.236985583098</v>
      </c>
      <c r="EV21">
        <v>266000</v>
      </c>
      <c r="EW21">
        <v>269971.63649615285</v>
      </c>
      <c r="EX21">
        <v>258310.86627272662</v>
      </c>
      <c r="EY21">
        <v>30650</v>
      </c>
      <c r="EZ21">
        <v>30687.432972779632</v>
      </c>
      <c r="FA21">
        <v>29848.843809157494</v>
      </c>
      <c r="FB21">
        <v>2445</v>
      </c>
      <c r="FC21">
        <v>2324.5468746067272</v>
      </c>
      <c r="FD21">
        <v>2244.4906622795688</v>
      </c>
      <c r="FE21">
        <v>53000</v>
      </c>
      <c r="FF21">
        <v>51947.094988379955</v>
      </c>
      <c r="FG21">
        <v>50884.959254226043</v>
      </c>
      <c r="FH21">
        <v>42050</v>
      </c>
      <c r="FI21">
        <v>41132.96003024833</v>
      </c>
      <c r="FJ21">
        <v>39016.034912870935</v>
      </c>
      <c r="FK21">
        <v>72900</v>
      </c>
      <c r="FL21">
        <v>72100.012882178227</v>
      </c>
      <c r="FM21">
        <v>70282.312120472387</v>
      </c>
      <c r="FN21">
        <v>29850</v>
      </c>
      <c r="FO21">
        <v>30259.588505472206</v>
      </c>
      <c r="FP21">
        <v>29322.2683288363</v>
      </c>
      <c r="FQ21">
        <v>27500</v>
      </c>
      <c r="FR21">
        <v>27577.017075396125</v>
      </c>
      <c r="FS21">
        <v>26499.867855632685</v>
      </c>
      <c r="FT21">
        <v>875000</v>
      </c>
      <c r="FU21">
        <v>824686.74690850754</v>
      </c>
      <c r="FV21">
        <v>800446.7546693309</v>
      </c>
      <c r="FW21">
        <v>16100</v>
      </c>
      <c r="FX21">
        <v>16230.111615059082</v>
      </c>
      <c r="FY21">
        <v>15635.255819549904</v>
      </c>
      <c r="FZ21">
        <v>26000</v>
      </c>
      <c r="GA21">
        <v>24451.635861727485</v>
      </c>
      <c r="GB21">
        <v>23519.168068996689</v>
      </c>
      <c r="GC21">
        <v>19450</v>
      </c>
      <c r="GD21">
        <v>18964.886217438761</v>
      </c>
      <c r="GE21">
        <v>18522.194801182155</v>
      </c>
      <c r="GF21">
        <v>147500</v>
      </c>
      <c r="GG21">
        <v>150944.82152305098</v>
      </c>
      <c r="GH21">
        <v>145946.98001650706</v>
      </c>
      <c r="GI21">
        <v>4200</v>
      </c>
      <c r="GJ21">
        <v>4198.3815119295532</v>
      </c>
      <c r="GK21">
        <v>3941.4797617200252</v>
      </c>
      <c r="GL21">
        <v>9400</v>
      </c>
      <c r="GM21">
        <v>8773.2458208128883</v>
      </c>
      <c r="GN21">
        <v>8351.1106353289724</v>
      </c>
      <c r="GO21">
        <v>607000</v>
      </c>
      <c r="GP21">
        <v>599200.02249409247</v>
      </c>
      <c r="GQ21">
        <v>577224.70665187645</v>
      </c>
      <c r="GR21">
        <v>53700</v>
      </c>
      <c r="GS21">
        <v>53491.091019016152</v>
      </c>
      <c r="GT21">
        <v>52741.627958770579</v>
      </c>
      <c r="GU21">
        <v>7380</v>
      </c>
      <c r="GV21">
        <v>7280.7781683256662</v>
      </c>
      <c r="GW21">
        <v>6938.9142500366024</v>
      </c>
      <c r="GX21">
        <v>27100</v>
      </c>
      <c r="GY21">
        <v>26729.457404424975</v>
      </c>
      <c r="GZ21">
        <v>25641.719176128361</v>
      </c>
      <c r="HA21">
        <v>5520</v>
      </c>
      <c r="HB21">
        <v>5384.0001277095698</v>
      </c>
      <c r="HC21">
        <v>5194.4660915998629</v>
      </c>
      <c r="HD21">
        <v>30700</v>
      </c>
      <c r="HE21">
        <v>30672.347084040179</v>
      </c>
      <c r="HF21">
        <v>29243.358432721863</v>
      </c>
      <c r="HG21">
        <v>9140</v>
      </c>
      <c r="HH21">
        <v>8837.1885590663751</v>
      </c>
      <c r="HI21">
        <v>8534.3101885489395</v>
      </c>
      <c r="HJ21">
        <v>3815</v>
      </c>
      <c r="HK21">
        <v>3626.5606693198874</v>
      </c>
      <c r="HL21">
        <v>3489.4868236888265</v>
      </c>
    </row>
    <row r="22" spans="1:220" x14ac:dyDescent="0.4">
      <c r="A22" s="11">
        <v>41451</v>
      </c>
      <c r="B22" s="8">
        <v>320200</v>
      </c>
      <c r="C22" s="8">
        <v>322992.88805030263</v>
      </c>
      <c r="D22" s="8">
        <v>313999.37915083225</v>
      </c>
      <c r="E22" s="8">
        <v>134000</v>
      </c>
      <c r="F22" s="8">
        <v>135774.16450757731</v>
      </c>
      <c r="G22" s="8">
        <v>132857.07992227547</v>
      </c>
      <c r="H22" s="8">
        <v>35350</v>
      </c>
      <c r="I22" s="8">
        <v>36254.799780006731</v>
      </c>
      <c r="J22" s="8">
        <v>34472.932557161883</v>
      </c>
      <c r="K22" s="8">
        <v>53000</v>
      </c>
      <c r="L22" s="8">
        <v>52311.067555315887</v>
      </c>
      <c r="M22" s="8">
        <v>50257.466844028451</v>
      </c>
      <c r="N22" s="8">
        <v>234500</v>
      </c>
      <c r="O22" s="8">
        <v>236581.17563264852</v>
      </c>
      <c r="P22" s="8">
        <v>230797.95937560019</v>
      </c>
      <c r="Q22" s="8">
        <v>78000</v>
      </c>
      <c r="R22" s="8">
        <v>77234.180852328878</v>
      </c>
      <c r="S22" s="8">
        <v>75186.458115134359</v>
      </c>
      <c r="T22" s="8">
        <v>15750</v>
      </c>
      <c r="U22" s="8">
        <v>16014.340674164961</v>
      </c>
      <c r="V22" s="8">
        <v>15413.337341512428</v>
      </c>
      <c r="W22" s="8">
        <v>13550</v>
      </c>
      <c r="X22" s="8">
        <v>13540.267537624575</v>
      </c>
      <c r="Y22" s="8">
        <v>13081.545813095678</v>
      </c>
      <c r="Z22" s="8">
        <v>19450</v>
      </c>
      <c r="AA22" s="8">
        <v>19275.182710178055</v>
      </c>
      <c r="AB22" s="8">
        <v>18487.592135416638</v>
      </c>
      <c r="AC22" s="8">
        <v>10400</v>
      </c>
      <c r="AD22" s="8">
        <v>10426.227026174498</v>
      </c>
      <c r="AE22" s="8">
        <v>10087.739132863357</v>
      </c>
      <c r="AF22" s="8">
        <v>30000</v>
      </c>
      <c r="AG22" s="8">
        <v>29902.261587678146</v>
      </c>
      <c r="AH22" s="8">
        <v>28551.377869422005</v>
      </c>
      <c r="AI22" s="8">
        <v>43350</v>
      </c>
      <c r="AJ22" s="8">
        <v>43998.777559806018</v>
      </c>
      <c r="AK22" s="8">
        <v>42961.942392542376</v>
      </c>
      <c r="AL22" s="8">
        <v>11300</v>
      </c>
      <c r="AM22" s="8">
        <v>11857.609972691153</v>
      </c>
      <c r="AN22" s="8">
        <v>11298.791230735169</v>
      </c>
      <c r="AO22" s="8">
        <v>19150</v>
      </c>
      <c r="AP22" s="8">
        <v>19193.025502525699</v>
      </c>
      <c r="AQ22" s="8">
        <v>18449.627899887222</v>
      </c>
      <c r="AR22" s="8">
        <v>23350</v>
      </c>
      <c r="AS22" s="8">
        <v>23443.359811456103</v>
      </c>
      <c r="AT22" s="8">
        <v>22661.67249510876</v>
      </c>
      <c r="AU22" s="8">
        <v>130500</v>
      </c>
      <c r="AV22" s="8">
        <v>131653.63888817641</v>
      </c>
      <c r="AW22" s="8">
        <v>127259.2502993966</v>
      </c>
      <c r="AX22" s="8">
        <v>530000</v>
      </c>
      <c r="AY22" s="8">
        <v>530804.96732618578</v>
      </c>
      <c r="AZ22" s="8">
        <v>516970.73785198084</v>
      </c>
      <c r="BA22" s="8">
        <v>176000</v>
      </c>
      <c r="BB22" s="8">
        <v>180191.2754859202</v>
      </c>
      <c r="BC22" s="8">
        <v>176151.06745495016</v>
      </c>
      <c r="BD22" s="8">
        <v>34100</v>
      </c>
      <c r="BE22" s="8">
        <v>34608.07448261993</v>
      </c>
      <c r="BF22" s="8">
        <v>33221.039646036443</v>
      </c>
      <c r="BG22" s="8">
        <v>30900</v>
      </c>
      <c r="BH22" s="8">
        <v>31585.747872247706</v>
      </c>
      <c r="BI22" s="8">
        <v>30406.216416079176</v>
      </c>
      <c r="BJ22" s="8">
        <v>63600</v>
      </c>
      <c r="BK22" s="8">
        <v>62671.562462668153</v>
      </c>
      <c r="BL22" s="8">
        <v>60967.024267019602</v>
      </c>
      <c r="BM22" s="8">
        <v>975000</v>
      </c>
      <c r="BN22" s="8">
        <v>977379.36372257117</v>
      </c>
      <c r="BO22" s="8">
        <v>948948.18655655079</v>
      </c>
      <c r="BP22" s="8">
        <v>37800</v>
      </c>
      <c r="BQ22" s="8">
        <v>36972.272472974015</v>
      </c>
      <c r="BR22" s="8">
        <v>35284.004731201298</v>
      </c>
      <c r="BS22" s="8">
        <v>108500</v>
      </c>
      <c r="BT22" s="8">
        <v>104398.08682404064</v>
      </c>
      <c r="BU22" s="8">
        <v>101076.3966425809</v>
      </c>
      <c r="BV22" s="8">
        <v>36000</v>
      </c>
      <c r="BW22" s="8">
        <v>35546.205873438834</v>
      </c>
      <c r="BX22" s="8">
        <v>34281.043371654778</v>
      </c>
      <c r="BY22" s="8">
        <v>24200</v>
      </c>
      <c r="BZ22" s="8">
        <v>23690.559199990821</v>
      </c>
      <c r="CA22" s="8">
        <v>22513.182595008326</v>
      </c>
      <c r="CB22" s="8">
        <v>84300</v>
      </c>
      <c r="CC22" s="8">
        <v>85034.521920451181</v>
      </c>
      <c r="CD22" s="8">
        <v>82574.347530566258</v>
      </c>
      <c r="CE22" s="8">
        <v>14800</v>
      </c>
      <c r="CF22" s="8">
        <v>14368.218003684484</v>
      </c>
      <c r="CG22" s="8">
        <v>13962.779597831883</v>
      </c>
      <c r="CH22" s="8">
        <v>60000</v>
      </c>
      <c r="CI22" s="8">
        <v>57077.191252407159</v>
      </c>
      <c r="CJ22" s="8">
        <v>55272.424966721854</v>
      </c>
      <c r="CK22" s="8">
        <v>292500</v>
      </c>
      <c r="CL22" s="8">
        <v>294818.70066121191</v>
      </c>
      <c r="CM22" s="8">
        <v>290582.97523082118</v>
      </c>
      <c r="CN22" s="8">
        <v>102500</v>
      </c>
      <c r="CO22" s="8">
        <v>105282.92599479959</v>
      </c>
      <c r="CP22" s="8">
        <v>102491.73931782493</v>
      </c>
      <c r="CQ22" s="8">
        <v>71700</v>
      </c>
      <c r="CR22" s="8">
        <v>71957.855964847622</v>
      </c>
      <c r="CS22" s="8">
        <v>70726.91354558384</v>
      </c>
      <c r="CT22" s="8">
        <v>18800</v>
      </c>
      <c r="CU22" s="8">
        <v>18648.456985799356</v>
      </c>
      <c r="CV22" s="8">
        <v>17858.159461158386</v>
      </c>
      <c r="CW22" s="8">
        <v>125000</v>
      </c>
      <c r="CX22" s="8">
        <v>125087.07922490683</v>
      </c>
      <c r="CY22" s="8">
        <v>122873.74583215902</v>
      </c>
      <c r="CZ22" s="8">
        <v>22250</v>
      </c>
      <c r="DA22" s="8">
        <v>22280.810230953753</v>
      </c>
      <c r="DB22" s="8">
        <v>21459.146676214143</v>
      </c>
      <c r="DC22" s="8">
        <v>21200</v>
      </c>
      <c r="DD22" s="8">
        <v>22097.151061169545</v>
      </c>
      <c r="DE22" s="8">
        <v>21529.087254468825</v>
      </c>
      <c r="DF22" s="8">
        <v>58800</v>
      </c>
      <c r="DG22" s="8">
        <v>59090.715745281123</v>
      </c>
      <c r="DH22" s="8">
        <v>57603.627104960753</v>
      </c>
      <c r="DI22" s="8">
        <v>155000</v>
      </c>
      <c r="DJ22" s="8">
        <v>154676.61653167687</v>
      </c>
      <c r="DK22" s="8">
        <v>150082.70190603129</v>
      </c>
      <c r="DL22" s="8">
        <v>26050</v>
      </c>
      <c r="DM22" s="8">
        <v>26190.841689992063</v>
      </c>
      <c r="DN22" s="8">
        <v>25352.236289287615</v>
      </c>
      <c r="DO22" s="8">
        <v>23700</v>
      </c>
      <c r="DP22" s="8">
        <v>24042.599152498668</v>
      </c>
      <c r="DQ22" s="8">
        <v>23207.109559206878</v>
      </c>
      <c r="DR22" s="8">
        <v>4710</v>
      </c>
      <c r="DS22" s="8">
        <v>4673.8181717699499</v>
      </c>
      <c r="DT22" s="8">
        <v>4526.4254546268685</v>
      </c>
      <c r="DU22" s="8">
        <v>188500</v>
      </c>
      <c r="DV22" s="8">
        <v>192478.72108879313</v>
      </c>
      <c r="DW22" s="8">
        <v>187052.27603888989</v>
      </c>
      <c r="DX22" s="8">
        <v>50000</v>
      </c>
      <c r="DY22" s="8">
        <v>49052.600334669209</v>
      </c>
      <c r="DZ22" s="8">
        <v>47114.121882151725</v>
      </c>
      <c r="EA22" s="8">
        <v>10200</v>
      </c>
      <c r="EB22" s="8">
        <v>10388.553735392339</v>
      </c>
      <c r="EC22" s="8">
        <v>10079.133538398723</v>
      </c>
      <c r="ED22" s="8">
        <v>1261000</v>
      </c>
      <c r="EE22" s="8">
        <v>1308817.5535859547</v>
      </c>
      <c r="EF22" s="8">
        <v>1279170.0087465965</v>
      </c>
      <c r="EG22" s="8">
        <v>101500</v>
      </c>
      <c r="EH22" s="8">
        <v>101645.52509411259</v>
      </c>
      <c r="EI22" s="8">
        <v>98064.028261717947</v>
      </c>
      <c r="EJ22" s="8">
        <v>276000</v>
      </c>
      <c r="EK22" s="8">
        <v>273854.47020289884</v>
      </c>
      <c r="EL22" s="8">
        <v>265618.49050175591</v>
      </c>
      <c r="EM22" s="8">
        <v>11350</v>
      </c>
      <c r="EN22" s="8">
        <v>11365.98477909826</v>
      </c>
      <c r="EO22" s="8">
        <v>11049.42747399367</v>
      </c>
      <c r="EP22" s="8">
        <v>53300</v>
      </c>
      <c r="EQ22" s="8">
        <v>55249.614918085586</v>
      </c>
      <c r="ER22" s="8">
        <v>53393.537200012259</v>
      </c>
      <c r="ES22" s="8">
        <v>10500</v>
      </c>
      <c r="ET22" s="8">
        <v>10761.839977834714</v>
      </c>
      <c r="EU22" s="8">
        <v>10327.180971228736</v>
      </c>
      <c r="EV22">
        <v>265000</v>
      </c>
      <c r="EW22">
        <v>268952.87560371449</v>
      </c>
      <c r="EX22">
        <v>257336.1082867918</v>
      </c>
      <c r="EY22">
        <v>30250</v>
      </c>
      <c r="EZ22">
        <v>29926.587527173557</v>
      </c>
      <c r="FA22">
        <v>29108.789830418082</v>
      </c>
      <c r="FB22">
        <v>2285</v>
      </c>
      <c r="FC22">
        <v>2288.9411237921836</v>
      </c>
      <c r="FD22">
        <v>2210.11115541752</v>
      </c>
      <c r="FE22">
        <v>51600</v>
      </c>
      <c r="FF22">
        <v>52853.148970735456</v>
      </c>
      <c r="FG22">
        <v>51772.487613311423</v>
      </c>
      <c r="FH22">
        <v>40000</v>
      </c>
      <c r="FI22">
        <v>40207.468429567751</v>
      </c>
      <c r="FJ22">
        <v>38138.174127331353</v>
      </c>
      <c r="FK22">
        <v>71300</v>
      </c>
      <c r="FL22">
        <v>70482.060278931676</v>
      </c>
      <c r="FM22">
        <v>68705.149436142092</v>
      </c>
      <c r="FN22">
        <v>29900</v>
      </c>
      <c r="FO22">
        <v>30006.581912617108</v>
      </c>
      <c r="FP22">
        <v>29077.098861203911</v>
      </c>
      <c r="FQ22">
        <v>26900</v>
      </c>
      <c r="FR22">
        <v>27577.017075396125</v>
      </c>
      <c r="FS22">
        <v>26499.867855632685</v>
      </c>
      <c r="FT22">
        <v>813000</v>
      </c>
      <c r="FU22">
        <v>813528.62364160339</v>
      </c>
      <c r="FV22">
        <v>789616.60177712643</v>
      </c>
      <c r="FW22">
        <v>16000</v>
      </c>
      <c r="FX22">
        <v>16128.67341746497</v>
      </c>
      <c r="FY22">
        <v>15537.535470677723</v>
      </c>
      <c r="FZ22">
        <v>24050</v>
      </c>
      <c r="GA22">
        <v>23434.935825896824</v>
      </c>
      <c r="GB22">
        <v>22541.240082759825</v>
      </c>
      <c r="GC22">
        <v>18800</v>
      </c>
      <c r="GD22">
        <v>18712.693581568557</v>
      </c>
      <c r="GE22">
        <v>18275.889019251536</v>
      </c>
      <c r="GF22">
        <v>148500</v>
      </c>
      <c r="GG22">
        <v>156027.13874604926</v>
      </c>
      <c r="GH22">
        <v>150861.01974770252</v>
      </c>
      <c r="GI22">
        <v>4040</v>
      </c>
      <c r="GJ22">
        <v>4052.893043694366</v>
      </c>
      <c r="GK22">
        <v>3804.8938293831879</v>
      </c>
      <c r="GL22">
        <v>8550</v>
      </c>
      <c r="GM22">
        <v>8024.1850665212578</v>
      </c>
      <c r="GN22">
        <v>7638.0918325464963</v>
      </c>
      <c r="GO22">
        <v>590000</v>
      </c>
      <c r="GP22">
        <v>595137.64946023363</v>
      </c>
      <c r="GQ22">
        <v>573311.3188101683</v>
      </c>
      <c r="GR22">
        <v>53200</v>
      </c>
      <c r="GS22">
        <v>53088.902364737827</v>
      </c>
      <c r="GT22">
        <v>52345.074365095599</v>
      </c>
      <c r="GU22">
        <v>7100</v>
      </c>
      <c r="GV22">
        <v>6901.3573342016571</v>
      </c>
      <c r="GW22">
        <v>6577.3088595417421</v>
      </c>
      <c r="GX22">
        <v>26100</v>
      </c>
      <c r="GY22">
        <v>25500.516834106595</v>
      </c>
      <c r="GZ22">
        <v>24462.789558835109</v>
      </c>
      <c r="HA22">
        <v>5280</v>
      </c>
      <c r="HB22">
        <v>5251.439518504606</v>
      </c>
      <c r="HC22">
        <v>5066.5720401021454</v>
      </c>
      <c r="HD22">
        <v>29850</v>
      </c>
      <c r="HE22">
        <v>29285.155507375075</v>
      </c>
      <c r="HF22">
        <v>27920.794483503316</v>
      </c>
      <c r="HG22">
        <v>8700</v>
      </c>
      <c r="HH22">
        <v>8613.7194230899822</v>
      </c>
      <c r="HI22">
        <v>8318.5000458499999</v>
      </c>
      <c r="HJ22">
        <v>3565</v>
      </c>
      <c r="HK22">
        <v>3433.2797360321497</v>
      </c>
      <c r="HL22">
        <v>3303.5113688498686</v>
      </c>
    </row>
    <row r="23" spans="1:220" x14ac:dyDescent="0.4">
      <c r="A23" s="11">
        <v>41450</v>
      </c>
      <c r="B23" s="8">
        <v>317300</v>
      </c>
      <c r="C23" s="8">
        <v>336022.54127136752</v>
      </c>
      <c r="D23" s="8">
        <v>326666.23087831627</v>
      </c>
      <c r="E23" s="8">
        <v>134000</v>
      </c>
      <c r="F23" s="8">
        <v>139827.1246421317</v>
      </c>
      <c r="G23" s="8">
        <v>136822.96290502982</v>
      </c>
      <c r="H23" s="8">
        <v>35650</v>
      </c>
      <c r="I23" s="8">
        <v>37627.702436472617</v>
      </c>
      <c r="J23" s="8">
        <v>35778.359175736034</v>
      </c>
      <c r="K23" s="8">
        <v>51200</v>
      </c>
      <c r="L23" s="8">
        <v>53026.257932048713</v>
      </c>
      <c r="M23" s="8">
        <v>50944.580648536641</v>
      </c>
      <c r="N23" s="8">
        <v>233500</v>
      </c>
      <c r="O23" s="8">
        <v>237087.77343914245</v>
      </c>
      <c r="P23" s="8">
        <v>231292.1734213724</v>
      </c>
      <c r="Q23" s="8">
        <v>76000</v>
      </c>
      <c r="R23" s="8">
        <v>78250.420074070062</v>
      </c>
      <c r="S23" s="8">
        <v>76175.753616649308</v>
      </c>
      <c r="T23" s="8">
        <v>15700</v>
      </c>
      <c r="U23" s="8">
        <v>16473.350438711077</v>
      </c>
      <c r="V23" s="8">
        <v>15855.120895886976</v>
      </c>
      <c r="W23" s="8">
        <v>13300</v>
      </c>
      <c r="X23" s="8">
        <v>13998.396890401353</v>
      </c>
      <c r="Y23" s="8">
        <v>13524.154506019973</v>
      </c>
      <c r="Z23" s="8">
        <v>18850</v>
      </c>
      <c r="AA23" s="8">
        <v>19377.438321372614</v>
      </c>
      <c r="AB23" s="8">
        <v>18585.669547275593</v>
      </c>
      <c r="AC23" s="8">
        <v>10300</v>
      </c>
      <c r="AD23" s="8">
        <v>10527.452531282985</v>
      </c>
      <c r="AE23" s="8">
        <v>10185.678347745521</v>
      </c>
      <c r="AF23" s="8">
        <v>29350</v>
      </c>
      <c r="AG23" s="8">
        <v>32602.125070040893</v>
      </c>
      <c r="AH23" s="8">
        <v>31129.270590170487</v>
      </c>
      <c r="AI23" s="8">
        <v>43400</v>
      </c>
      <c r="AJ23" s="8">
        <v>45519.472636757841</v>
      </c>
      <c r="AK23" s="8">
        <v>44446.802152653283</v>
      </c>
      <c r="AL23" s="8">
        <v>11500</v>
      </c>
      <c r="AM23" s="8">
        <v>11599.83584285004</v>
      </c>
      <c r="AN23" s="8">
        <v>11053.165334414836</v>
      </c>
      <c r="AO23" s="8">
        <v>18750</v>
      </c>
      <c r="AP23" s="8">
        <v>19602.476713246244</v>
      </c>
      <c r="AQ23" s="8">
        <v>18843.219961751482</v>
      </c>
      <c r="AR23" s="8">
        <v>23050</v>
      </c>
      <c r="AS23" s="8">
        <v>23748.479461930609</v>
      </c>
      <c r="AT23" s="8">
        <v>22956.61834103211</v>
      </c>
      <c r="AU23" s="8">
        <v>130000</v>
      </c>
      <c r="AV23" s="8">
        <v>129628.19828989677</v>
      </c>
      <c r="AW23" s="8">
        <v>125301.41567940588</v>
      </c>
      <c r="AX23" s="8">
        <v>524000</v>
      </c>
      <c r="AY23" s="8">
        <v>536882.88679938647</v>
      </c>
      <c r="AZ23" s="8">
        <v>522890.2501174616</v>
      </c>
      <c r="BA23" s="8">
        <v>178500</v>
      </c>
      <c r="BB23" s="8">
        <v>181705.48788496148</v>
      </c>
      <c r="BC23" s="8">
        <v>177631.32852600008</v>
      </c>
      <c r="BD23" s="8">
        <v>33800</v>
      </c>
      <c r="BE23" s="8">
        <v>35324.80975297009</v>
      </c>
      <c r="BF23" s="8">
        <v>33909.049342847888</v>
      </c>
      <c r="BG23" s="8">
        <v>30900</v>
      </c>
      <c r="BH23" s="8">
        <v>33067.926979521464</v>
      </c>
      <c r="BI23" s="8">
        <v>31833.045341752793</v>
      </c>
      <c r="BJ23" s="8">
        <v>62000</v>
      </c>
      <c r="BK23" s="8">
        <v>62267.229801618581</v>
      </c>
      <c r="BL23" s="8">
        <v>60573.688626587122</v>
      </c>
      <c r="BM23" s="8">
        <v>964000</v>
      </c>
      <c r="BN23" s="8">
        <v>1032128.8301551633</v>
      </c>
      <c r="BO23" s="8">
        <v>1002105.0351810878</v>
      </c>
      <c r="BP23" s="8">
        <v>36000</v>
      </c>
      <c r="BQ23" s="8">
        <v>39539.791394708293</v>
      </c>
      <c r="BR23" s="8">
        <v>37734.282837534694</v>
      </c>
      <c r="BS23" s="8">
        <v>103000</v>
      </c>
      <c r="BT23" s="8">
        <v>108452.38145798401</v>
      </c>
      <c r="BU23" s="8">
        <v>105001.69359957438</v>
      </c>
      <c r="BV23" s="8">
        <v>34950</v>
      </c>
      <c r="BW23" s="8">
        <v>36054.735285075978</v>
      </c>
      <c r="BX23" s="8">
        <v>34771.473176685577</v>
      </c>
      <c r="BY23" s="8">
        <v>22950</v>
      </c>
      <c r="BZ23" s="8">
        <v>26322.843555545369</v>
      </c>
      <c r="CA23" s="8">
        <v>25014.647327787039</v>
      </c>
      <c r="CB23" s="8">
        <v>83900</v>
      </c>
      <c r="CC23" s="8">
        <v>86352.100925178063</v>
      </c>
      <c r="CD23" s="8">
        <v>83853.80702746418</v>
      </c>
      <c r="CE23" s="8">
        <v>14200</v>
      </c>
      <c r="CF23" s="8">
        <v>14975.325806657074</v>
      </c>
      <c r="CG23" s="8">
        <v>14552.75620055718</v>
      </c>
      <c r="CH23" s="8">
        <v>56000</v>
      </c>
      <c r="CI23" s="8">
        <v>61154.13348472197</v>
      </c>
      <c r="CJ23" s="8">
        <v>59220.455321487709</v>
      </c>
      <c r="CK23" s="8">
        <v>293000</v>
      </c>
      <c r="CL23" s="8">
        <v>294315.59707646631</v>
      </c>
      <c r="CM23" s="8">
        <v>290087.09984646871</v>
      </c>
      <c r="CN23" s="8">
        <v>103500</v>
      </c>
      <c r="CO23" s="8">
        <v>103757.08648762858</v>
      </c>
      <c r="CP23" s="8">
        <v>101006.35179147964</v>
      </c>
      <c r="CQ23" s="8">
        <v>71600</v>
      </c>
      <c r="CR23" s="8">
        <v>70751.858378844496</v>
      </c>
      <c r="CS23" s="8">
        <v>69541.546279456656</v>
      </c>
      <c r="CT23" s="8">
        <v>18300</v>
      </c>
      <c r="CU23" s="8">
        <v>18852.26525886817</v>
      </c>
      <c r="CV23" s="8">
        <v>18053.330602810362</v>
      </c>
      <c r="CW23" s="8">
        <v>124000</v>
      </c>
      <c r="CX23" s="8">
        <v>128113.37952873508</v>
      </c>
      <c r="CY23" s="8">
        <v>125846.49774745305</v>
      </c>
      <c r="CZ23" s="8">
        <v>21800</v>
      </c>
      <c r="DA23" s="8">
        <v>24018.304606762078</v>
      </c>
      <c r="DB23" s="8">
        <v>23132.566371148278</v>
      </c>
      <c r="DC23" s="8">
        <v>21750</v>
      </c>
      <c r="DD23" s="8">
        <v>22757.5256905838</v>
      </c>
      <c r="DE23" s="8">
        <v>22172.485264372484</v>
      </c>
      <c r="DF23" s="8">
        <v>58200</v>
      </c>
      <c r="DG23" s="8">
        <v>57364.69827505813</v>
      </c>
      <c r="DH23" s="8">
        <v>55921.046931791796</v>
      </c>
      <c r="DI23" s="8">
        <v>152000</v>
      </c>
      <c r="DJ23" s="8">
        <v>159255.85846847002</v>
      </c>
      <c r="DK23" s="8">
        <v>154525.93979140729</v>
      </c>
      <c r="DL23" s="8">
        <v>25700</v>
      </c>
      <c r="DM23" s="8">
        <v>27209.940588435329</v>
      </c>
      <c r="DN23" s="8">
        <v>26338.704627392188</v>
      </c>
      <c r="DO23" s="8">
        <v>23650</v>
      </c>
      <c r="DP23" s="8">
        <v>24398.409287947896</v>
      </c>
      <c r="DQ23" s="8">
        <v>23550.5551552205</v>
      </c>
      <c r="DR23" s="8">
        <v>4590</v>
      </c>
      <c r="DS23" s="8">
        <v>4775.6442757300783</v>
      </c>
      <c r="DT23" s="8">
        <v>4625.0403882788687</v>
      </c>
      <c r="DU23" s="8">
        <v>189500</v>
      </c>
      <c r="DV23" s="8">
        <v>191970.86166639515</v>
      </c>
      <c r="DW23" s="8">
        <v>186558.73441345737</v>
      </c>
      <c r="DX23" s="8">
        <v>48000</v>
      </c>
      <c r="DY23" s="8">
        <v>51096.458681947122</v>
      </c>
      <c r="DZ23" s="8">
        <v>49077.210293908072</v>
      </c>
      <c r="EA23" s="8">
        <v>10250</v>
      </c>
      <c r="EB23" s="8">
        <v>10287.201991632399</v>
      </c>
      <c r="EC23" s="8">
        <v>9980.8005282679896</v>
      </c>
      <c r="ED23" s="8">
        <v>1297000</v>
      </c>
      <c r="EE23" s="8">
        <v>1324963.3368221726</v>
      </c>
      <c r="EF23" s="8">
        <v>1294950.0551150967</v>
      </c>
      <c r="EG23" s="8">
        <v>100000</v>
      </c>
      <c r="EH23" s="8">
        <v>103678.43559599483</v>
      </c>
      <c r="EI23" s="8">
        <v>100025.30882695231</v>
      </c>
      <c r="EJ23" s="8">
        <v>269500</v>
      </c>
      <c r="EK23" s="8">
        <v>275378.70658621733</v>
      </c>
      <c r="EL23" s="8">
        <v>267096.88655278605</v>
      </c>
      <c r="EM23" s="8">
        <v>11200</v>
      </c>
      <c r="EN23" s="8">
        <v>11568.948793010735</v>
      </c>
      <c r="EO23" s="8">
        <v>11246.738678886421</v>
      </c>
      <c r="EP23" s="8">
        <v>54100</v>
      </c>
      <c r="EQ23" s="8">
        <v>56168.739750364279</v>
      </c>
      <c r="ER23" s="8">
        <v>54281.784584115972</v>
      </c>
      <c r="ES23" s="8">
        <v>10550</v>
      </c>
      <c r="ET23" s="8">
        <v>11934.931539399648</v>
      </c>
      <c r="EU23" s="8">
        <v>11452.892641078324</v>
      </c>
      <c r="EV23">
        <v>264000</v>
      </c>
      <c r="EW23">
        <v>274046.68006590637</v>
      </c>
      <c r="EX23">
        <v>262209.89821646619</v>
      </c>
      <c r="EY23">
        <v>29500</v>
      </c>
      <c r="EZ23">
        <v>30180.202675708922</v>
      </c>
      <c r="FA23">
        <v>29355.47448999789</v>
      </c>
      <c r="FB23">
        <v>2250</v>
      </c>
      <c r="FC23">
        <v>2441.5371987116623</v>
      </c>
      <c r="FD23">
        <v>2357.4518991120212</v>
      </c>
      <c r="FE23">
        <v>52500</v>
      </c>
      <c r="FF23">
        <v>53759.202953090891</v>
      </c>
      <c r="FG23">
        <v>52660.01597239673</v>
      </c>
      <c r="FH23">
        <v>39100</v>
      </c>
      <c r="FI23">
        <v>47302.904034785606</v>
      </c>
      <c r="FJ23">
        <v>44868.440149801601</v>
      </c>
      <c r="FK23">
        <v>69700</v>
      </c>
      <c r="FL23">
        <v>71189.914542851984</v>
      </c>
      <c r="FM23">
        <v>69395.158110536533</v>
      </c>
      <c r="FN23">
        <v>29650</v>
      </c>
      <c r="FO23">
        <v>29702.974001190967</v>
      </c>
      <c r="FP23">
        <v>28782.895500045019</v>
      </c>
      <c r="FQ23">
        <v>26900</v>
      </c>
      <c r="FR23">
        <v>28960.99376877103</v>
      </c>
      <c r="FS23">
        <v>27829.786874409801</v>
      </c>
      <c r="FT23">
        <v>802000</v>
      </c>
      <c r="FU23">
        <v>833816.12049052143</v>
      </c>
      <c r="FV23">
        <v>809307.78885386302</v>
      </c>
      <c r="FW23">
        <v>15900</v>
      </c>
      <c r="FX23">
        <v>16940.178998217914</v>
      </c>
      <c r="FY23">
        <v>16319.298261655209</v>
      </c>
      <c r="FZ23">
        <v>23050</v>
      </c>
      <c r="GA23">
        <v>24959.985879642813</v>
      </c>
      <c r="GB23">
        <v>24008.132062115121</v>
      </c>
      <c r="GC23">
        <v>18550</v>
      </c>
      <c r="GD23">
        <v>19570.148543527252</v>
      </c>
      <c r="GE23">
        <v>19113.328677815647</v>
      </c>
      <c r="GF23">
        <v>153500</v>
      </c>
      <c r="GG23">
        <v>160601.22424674797</v>
      </c>
      <c r="GH23">
        <v>155283.6555057787</v>
      </c>
      <c r="GI23">
        <v>3900</v>
      </c>
      <c r="GJ23">
        <v>4427.0062477276933</v>
      </c>
      <c r="GK23">
        <v>4156.1147982493294</v>
      </c>
      <c r="GL23">
        <v>7820</v>
      </c>
      <c r="GM23">
        <v>9245.2567070788446</v>
      </c>
      <c r="GN23">
        <v>8800.4101548905328</v>
      </c>
      <c r="GO23">
        <v>586000</v>
      </c>
      <c r="GP23">
        <v>631699.00676495861</v>
      </c>
      <c r="GQ23">
        <v>608531.80938553775</v>
      </c>
      <c r="GR23">
        <v>52800</v>
      </c>
      <c r="GS23">
        <v>53189.449528307407</v>
      </c>
      <c r="GT23">
        <v>52444.212763514348</v>
      </c>
      <c r="GU23">
        <v>6730</v>
      </c>
      <c r="GV23">
        <v>7516.6343625108602</v>
      </c>
      <c r="GW23">
        <v>7163.6959792631369</v>
      </c>
      <c r="GX23">
        <v>24900</v>
      </c>
      <c r="GY23">
        <v>26319.810547652178</v>
      </c>
      <c r="GZ23">
        <v>25248.742637030606</v>
      </c>
      <c r="HA23">
        <v>5150</v>
      </c>
      <c r="HB23">
        <v>5516.5607369145437</v>
      </c>
      <c r="HC23">
        <v>5322.3601430975896</v>
      </c>
      <c r="HD23">
        <v>28500</v>
      </c>
      <c r="HE23">
        <v>31699.89640008843</v>
      </c>
      <c r="HF23">
        <v>30223.035432143031</v>
      </c>
      <c r="HG23">
        <v>8480</v>
      </c>
      <c r="HH23">
        <v>9162.2345750320364</v>
      </c>
      <c r="HI23">
        <v>8848.2158506564883</v>
      </c>
      <c r="HJ23">
        <v>3375</v>
      </c>
      <c r="HK23">
        <v>3723.2011359637545</v>
      </c>
      <c r="HL23">
        <v>3582.4745511083033</v>
      </c>
    </row>
    <row r="24" spans="1:220" x14ac:dyDescent="0.4">
      <c r="A24" s="11">
        <v>41449</v>
      </c>
      <c r="B24" s="10">
        <v>330100</v>
      </c>
      <c r="C24" s="10">
        <v>341010.45539505628</v>
      </c>
      <c r="D24" s="10">
        <v>331515.26005524362</v>
      </c>
      <c r="E24" s="10">
        <v>138000</v>
      </c>
      <c r="F24" s="10">
        <v>141853.60470940897</v>
      </c>
      <c r="G24" s="10">
        <v>138805.90439640707</v>
      </c>
      <c r="H24" s="10">
        <v>37000</v>
      </c>
      <c r="I24" s="10">
        <v>38339.577887973501</v>
      </c>
      <c r="J24" s="10">
        <v>36455.247052033788</v>
      </c>
      <c r="K24" s="10">
        <v>51900</v>
      </c>
      <c r="L24" s="10">
        <v>51493.707124764092</v>
      </c>
      <c r="M24" s="10">
        <v>49472.193924590516</v>
      </c>
      <c r="N24" s="10">
        <v>234000</v>
      </c>
      <c r="O24" s="10">
        <v>240127.36027810583</v>
      </c>
      <c r="P24" s="10">
        <v>234257.45769600538</v>
      </c>
      <c r="Q24" s="10">
        <v>77000</v>
      </c>
      <c r="R24" s="10">
        <v>79266.659295811274</v>
      </c>
      <c r="S24" s="10">
        <v>77165.049118164286</v>
      </c>
      <c r="T24" s="10">
        <v>16150</v>
      </c>
      <c r="U24" s="10">
        <v>17085.36345810593</v>
      </c>
      <c r="V24" s="10">
        <v>16444.165635053068</v>
      </c>
      <c r="W24" s="10">
        <v>13750</v>
      </c>
      <c r="X24" s="10">
        <v>14354.719720338839</v>
      </c>
      <c r="Y24" s="10">
        <v>13868.405711627753</v>
      </c>
      <c r="Z24" s="10">
        <v>18950</v>
      </c>
      <c r="AA24" s="10">
        <v>20348.866627721127</v>
      </c>
      <c r="AB24" s="10">
        <v>19517.404959935862</v>
      </c>
      <c r="AC24" s="10">
        <v>10400</v>
      </c>
      <c r="AD24" s="10">
        <v>10729.903541499956</v>
      </c>
      <c r="AE24" s="10">
        <v>10381.556777509848</v>
      </c>
      <c r="AF24" s="10">
        <v>32000</v>
      </c>
      <c r="AG24" s="10">
        <v>33773.763939745491</v>
      </c>
      <c r="AH24" s="10">
        <v>32247.978752004739</v>
      </c>
      <c r="AI24" s="10">
        <v>44900</v>
      </c>
      <c r="AJ24" s="10">
        <v>45620.852308554619</v>
      </c>
      <c r="AK24" s="10">
        <v>44545.792803327342</v>
      </c>
      <c r="AL24" s="10">
        <v>11250</v>
      </c>
      <c r="AM24" s="10">
        <v>13146.480621896717</v>
      </c>
      <c r="AN24" s="10">
        <v>12526.920712336821</v>
      </c>
      <c r="AO24" s="10">
        <v>19150</v>
      </c>
      <c r="AP24" s="10">
        <v>20114.290726646934</v>
      </c>
      <c r="AQ24" s="10">
        <v>19335.210039081812</v>
      </c>
      <c r="AR24" s="10">
        <v>23350</v>
      </c>
      <c r="AS24" s="10">
        <v>24714.691688433111</v>
      </c>
      <c r="AT24" s="10">
        <v>23890.613519789276</v>
      </c>
      <c r="AU24" s="10">
        <v>128000</v>
      </c>
      <c r="AV24" s="10">
        <v>131147.27873860634</v>
      </c>
      <c r="AW24" s="10">
        <v>126769.79164439878</v>
      </c>
      <c r="AX24" s="10">
        <v>530000</v>
      </c>
      <c r="AY24" s="10">
        <v>536882.88679938647</v>
      </c>
      <c r="AZ24" s="10">
        <v>522890.2501174616</v>
      </c>
      <c r="BA24" s="10">
        <v>180000</v>
      </c>
      <c r="BB24" s="10">
        <v>183724.4377503499</v>
      </c>
      <c r="BC24" s="10">
        <v>179605.00995406671</v>
      </c>
      <c r="BD24" s="10">
        <v>34500</v>
      </c>
      <c r="BE24" s="10">
        <v>33891.339212269835</v>
      </c>
      <c r="BF24" s="10">
        <v>32533.02994922506</v>
      </c>
      <c r="BG24" s="10">
        <v>32350</v>
      </c>
      <c r="BH24" s="10">
        <v>35674.517823347749</v>
      </c>
      <c r="BI24" s="10">
        <v>34342.296211040892</v>
      </c>
      <c r="BJ24" s="10">
        <v>61600</v>
      </c>
      <c r="BK24" s="10">
        <v>61761.813975306839</v>
      </c>
      <c r="BL24" s="10">
        <v>60082.019076046738</v>
      </c>
      <c r="BM24" s="10">
        <v>1018000</v>
      </c>
      <c r="BN24" s="10">
        <v>1020976.1610670432</v>
      </c>
      <c r="BO24" s="10">
        <v>991276.78823905298</v>
      </c>
      <c r="BP24" s="10">
        <v>38500</v>
      </c>
      <c r="BQ24" s="10">
        <v>40669.499720271371</v>
      </c>
      <c r="BR24" s="10">
        <v>38812.405204321389</v>
      </c>
      <c r="BS24" s="10">
        <v>107000</v>
      </c>
      <c r="BT24" s="10">
        <v>109972.74194571281</v>
      </c>
      <c r="BU24" s="10">
        <v>106473.67995844697</v>
      </c>
      <c r="BV24" s="10">
        <v>35450</v>
      </c>
      <c r="BW24" s="10">
        <v>35597.058814602511</v>
      </c>
      <c r="BX24" s="10">
        <v>34330.086352157821</v>
      </c>
      <c r="BY24" s="10">
        <v>25500</v>
      </c>
      <c r="BZ24" s="10">
        <v>27819.632698899928</v>
      </c>
      <c r="CA24" s="10">
        <v>26437.048842504362</v>
      </c>
      <c r="CB24" s="10">
        <v>85200</v>
      </c>
      <c r="CC24" s="10">
        <v>88683.202241233434</v>
      </c>
      <c r="CD24" s="10">
        <v>86117.466137360578</v>
      </c>
      <c r="CE24" s="10">
        <v>14800</v>
      </c>
      <c r="CF24" s="10">
        <v>15076.51044048583</v>
      </c>
      <c r="CG24" s="10">
        <v>14651.085634344721</v>
      </c>
      <c r="CH24" s="10">
        <v>60000</v>
      </c>
      <c r="CI24" s="10">
        <v>62275.292598608561</v>
      </c>
      <c r="CJ24" s="10">
        <v>60306.163669048336</v>
      </c>
      <c r="CK24" s="10">
        <v>292500</v>
      </c>
      <c r="CL24" s="10">
        <v>295824.90783070418</v>
      </c>
      <c r="CM24" s="10">
        <v>291574.72599952715</v>
      </c>
      <c r="CN24" s="10">
        <v>102000</v>
      </c>
      <c r="CO24" s="10">
        <v>106808.76550197061</v>
      </c>
      <c r="CP24" s="10">
        <v>103977.12684417023</v>
      </c>
      <c r="CQ24" s="10">
        <v>70400</v>
      </c>
      <c r="CR24" s="10">
        <v>70852.358177678121</v>
      </c>
      <c r="CS24" s="10">
        <v>69640.326884967275</v>
      </c>
      <c r="CT24" s="10">
        <v>18500</v>
      </c>
      <c r="CU24" s="10">
        <v>19871.306624212419</v>
      </c>
      <c r="CV24" s="10">
        <v>19029.186311070403</v>
      </c>
      <c r="CW24" s="10">
        <v>127000</v>
      </c>
      <c r="CX24" s="10">
        <v>128617.76291270643</v>
      </c>
      <c r="CY24" s="10">
        <v>126341.95640000202</v>
      </c>
      <c r="CZ24" s="10">
        <v>23500</v>
      </c>
      <c r="DA24" s="10">
        <v>23967.201831002982</v>
      </c>
      <c r="DB24" s="10">
        <v>23083.348144826658</v>
      </c>
      <c r="DC24" s="10">
        <v>22400</v>
      </c>
      <c r="DD24" s="10">
        <v>22757.5256905838</v>
      </c>
      <c r="DE24" s="10">
        <v>22172.485264372484</v>
      </c>
      <c r="DF24" s="10">
        <v>56500</v>
      </c>
      <c r="DG24" s="10">
        <v>57770.820032757634</v>
      </c>
      <c r="DH24" s="10">
        <v>56316.948149008</v>
      </c>
      <c r="DI24" s="10">
        <v>156500</v>
      </c>
      <c r="DJ24" s="10">
        <v>160273.46778775725</v>
      </c>
      <c r="DK24" s="10">
        <v>155513.32598815739</v>
      </c>
      <c r="DL24" s="10">
        <v>26700</v>
      </c>
      <c r="DM24" s="10">
        <v>26802.301029058024</v>
      </c>
      <c r="DN24" s="10">
        <v>25944.11729215036</v>
      </c>
      <c r="DO24" s="10">
        <v>24000</v>
      </c>
      <c r="DP24" s="10">
        <v>24957.539500796698</v>
      </c>
      <c r="DQ24" s="10">
        <v>24090.255377527628</v>
      </c>
      <c r="DR24" s="10">
        <v>4690</v>
      </c>
      <c r="DS24" s="10">
        <v>4877.4703796902113</v>
      </c>
      <c r="DT24" s="10">
        <v>4723.6553219308735</v>
      </c>
      <c r="DU24" s="10">
        <v>189000</v>
      </c>
      <c r="DV24" s="10">
        <v>192478.72108879313</v>
      </c>
      <c r="DW24" s="10">
        <v>187052.27603888989</v>
      </c>
      <c r="DX24" s="10">
        <v>50000</v>
      </c>
      <c r="DY24" s="10">
        <v>52118.387855586072</v>
      </c>
      <c r="DZ24" s="10">
        <v>50058.754499786235</v>
      </c>
      <c r="EA24" s="10">
        <v>10150</v>
      </c>
      <c r="EB24" s="10">
        <v>10287.201991632399</v>
      </c>
      <c r="EC24" s="10">
        <v>9980.8005282679896</v>
      </c>
      <c r="ED24" s="10">
        <v>1313000</v>
      </c>
      <c r="EE24" s="10">
        <v>1337072.6742493366</v>
      </c>
      <c r="EF24" s="10">
        <v>1306785.0898914726</v>
      </c>
      <c r="EG24" s="10">
        <v>102000</v>
      </c>
      <c r="EH24" s="10">
        <v>102661.98034505377</v>
      </c>
      <c r="EI24" s="10">
        <v>99044.668544335203</v>
      </c>
      <c r="EJ24" s="10">
        <v>271000</v>
      </c>
      <c r="EK24" s="10">
        <v>279443.33694173349</v>
      </c>
      <c r="EL24" s="10">
        <v>271039.27602219995</v>
      </c>
      <c r="EM24" s="10">
        <v>11400</v>
      </c>
      <c r="EN24" s="10">
        <v>11518.207789532618</v>
      </c>
      <c r="EO24" s="10">
        <v>11197.410877663235</v>
      </c>
      <c r="EP24" s="10">
        <v>55000</v>
      </c>
      <c r="EQ24" s="10">
        <v>56168.739750364279</v>
      </c>
      <c r="ER24" s="10">
        <v>54281.784584115972</v>
      </c>
      <c r="ES24" s="10">
        <v>11700</v>
      </c>
      <c r="ET24" s="10">
        <v>11985.935520337251</v>
      </c>
      <c r="EU24" s="10">
        <v>11501.836626723954</v>
      </c>
      <c r="EV24">
        <v>269000</v>
      </c>
      <c r="EW24">
        <v>277102.96274322091</v>
      </c>
      <c r="EX24">
        <v>265134.17217427026</v>
      </c>
      <c r="EY24">
        <v>29750</v>
      </c>
      <c r="EZ24">
        <v>31245.386299557478</v>
      </c>
      <c r="FA24">
        <v>30391.550060233116</v>
      </c>
      <c r="FB24">
        <v>2400</v>
      </c>
      <c r="FC24">
        <v>2533.0948436633494</v>
      </c>
      <c r="FD24">
        <v>2445.8563453287215</v>
      </c>
      <c r="FE24">
        <v>53400</v>
      </c>
      <c r="FF24">
        <v>54061.220947209382</v>
      </c>
      <c r="FG24">
        <v>52955.858758758513</v>
      </c>
      <c r="FH24">
        <v>46000</v>
      </c>
      <c r="FI24">
        <v>51004.870437507961</v>
      </c>
      <c r="FJ24">
        <v>48379.883291959988</v>
      </c>
      <c r="FK24">
        <v>70400</v>
      </c>
      <c r="FL24">
        <v>72302.256957584046</v>
      </c>
      <c r="FM24">
        <v>70479.457456013668</v>
      </c>
      <c r="FN24">
        <v>29350</v>
      </c>
      <c r="FO24">
        <v>30563.19641689834</v>
      </c>
      <c r="FP24">
        <v>29616.471689995182</v>
      </c>
      <c r="FQ24">
        <v>28250</v>
      </c>
      <c r="FR24">
        <v>29217.285749025668</v>
      </c>
      <c r="FS24">
        <v>28076.068174183361</v>
      </c>
      <c r="FT24">
        <v>822000</v>
      </c>
      <c r="FU24">
        <v>827729.8714358462</v>
      </c>
      <c r="FV24">
        <v>803400.43273084227</v>
      </c>
      <c r="FW24">
        <v>16700</v>
      </c>
      <c r="FX24">
        <v>17802.403677767928</v>
      </c>
      <c r="FY24">
        <v>17149.9212270688</v>
      </c>
      <c r="FZ24">
        <v>24550</v>
      </c>
      <c r="GA24">
        <v>27044.220953095712</v>
      </c>
      <c r="GB24">
        <v>26012.884433900734</v>
      </c>
      <c r="GC24">
        <v>19400</v>
      </c>
      <c r="GD24">
        <v>20427.603505485924</v>
      </c>
      <c r="GE24">
        <v>19950.768336379741</v>
      </c>
      <c r="GF24">
        <v>158000</v>
      </c>
      <c r="GG24">
        <v>163142.38285824697</v>
      </c>
      <c r="GH24">
        <v>157740.6753713763</v>
      </c>
      <c r="GI24">
        <v>4260</v>
      </c>
      <c r="GJ24">
        <v>4769.9433514249122</v>
      </c>
      <c r="GK24">
        <v>4478.067353043295</v>
      </c>
      <c r="GL24">
        <v>9010</v>
      </c>
      <c r="GM24">
        <v>9727.5286995679653</v>
      </c>
      <c r="GN24">
        <v>9259.4770553121161</v>
      </c>
      <c r="GO24">
        <v>622000</v>
      </c>
      <c r="GP24">
        <v>667244.77081121819</v>
      </c>
      <c r="GQ24">
        <v>642773.95300047938</v>
      </c>
      <c r="GR24">
        <v>52900</v>
      </c>
      <c r="GS24">
        <v>53792.732509724869</v>
      </c>
      <c r="GT24">
        <v>53039.043154026789</v>
      </c>
      <c r="GU24">
        <v>7330</v>
      </c>
      <c r="GV24">
        <v>7978.0921337427744</v>
      </c>
      <c r="GW24">
        <v>7603.4863190541955</v>
      </c>
      <c r="GX24">
        <v>25700</v>
      </c>
      <c r="GY24">
        <v>26934.280832811368</v>
      </c>
      <c r="GZ24">
        <v>25838.207445677232</v>
      </c>
      <c r="HA24">
        <v>5410</v>
      </c>
      <c r="HB24">
        <v>5567.5455866087659</v>
      </c>
      <c r="HC24">
        <v>5371.5501629044093</v>
      </c>
      <c r="HD24">
        <v>30850</v>
      </c>
      <c r="HE24">
        <v>32265.048523914978</v>
      </c>
      <c r="HF24">
        <v>30761.857781824689</v>
      </c>
      <c r="HG24">
        <v>9020</v>
      </c>
      <c r="HH24">
        <v>9263.8114550213068</v>
      </c>
      <c r="HI24">
        <v>8946.3113700650974</v>
      </c>
      <c r="HJ24">
        <v>3660</v>
      </c>
      <c r="HK24">
        <v>3850.3596447056893</v>
      </c>
      <c r="HL24">
        <v>3704.826824028672</v>
      </c>
    </row>
    <row r="25" spans="1:220" x14ac:dyDescent="0.4">
      <c r="A25" s="73">
        <v>41446</v>
      </c>
      <c r="B25" s="8">
        <v>335000</v>
      </c>
      <c r="C25" s="8">
        <v>345285.81035821827</v>
      </c>
      <c r="D25" s="8">
        <v>335671.57077832433</v>
      </c>
      <c r="E25" s="8">
        <v>140000</v>
      </c>
      <c r="F25" s="8">
        <v>143373.464759867</v>
      </c>
      <c r="G25" s="8">
        <v>140293.11051494005</v>
      </c>
      <c r="H25" s="8">
        <v>37700</v>
      </c>
      <c r="I25" s="8">
        <v>39661.632297903619</v>
      </c>
      <c r="J25" s="8">
        <v>37712.324536586675</v>
      </c>
      <c r="K25" s="8">
        <v>50400</v>
      </c>
      <c r="L25" s="8">
        <v>52617.577716772837</v>
      </c>
      <c r="M25" s="8">
        <v>50551.944188817695</v>
      </c>
      <c r="N25" s="8">
        <v>237000</v>
      </c>
      <c r="O25" s="8">
        <v>248739.52298850211</v>
      </c>
      <c r="P25" s="8">
        <v>242659.09647413224</v>
      </c>
      <c r="Q25" s="8">
        <v>78000</v>
      </c>
      <c r="R25" s="8">
        <v>80587.770284074693</v>
      </c>
      <c r="S25" s="8">
        <v>78451.133270133578</v>
      </c>
      <c r="T25" s="8">
        <v>16750</v>
      </c>
      <c r="U25" s="8">
        <v>17289.367797904208</v>
      </c>
      <c r="V25" s="8">
        <v>16640.513881441759</v>
      </c>
      <c r="W25" s="8">
        <v>14100</v>
      </c>
      <c r="X25" s="8">
        <v>14609.236027437033</v>
      </c>
      <c r="Y25" s="8">
        <v>14114.299429919012</v>
      </c>
      <c r="Z25" s="8">
        <v>19900</v>
      </c>
      <c r="AA25" s="8">
        <v>20604.505655707584</v>
      </c>
      <c r="AB25" s="8">
        <v>19762.59848958331</v>
      </c>
      <c r="AC25" s="8">
        <v>10600</v>
      </c>
      <c r="AD25" s="8">
        <v>11286.643819596664</v>
      </c>
      <c r="AE25" s="8">
        <v>10920.222459361787</v>
      </c>
      <c r="AF25" s="8">
        <v>33150</v>
      </c>
      <c r="AG25" s="8">
        <v>34486.935425652606</v>
      </c>
      <c r="AH25" s="8">
        <v>32928.931546164691</v>
      </c>
      <c r="AI25" s="8">
        <v>45000</v>
      </c>
      <c r="AJ25" s="8">
        <v>45671.542144453037</v>
      </c>
      <c r="AK25" s="8">
        <v>44595.28812866439</v>
      </c>
      <c r="AL25" s="8">
        <v>12750</v>
      </c>
      <c r="AM25" s="8">
        <v>13043.370969960279</v>
      </c>
      <c r="AN25" s="8">
        <v>12428.670353808695</v>
      </c>
      <c r="AO25" s="8">
        <v>19650</v>
      </c>
      <c r="AP25" s="8">
        <v>20421.379134687351</v>
      </c>
      <c r="AQ25" s="8">
        <v>19630.404085480015</v>
      </c>
      <c r="AR25" s="8">
        <v>24300</v>
      </c>
      <c r="AS25" s="8">
        <v>25935.170290331062</v>
      </c>
      <c r="AT25" s="8">
        <v>25070.39690348259</v>
      </c>
      <c r="AU25" s="8">
        <v>129500</v>
      </c>
      <c r="AV25" s="8">
        <v>132666.35918731609</v>
      </c>
      <c r="AW25" s="8">
        <v>128238.16760939184</v>
      </c>
      <c r="AX25" s="8">
        <v>530000</v>
      </c>
      <c r="AY25" s="8">
        <v>565246.51100765588</v>
      </c>
      <c r="AZ25" s="8">
        <v>550514.6406897048</v>
      </c>
      <c r="BA25" s="8">
        <v>182000</v>
      </c>
      <c r="BB25" s="8">
        <v>190286.02481286242</v>
      </c>
      <c r="BC25" s="8">
        <v>186019.47459528342</v>
      </c>
      <c r="BD25" s="8">
        <v>33100</v>
      </c>
      <c r="BE25" s="8">
        <v>34812.85598843429</v>
      </c>
      <c r="BF25" s="8">
        <v>33417.613845125452</v>
      </c>
      <c r="BG25" s="8">
        <v>34900</v>
      </c>
      <c r="BH25" s="8">
        <v>36850.039184289017</v>
      </c>
      <c r="BI25" s="8">
        <v>35473.9191520924</v>
      </c>
      <c r="BJ25" s="8">
        <v>61100</v>
      </c>
      <c r="BK25" s="8">
        <v>63480.227784767063</v>
      </c>
      <c r="BL25" s="8">
        <v>61753.695547884337</v>
      </c>
      <c r="BM25" s="8">
        <v>1007000</v>
      </c>
      <c r="BN25" s="8">
        <v>1064572.9584115143</v>
      </c>
      <c r="BO25" s="8">
        <v>1033605.3899215542</v>
      </c>
      <c r="BP25" s="8">
        <v>39600</v>
      </c>
      <c r="BQ25" s="8">
        <v>41593.806532095703</v>
      </c>
      <c r="BR25" s="8">
        <v>39694.505322601406</v>
      </c>
      <c r="BS25" s="8">
        <v>108500</v>
      </c>
      <c r="BT25" s="8">
        <v>115547.3970673849</v>
      </c>
      <c r="BU25" s="8">
        <v>111870.96327431296</v>
      </c>
      <c r="BV25" s="8">
        <v>35000</v>
      </c>
      <c r="BW25" s="8">
        <v>34376.588226673295</v>
      </c>
      <c r="BX25" s="8">
        <v>33153.05482008386</v>
      </c>
      <c r="BY25" s="8">
        <v>26950</v>
      </c>
      <c r="BZ25" s="8">
        <v>27303.49851153628</v>
      </c>
      <c r="CA25" s="8">
        <v>25946.56556156735</v>
      </c>
      <c r="CB25" s="8">
        <v>87500</v>
      </c>
      <c r="CC25" s="8">
        <v>88379.145547834938</v>
      </c>
      <c r="CD25" s="8">
        <v>85822.206253461089</v>
      </c>
      <c r="CE25" s="8">
        <v>14900</v>
      </c>
      <c r="CF25" s="8">
        <v>15329.472025057761</v>
      </c>
      <c r="CG25" s="8">
        <v>14896.909218813611</v>
      </c>
      <c r="CH25" s="8">
        <v>61100</v>
      </c>
      <c r="CI25" s="8">
        <v>62682.986821840001</v>
      </c>
      <c r="CJ25" s="8">
        <v>60700.966704524886</v>
      </c>
      <c r="CK25" s="8">
        <v>294000</v>
      </c>
      <c r="CL25" s="8">
        <v>311421.1189578335</v>
      </c>
      <c r="CM25" s="8">
        <v>306946.86291446851</v>
      </c>
      <c r="CN25" s="8">
        <v>105000</v>
      </c>
      <c r="CO25" s="8">
        <v>108334.60500914158</v>
      </c>
      <c r="CP25" s="8">
        <v>105462.51437051548</v>
      </c>
      <c r="CQ25" s="8">
        <v>70500</v>
      </c>
      <c r="CR25" s="8">
        <v>70349.859183510154</v>
      </c>
      <c r="CS25" s="8">
        <v>69146.42385741428</v>
      </c>
      <c r="CT25" s="8">
        <v>19500</v>
      </c>
      <c r="CU25" s="8">
        <v>19769.402487677999</v>
      </c>
      <c r="CV25" s="8">
        <v>18931.600740244405</v>
      </c>
      <c r="CW25" s="8">
        <v>127500</v>
      </c>
      <c r="CX25" s="8">
        <v>131644.06321653503</v>
      </c>
      <c r="CY25" s="8">
        <v>129314.70831529639</v>
      </c>
      <c r="CZ25" s="8">
        <v>23450</v>
      </c>
      <c r="DA25" s="8">
        <v>24427.126812834635</v>
      </c>
      <c r="DB25" s="8">
        <v>23526.312181721023</v>
      </c>
      <c r="DC25" s="8">
        <v>22400</v>
      </c>
      <c r="DD25" s="8">
        <v>22859.121787416771</v>
      </c>
      <c r="DE25" s="8">
        <v>22271.469573588438</v>
      </c>
      <c r="DF25" s="8">
        <v>56900</v>
      </c>
      <c r="DG25" s="8">
        <v>59598.367942405581</v>
      </c>
      <c r="DH25" s="8">
        <v>58098.503626481084</v>
      </c>
      <c r="DI25" s="8">
        <v>157500</v>
      </c>
      <c r="DJ25" s="8">
        <v>164852.70972455025</v>
      </c>
      <c r="DK25" s="8">
        <v>159956.56387353325</v>
      </c>
      <c r="DL25" s="8">
        <v>26300</v>
      </c>
      <c r="DM25" s="8">
        <v>26190.841689992063</v>
      </c>
      <c r="DN25" s="8">
        <v>25352.236289287615</v>
      </c>
      <c r="DO25" s="8">
        <v>24550</v>
      </c>
      <c r="DP25" s="8">
        <v>25415.009674945741</v>
      </c>
      <c r="DQ25" s="8">
        <v>24531.828286688033</v>
      </c>
      <c r="DR25" s="8">
        <v>4790</v>
      </c>
      <c r="DS25" s="8">
        <v>4867.2877692941938</v>
      </c>
      <c r="DT25" s="8">
        <v>4713.7938285656683</v>
      </c>
      <c r="DU25" s="8">
        <v>189500</v>
      </c>
      <c r="DV25" s="8">
        <v>188923.70513200795</v>
      </c>
      <c r="DW25" s="8">
        <v>183597.48466086286</v>
      </c>
      <c r="DX25" s="8">
        <v>51000</v>
      </c>
      <c r="DY25" s="8">
        <v>55081.982459139042</v>
      </c>
      <c r="DZ25" s="8">
        <v>52905.232696832943</v>
      </c>
      <c r="EA25" s="8">
        <v>10150</v>
      </c>
      <c r="EB25" s="8">
        <v>10793.96071043204</v>
      </c>
      <c r="EC25" s="8">
        <v>10472.465578921599</v>
      </c>
      <c r="ED25" s="8">
        <v>1325000</v>
      </c>
      <c r="EE25" s="8">
        <v>1341109.1200583894</v>
      </c>
      <c r="EF25" s="8">
        <v>1310730.101483596</v>
      </c>
      <c r="EG25" s="8">
        <v>101000</v>
      </c>
      <c r="EH25" s="8">
        <v>101645.52509411259</v>
      </c>
      <c r="EI25" s="8">
        <v>98064.028261717947</v>
      </c>
      <c r="EJ25" s="8">
        <v>275000</v>
      </c>
      <c r="EK25" s="8">
        <v>274870.62779177789</v>
      </c>
      <c r="EL25" s="8">
        <v>266604.08786910941</v>
      </c>
      <c r="EM25" s="8">
        <v>11350</v>
      </c>
      <c r="EN25" s="8">
        <v>11568.948793010735</v>
      </c>
      <c r="EO25" s="8">
        <v>11246.738678886421</v>
      </c>
      <c r="EP25" s="8">
        <v>55000</v>
      </c>
      <c r="EQ25" s="8">
        <v>58006.989414921693</v>
      </c>
      <c r="ER25" s="8">
        <v>56058.279352323443</v>
      </c>
      <c r="ES25" s="8">
        <v>11750</v>
      </c>
      <c r="ET25" s="8">
        <v>12036.93950127485</v>
      </c>
      <c r="EU25" s="8">
        <v>11550.780612369585</v>
      </c>
      <c r="EV25">
        <v>272000</v>
      </c>
      <c r="EW25">
        <v>286271.8107751658</v>
      </c>
      <c r="EX25">
        <v>273906.99404768366</v>
      </c>
      <c r="EY25">
        <v>30800</v>
      </c>
      <c r="EZ25">
        <v>31499.001448092829</v>
      </c>
      <c r="FA25">
        <v>30638.234719812917</v>
      </c>
      <c r="FB25">
        <v>2490</v>
      </c>
      <c r="FC25">
        <v>2644.9986319376339</v>
      </c>
      <c r="FD25">
        <v>2553.9062240380226</v>
      </c>
      <c r="FE25">
        <v>53700</v>
      </c>
      <c r="FF25">
        <v>54564.584270740248</v>
      </c>
      <c r="FG25">
        <v>53448.930069361522</v>
      </c>
      <c r="FH25">
        <v>49600</v>
      </c>
      <c r="FI25">
        <v>50490.708437129826</v>
      </c>
      <c r="FJ25">
        <v>47892.182855549079</v>
      </c>
      <c r="FK25">
        <v>71500</v>
      </c>
      <c r="FL25">
        <v>74324.697711642351</v>
      </c>
      <c r="FM25">
        <v>72450.910811426642</v>
      </c>
      <c r="FN25">
        <v>30200</v>
      </c>
      <c r="FO25">
        <v>30866.804328324513</v>
      </c>
      <c r="FP25">
        <v>29910.675051154107</v>
      </c>
      <c r="FQ25">
        <v>28500</v>
      </c>
      <c r="FR25">
        <v>29678.611313483943</v>
      </c>
      <c r="FS25">
        <v>28519.374513775707</v>
      </c>
      <c r="FT25">
        <v>816000</v>
      </c>
      <c r="FU25">
        <v>831787.37080562953</v>
      </c>
      <c r="FV25">
        <v>807338.67014618928</v>
      </c>
      <c r="FW25">
        <v>17550</v>
      </c>
      <c r="FX25">
        <v>17650.246381376761</v>
      </c>
      <c r="FY25">
        <v>17003.340703760528</v>
      </c>
      <c r="FZ25">
        <v>26600</v>
      </c>
      <c r="GA25">
        <v>27552.570971011046</v>
      </c>
      <c r="GB25">
        <v>26501.848427019169</v>
      </c>
      <c r="GC25">
        <v>20250</v>
      </c>
      <c r="GD25">
        <v>20831.11172287822</v>
      </c>
      <c r="GE25">
        <v>20344.857587468705</v>
      </c>
      <c r="GF25">
        <v>160500</v>
      </c>
      <c r="GG25">
        <v>165683.54146974633</v>
      </c>
      <c r="GH25">
        <v>160197.69523697422</v>
      </c>
      <c r="GI25">
        <v>4590</v>
      </c>
      <c r="GJ25">
        <v>4520.5345487360273</v>
      </c>
      <c r="GK25">
        <v>4243.9200404658677</v>
      </c>
      <c r="GL25">
        <v>9480</v>
      </c>
      <c r="GM25">
        <v>10107.18962982536</v>
      </c>
      <c r="GN25">
        <v>9620.8701471333643</v>
      </c>
      <c r="GO25">
        <v>657000</v>
      </c>
      <c r="GP25">
        <v>670291.55058661208</v>
      </c>
      <c r="GQ25">
        <v>645708.99388176028</v>
      </c>
      <c r="GR25">
        <v>53500</v>
      </c>
      <c r="GS25">
        <v>55502.034290407712</v>
      </c>
      <c r="GT25">
        <v>54724.395927145393</v>
      </c>
      <c r="GU25">
        <v>7780</v>
      </c>
      <c r="GV25">
        <v>8193.4390936509935</v>
      </c>
      <c r="GW25">
        <v>7808.7218109566811</v>
      </c>
      <c r="GX25">
        <v>26300</v>
      </c>
      <c r="GY25">
        <v>27190.310118294383</v>
      </c>
      <c r="GZ25">
        <v>26083.817782613343</v>
      </c>
      <c r="HA25">
        <v>5460</v>
      </c>
      <c r="HB25">
        <v>5608.3334663641381</v>
      </c>
      <c r="HC25">
        <v>5410.9021787498605</v>
      </c>
      <c r="HD25">
        <v>31400</v>
      </c>
      <c r="HE25">
        <v>32470.558387124616</v>
      </c>
      <c r="HF25">
        <v>30957.793181708908</v>
      </c>
      <c r="HG25">
        <v>9120</v>
      </c>
      <c r="HH25">
        <v>9670.1189749783825</v>
      </c>
      <c r="HI25">
        <v>9338.693447699532</v>
      </c>
      <c r="HJ25">
        <v>3785</v>
      </c>
      <c r="HK25">
        <v>3997.8635148463277</v>
      </c>
      <c r="HL25">
        <v>3846.7554606162939</v>
      </c>
    </row>
    <row r="26" spans="1:220" x14ac:dyDescent="0.4">
      <c r="A26" s="11">
        <v>41445</v>
      </c>
      <c r="B26" s="8">
        <v>339200</v>
      </c>
      <c r="C26" s="8">
        <v>346100.16368453496</v>
      </c>
      <c r="D26" s="8">
        <v>336463.24901129224</v>
      </c>
      <c r="E26" s="8">
        <v>141500</v>
      </c>
      <c r="F26" s="8">
        <v>143373.464759867</v>
      </c>
      <c r="G26" s="8">
        <v>140293.11051494005</v>
      </c>
      <c r="H26" s="8">
        <v>39000</v>
      </c>
      <c r="I26" s="8">
        <v>41441.320926655702</v>
      </c>
      <c r="J26" s="8">
        <v>39404.544227330945</v>
      </c>
      <c r="K26" s="8">
        <v>51500</v>
      </c>
      <c r="L26" s="8">
        <v>54558.808739333384</v>
      </c>
      <c r="M26" s="8">
        <v>52416.96737248281</v>
      </c>
      <c r="N26" s="8">
        <v>245500</v>
      </c>
      <c r="O26" s="8">
        <v>257351.68569889816</v>
      </c>
      <c r="P26" s="8">
        <v>251060.73525225886</v>
      </c>
      <c r="Q26" s="8">
        <v>79300</v>
      </c>
      <c r="R26" s="8">
        <v>81604.00950581595</v>
      </c>
      <c r="S26" s="8">
        <v>79440.4287716486</v>
      </c>
      <c r="T26" s="8">
        <v>16950</v>
      </c>
      <c r="U26" s="8">
        <v>17187.365628005071</v>
      </c>
      <c r="V26" s="8">
        <v>16542.339758247417</v>
      </c>
      <c r="W26" s="8">
        <v>14350</v>
      </c>
      <c r="X26" s="8">
        <v>14965.558857374528</v>
      </c>
      <c r="Y26" s="8">
        <v>14458.550635526799</v>
      </c>
      <c r="Z26" s="8">
        <v>20150</v>
      </c>
      <c r="AA26" s="8">
        <v>20604.505655707584</v>
      </c>
      <c r="AB26" s="8">
        <v>19762.59848958331</v>
      </c>
      <c r="AC26" s="8">
        <v>11150</v>
      </c>
      <c r="AD26" s="8">
        <v>12248.286118127326</v>
      </c>
      <c r="AE26" s="8">
        <v>11850.64500074239</v>
      </c>
      <c r="AF26" s="8">
        <v>33850</v>
      </c>
      <c r="AG26" s="8">
        <v>34334.112964386819</v>
      </c>
      <c r="AH26" s="8">
        <v>32783.013090273293</v>
      </c>
      <c r="AI26" s="8">
        <v>45050</v>
      </c>
      <c r="AJ26" s="8">
        <v>46178.440503436977</v>
      </c>
      <c r="AK26" s="8">
        <v>45090.241382034699</v>
      </c>
      <c r="AL26" s="8">
        <v>12650</v>
      </c>
      <c r="AM26" s="8">
        <v>13249.590273833159</v>
      </c>
      <c r="AN26" s="8">
        <v>12625.17107086495</v>
      </c>
      <c r="AO26" s="8">
        <v>19950</v>
      </c>
      <c r="AP26" s="8">
        <v>19909.565121286691</v>
      </c>
      <c r="AQ26" s="8">
        <v>19138.41400814971</v>
      </c>
      <c r="AR26" s="8">
        <v>25500</v>
      </c>
      <c r="AS26" s="8">
        <v>26697.969416517273</v>
      </c>
      <c r="AT26" s="8">
        <v>25807.761518290907</v>
      </c>
      <c r="AU26" s="8">
        <v>131000</v>
      </c>
      <c r="AV26" s="8">
        <v>140768.12158043464</v>
      </c>
      <c r="AW26" s="8">
        <v>136069.50608935472</v>
      </c>
      <c r="AX26" s="8">
        <v>558000</v>
      </c>
      <c r="AY26" s="8">
        <v>579428.3231117907</v>
      </c>
      <c r="AZ26" s="8">
        <v>564326.83597582649</v>
      </c>
      <c r="BA26" s="8">
        <v>188500</v>
      </c>
      <c r="BB26" s="8">
        <v>195333.39947633358</v>
      </c>
      <c r="BC26" s="8">
        <v>190953.67816545011</v>
      </c>
      <c r="BD26" s="8">
        <v>34000</v>
      </c>
      <c r="BE26" s="8">
        <v>34915.246741341405</v>
      </c>
      <c r="BF26" s="8">
        <v>33515.900944669898</v>
      </c>
      <c r="BG26" s="8">
        <v>36050</v>
      </c>
      <c r="BH26" s="8">
        <v>36850.039184289017</v>
      </c>
      <c r="BI26" s="8">
        <v>35473.9191520924</v>
      </c>
      <c r="BJ26" s="8">
        <v>62800</v>
      </c>
      <c r="BK26" s="8">
        <v>69039.801874197263</v>
      </c>
      <c r="BL26" s="8">
        <v>67162.060603829581</v>
      </c>
      <c r="BM26" s="8">
        <v>1050000</v>
      </c>
      <c r="BN26" s="8">
        <v>1065586.8374195246</v>
      </c>
      <c r="BO26" s="8">
        <v>1034589.7760071933</v>
      </c>
      <c r="BP26" s="8">
        <v>40500</v>
      </c>
      <c r="BQ26" s="8">
        <v>42004.609559573226</v>
      </c>
      <c r="BR26" s="8">
        <v>40086.549819614782</v>
      </c>
      <c r="BS26" s="8">
        <v>114000</v>
      </c>
      <c r="BT26" s="8">
        <v>115547.3970673849</v>
      </c>
      <c r="BU26" s="8">
        <v>111870.96327431296</v>
      </c>
      <c r="BV26" s="8">
        <v>33800</v>
      </c>
      <c r="BW26" s="8">
        <v>34935.970579474182</v>
      </c>
      <c r="BX26" s="8">
        <v>33692.527605617754</v>
      </c>
      <c r="BY26" s="8">
        <v>26450</v>
      </c>
      <c r="BZ26" s="8">
        <v>27561.565605218082</v>
      </c>
      <c r="CA26" s="8">
        <v>26191.80720203583</v>
      </c>
      <c r="CB26" s="8">
        <v>87200</v>
      </c>
      <c r="CC26" s="8">
        <v>88581.850010100607</v>
      </c>
      <c r="CD26" s="8">
        <v>86019.046176060758</v>
      </c>
      <c r="CE26" s="8">
        <v>15150</v>
      </c>
      <c r="CF26" s="8">
        <v>15784.802877287178</v>
      </c>
      <c r="CG26" s="8">
        <v>15339.39167085756</v>
      </c>
      <c r="CH26" s="8">
        <v>61500</v>
      </c>
      <c r="CI26" s="8">
        <v>64415.68727057377</v>
      </c>
      <c r="CJ26" s="8">
        <v>62378.879605300353</v>
      </c>
      <c r="CK26" s="8">
        <v>309500</v>
      </c>
      <c r="CL26" s="8">
        <v>315445.94763580232</v>
      </c>
      <c r="CM26" s="8">
        <v>310913.8659892921</v>
      </c>
      <c r="CN26" s="8">
        <v>106500</v>
      </c>
      <c r="CO26" s="8">
        <v>108334.60500914158</v>
      </c>
      <c r="CP26" s="8">
        <v>105462.51437051548</v>
      </c>
      <c r="CQ26" s="8">
        <v>70000</v>
      </c>
      <c r="CR26" s="8">
        <v>73264.353349684228</v>
      </c>
      <c r="CS26" s="8">
        <v>72011.061417221528</v>
      </c>
      <c r="CT26" s="8">
        <v>19400</v>
      </c>
      <c r="CU26" s="8">
        <v>20380.827306884508</v>
      </c>
      <c r="CV26" s="8">
        <v>19517.11416520039</v>
      </c>
      <c r="CW26" s="8">
        <v>130500</v>
      </c>
      <c r="CX26" s="8">
        <v>135174.74690433475</v>
      </c>
      <c r="CY26" s="8">
        <v>132782.91888313953</v>
      </c>
      <c r="CZ26" s="8">
        <v>23900</v>
      </c>
      <c r="DA26" s="8">
        <v>24324.921261316475</v>
      </c>
      <c r="DB26" s="8">
        <v>23427.875729077816</v>
      </c>
      <c r="DC26" s="8">
        <v>22500</v>
      </c>
      <c r="DD26" s="8">
        <v>22554.333496917876</v>
      </c>
      <c r="DE26" s="8">
        <v>21974.516645940592</v>
      </c>
      <c r="DF26" s="8">
        <v>58700</v>
      </c>
      <c r="DG26" s="8">
        <v>59598.367942405581</v>
      </c>
      <c r="DH26" s="8">
        <v>58098.503626481084</v>
      </c>
      <c r="DI26" s="8">
        <v>162000</v>
      </c>
      <c r="DJ26" s="8">
        <v>164852.70972455025</v>
      </c>
      <c r="DK26" s="8">
        <v>159956.56387353325</v>
      </c>
      <c r="DL26" s="8">
        <v>25700</v>
      </c>
      <c r="DM26" s="8">
        <v>26649.436194291535</v>
      </c>
      <c r="DN26" s="8">
        <v>25796.147041434673</v>
      </c>
      <c r="DO26" s="8">
        <v>25000</v>
      </c>
      <c r="DP26" s="8">
        <v>25415.009674945741</v>
      </c>
      <c r="DQ26" s="8">
        <v>24531.828286688033</v>
      </c>
      <c r="DR26" s="8">
        <v>4780</v>
      </c>
      <c r="DS26" s="8">
        <v>5004.7530096403743</v>
      </c>
      <c r="DT26" s="8">
        <v>4846.9239889958753</v>
      </c>
      <c r="DU26" s="8">
        <v>186000</v>
      </c>
      <c r="DV26" s="8">
        <v>187400.12686481423</v>
      </c>
      <c r="DW26" s="8">
        <v>182116.85978456546</v>
      </c>
      <c r="DX26" s="8">
        <v>53900</v>
      </c>
      <c r="DY26" s="8">
        <v>53855.667450772293</v>
      </c>
      <c r="DZ26" s="8">
        <v>51727.379649779134</v>
      </c>
      <c r="EA26" s="8">
        <v>10650</v>
      </c>
      <c r="EB26" s="8">
        <v>11300.719429231664</v>
      </c>
      <c r="EC26" s="8">
        <v>10964.130629575193</v>
      </c>
      <c r="ED26" s="8">
        <v>1329000</v>
      </c>
      <c r="EE26" s="8">
        <v>1381473.5781489371</v>
      </c>
      <c r="EF26" s="8">
        <v>1350180.2174048496</v>
      </c>
      <c r="EG26" s="8">
        <v>100000</v>
      </c>
      <c r="EH26" s="8">
        <v>106219.57372334758</v>
      </c>
      <c r="EI26" s="8">
        <v>102476.9095334952</v>
      </c>
      <c r="EJ26" s="8">
        <v>270500</v>
      </c>
      <c r="EK26" s="8">
        <v>284016.04609168926</v>
      </c>
      <c r="EL26" s="8">
        <v>275474.4641752906</v>
      </c>
      <c r="EM26" s="8">
        <v>11400</v>
      </c>
      <c r="EN26" s="8">
        <v>11924.135817357563</v>
      </c>
      <c r="EO26" s="8">
        <v>11592.03328744873</v>
      </c>
      <c r="EP26" s="8">
        <v>56800</v>
      </c>
      <c r="EQ26" s="8">
        <v>59232.489191293309</v>
      </c>
      <c r="ER26" s="8">
        <v>57242.6091977951</v>
      </c>
      <c r="ES26" s="8">
        <v>11800</v>
      </c>
      <c r="ET26" s="8">
        <v>12597.983291588505</v>
      </c>
      <c r="EU26" s="8">
        <v>12089.164454471555</v>
      </c>
      <c r="EV26">
        <v>281000</v>
      </c>
      <c r="EW26">
        <v>290856.23479113862</v>
      </c>
      <c r="EX26">
        <v>278293.40498439071</v>
      </c>
      <c r="EY26">
        <v>31050</v>
      </c>
      <c r="EZ26">
        <v>32361.29295311305</v>
      </c>
      <c r="FA26">
        <v>31476.962562384251</v>
      </c>
      <c r="FB26">
        <v>2600</v>
      </c>
      <c r="FC26">
        <v>2644.9986319376339</v>
      </c>
      <c r="FD26">
        <v>2553.9062240380226</v>
      </c>
      <c r="FE26">
        <v>54200</v>
      </c>
      <c r="FF26">
        <v>56578.037564863473</v>
      </c>
      <c r="FG26">
        <v>55421.215311773361</v>
      </c>
      <c r="FH26">
        <v>49100</v>
      </c>
      <c r="FI26">
        <v>50079.378836827389</v>
      </c>
      <c r="FJ26">
        <v>47502.022506420413</v>
      </c>
      <c r="FK26">
        <v>73500</v>
      </c>
      <c r="FL26">
        <v>75234.796050968565</v>
      </c>
      <c r="FM26">
        <v>73338.064821362481</v>
      </c>
      <c r="FN26">
        <v>30500</v>
      </c>
      <c r="FO26">
        <v>31777.628062602926</v>
      </c>
      <c r="FP26">
        <v>30793.285134630773</v>
      </c>
      <c r="FQ26">
        <v>28950</v>
      </c>
      <c r="FR26">
        <v>30191.195273993148</v>
      </c>
      <c r="FS26">
        <v>29011.937113322765</v>
      </c>
      <c r="FT26">
        <v>820000</v>
      </c>
      <c r="FU26">
        <v>869319.23997612798</v>
      </c>
      <c r="FV26">
        <v>843767.36623815203</v>
      </c>
      <c r="FW26">
        <v>17400</v>
      </c>
      <c r="FX26">
        <v>17447.369986188514</v>
      </c>
      <c r="FY26">
        <v>16807.900006016149</v>
      </c>
      <c r="FZ26">
        <v>27100</v>
      </c>
      <c r="GA26">
        <v>28569.271006841696</v>
      </c>
      <c r="GB26">
        <v>27479.776413256026</v>
      </c>
      <c r="GC26">
        <v>20650</v>
      </c>
      <c r="GD26">
        <v>21285.058467444567</v>
      </c>
      <c r="GE26">
        <v>20788.207994943805</v>
      </c>
      <c r="GF26">
        <v>163000</v>
      </c>
      <c r="GG26">
        <v>170257.62697044463</v>
      </c>
      <c r="GH26">
        <v>164620.33099505</v>
      </c>
      <c r="GI26">
        <v>4350</v>
      </c>
      <c r="GJ26">
        <v>4780.3353848702827</v>
      </c>
      <c r="GK26">
        <v>4487.8234910673546</v>
      </c>
      <c r="GL26">
        <v>9850</v>
      </c>
      <c r="GM26">
        <v>10261.10622317297</v>
      </c>
      <c r="GN26">
        <v>9767.3808600338871</v>
      </c>
      <c r="GO26">
        <v>660000</v>
      </c>
      <c r="GP26">
        <v>662166.80451889581</v>
      </c>
      <c r="GQ26">
        <v>637882.21819834528</v>
      </c>
      <c r="GR26">
        <v>55200</v>
      </c>
      <c r="GS26">
        <v>56406.958762533875</v>
      </c>
      <c r="GT26">
        <v>55616.641512914015</v>
      </c>
      <c r="GU26">
        <v>7990</v>
      </c>
      <c r="GV26">
        <v>8357.5129678667854</v>
      </c>
      <c r="GW26">
        <v>7965.0917095490568</v>
      </c>
      <c r="GX26">
        <v>26550</v>
      </c>
      <c r="GY26">
        <v>27958.397974743355</v>
      </c>
      <c r="GZ26">
        <v>26820.648793421609</v>
      </c>
      <c r="HA26">
        <v>5500</v>
      </c>
      <c r="HB26">
        <v>5812.2728651410152</v>
      </c>
      <c r="HC26">
        <v>5607.6622579771274</v>
      </c>
      <c r="HD26">
        <v>31600</v>
      </c>
      <c r="HE26">
        <v>32470.558387124616</v>
      </c>
      <c r="HF26">
        <v>30957.793181708908</v>
      </c>
      <c r="HG26">
        <v>9520</v>
      </c>
      <c r="HH26">
        <v>9903.7457989536961</v>
      </c>
      <c r="HI26">
        <v>9564.3131423393279</v>
      </c>
      <c r="HJ26">
        <v>3930</v>
      </c>
      <c r="HK26">
        <v>4226.7488305818024</v>
      </c>
      <c r="HL26">
        <v>4066.98955187295</v>
      </c>
    </row>
    <row r="27" spans="1:220" x14ac:dyDescent="0.4">
      <c r="A27" s="11">
        <v>41444</v>
      </c>
      <c r="B27" s="8">
        <v>340000</v>
      </c>
      <c r="C27" s="8">
        <v>340501.48456610832</v>
      </c>
      <c r="D27" s="8">
        <v>331020.46115963865</v>
      </c>
      <c r="E27" s="8">
        <v>141500</v>
      </c>
      <c r="F27" s="8">
        <v>142866.8447430477</v>
      </c>
      <c r="G27" s="8">
        <v>139797.37514209579</v>
      </c>
      <c r="H27" s="8">
        <v>40750</v>
      </c>
      <c r="I27" s="8">
        <v>42509.134103906952</v>
      </c>
      <c r="J27" s="8">
        <v>40419.876041777512</v>
      </c>
      <c r="K27" s="8">
        <v>53400</v>
      </c>
      <c r="L27" s="8">
        <v>53639.278254962628</v>
      </c>
      <c r="M27" s="8">
        <v>51533.535338115151</v>
      </c>
      <c r="N27" s="8">
        <v>254000</v>
      </c>
      <c r="O27" s="8">
        <v>262924.26157033112</v>
      </c>
      <c r="P27" s="8">
        <v>256497.08975575282</v>
      </c>
      <c r="Q27" s="8">
        <v>80300</v>
      </c>
      <c r="R27" s="8">
        <v>84652.727171039427</v>
      </c>
      <c r="S27" s="8">
        <v>82408.315276193345</v>
      </c>
      <c r="T27" s="8">
        <v>16850</v>
      </c>
      <c r="U27" s="8">
        <v>17595.37430760164</v>
      </c>
      <c r="V27" s="8">
        <v>16935.036251024812</v>
      </c>
      <c r="W27" s="8">
        <v>14700</v>
      </c>
      <c r="X27" s="8">
        <v>15270.978425892376</v>
      </c>
      <c r="Y27" s="8">
        <v>14753.623097476326</v>
      </c>
      <c r="Z27" s="8">
        <v>20150</v>
      </c>
      <c r="AA27" s="8">
        <v>20144.355405331953</v>
      </c>
      <c r="AB27" s="8">
        <v>19321.250136217899</v>
      </c>
      <c r="AC27" s="8">
        <v>12100</v>
      </c>
      <c r="AD27" s="8">
        <v>12400.12437579005</v>
      </c>
      <c r="AE27" s="8">
        <v>11997.553823065635</v>
      </c>
      <c r="AF27" s="8">
        <v>33700</v>
      </c>
      <c r="AG27" s="8">
        <v>35454.811013669481</v>
      </c>
      <c r="AH27" s="8">
        <v>33853.081766810414</v>
      </c>
      <c r="AI27" s="8">
        <v>45550</v>
      </c>
      <c r="AJ27" s="8">
        <v>46431.889682928937</v>
      </c>
      <c r="AK27" s="8">
        <v>45337.718008719836</v>
      </c>
      <c r="AL27" s="8">
        <v>12850</v>
      </c>
      <c r="AM27" s="8">
        <v>13043.370969960279</v>
      </c>
      <c r="AN27" s="8">
        <v>12428.670353808695</v>
      </c>
      <c r="AO27" s="8">
        <v>19450</v>
      </c>
      <c r="AP27" s="8">
        <v>18988.299897165427</v>
      </c>
      <c r="AQ27" s="8">
        <v>18252.831868955094</v>
      </c>
      <c r="AR27" s="8">
        <v>26250</v>
      </c>
      <c r="AS27" s="8">
        <v>26087.730115568305</v>
      </c>
      <c r="AT27" s="8">
        <v>25217.869826444257</v>
      </c>
      <c r="AU27" s="8">
        <v>139000</v>
      </c>
      <c r="AV27" s="8">
        <v>151401.68472140268</v>
      </c>
      <c r="AW27" s="8">
        <v>146348.13784430592</v>
      </c>
      <c r="AX27" s="8">
        <v>572000</v>
      </c>
      <c r="AY27" s="8">
        <v>582467.28284839122</v>
      </c>
      <c r="AZ27" s="8">
        <v>567286.59210856701</v>
      </c>
      <c r="BA27" s="8">
        <v>193500</v>
      </c>
      <c r="BB27" s="8">
        <v>195838.13694268072</v>
      </c>
      <c r="BC27" s="8">
        <v>191447.09852246678</v>
      </c>
      <c r="BD27" s="8">
        <v>34100</v>
      </c>
      <c r="BE27" s="8">
        <v>37219.038681752521</v>
      </c>
      <c r="BF27" s="8">
        <v>35727.36068442087</v>
      </c>
      <c r="BG27" s="8">
        <v>36050</v>
      </c>
      <c r="BH27" s="8">
        <v>36032.28519406898</v>
      </c>
      <c r="BI27" s="8">
        <v>34686.703193100024</v>
      </c>
      <c r="BJ27" s="8">
        <v>68300</v>
      </c>
      <c r="BK27" s="8">
        <v>70151.716692083312</v>
      </c>
      <c r="BL27" s="8">
        <v>68243.733615018646</v>
      </c>
      <c r="BM27" s="8">
        <v>1051000</v>
      </c>
      <c r="BN27" s="8">
        <v>1120336.3038521172</v>
      </c>
      <c r="BO27" s="8">
        <v>1087746.6246317308</v>
      </c>
      <c r="BP27" s="8">
        <v>40900</v>
      </c>
      <c r="BQ27" s="8">
        <v>42928.916371397601</v>
      </c>
      <c r="BR27" s="8">
        <v>40968.649937894836</v>
      </c>
      <c r="BS27" s="8">
        <v>114000</v>
      </c>
      <c r="BT27" s="8">
        <v>119094.90487208517</v>
      </c>
      <c r="BU27" s="8">
        <v>115305.59811168208</v>
      </c>
      <c r="BV27" s="8">
        <v>34350</v>
      </c>
      <c r="BW27" s="8">
        <v>34834.264697146791</v>
      </c>
      <c r="BX27" s="8">
        <v>33594.441644611637</v>
      </c>
      <c r="BY27" s="8">
        <v>26700</v>
      </c>
      <c r="BZ27" s="8">
        <v>27664.792442690799</v>
      </c>
      <c r="CA27" s="8">
        <v>26289.903858223224</v>
      </c>
      <c r="CB27" s="8">
        <v>87400</v>
      </c>
      <c r="CC27" s="8">
        <v>87061.566543107925</v>
      </c>
      <c r="CD27" s="8">
        <v>84542.74675656305</v>
      </c>
      <c r="CE27" s="8">
        <v>15600</v>
      </c>
      <c r="CF27" s="8">
        <v>15683.61824345843</v>
      </c>
      <c r="CG27" s="8">
        <v>15241.062237070026</v>
      </c>
      <c r="CH27" s="8">
        <v>63200</v>
      </c>
      <c r="CI27" s="8">
        <v>62581.063266032135</v>
      </c>
      <c r="CJ27" s="8">
        <v>60602.265945655745</v>
      </c>
      <c r="CK27" s="8">
        <v>313500</v>
      </c>
      <c r="CL27" s="8">
        <v>314942.84405105608</v>
      </c>
      <c r="CM27" s="8">
        <v>310417.990604939</v>
      </c>
      <c r="CN27" s="8">
        <v>106500</v>
      </c>
      <c r="CO27" s="8">
        <v>108334.60500914158</v>
      </c>
      <c r="CP27" s="8">
        <v>105462.51437051548</v>
      </c>
      <c r="CQ27" s="8">
        <v>72900</v>
      </c>
      <c r="CR27" s="8">
        <v>73867.352142685661</v>
      </c>
      <c r="CS27" s="8">
        <v>72603.745050284997</v>
      </c>
      <c r="CT27" s="8">
        <v>20000</v>
      </c>
      <c r="CU27" s="8">
        <v>20890.347989556652</v>
      </c>
      <c r="CV27" s="8">
        <v>20005.042019330431</v>
      </c>
      <c r="CW27" s="8">
        <v>134000</v>
      </c>
      <c r="CX27" s="8">
        <v>137696.66382419175</v>
      </c>
      <c r="CY27" s="8">
        <v>135260.2121458847</v>
      </c>
      <c r="CZ27" s="8">
        <v>23800</v>
      </c>
      <c r="DA27" s="8">
        <v>24324.921261316475</v>
      </c>
      <c r="DB27" s="8">
        <v>23427.875729077816</v>
      </c>
      <c r="DC27" s="8">
        <v>22200</v>
      </c>
      <c r="DD27" s="8">
        <v>23113.112029499174</v>
      </c>
      <c r="DE27" s="8">
        <v>22518.930346628305</v>
      </c>
      <c r="DF27" s="8">
        <v>58700</v>
      </c>
      <c r="DG27" s="8">
        <v>59598.367942405581</v>
      </c>
      <c r="DH27" s="8">
        <v>58098.503626481084</v>
      </c>
      <c r="DI27" s="8">
        <v>162000</v>
      </c>
      <c r="DJ27" s="8">
        <v>159255.85846847002</v>
      </c>
      <c r="DK27" s="8">
        <v>154525.93979140729</v>
      </c>
      <c r="DL27" s="8">
        <v>26150</v>
      </c>
      <c r="DM27" s="8">
        <v>27006.120808746691</v>
      </c>
      <c r="DN27" s="8">
        <v>26141.410959771289</v>
      </c>
      <c r="DO27" s="8">
        <v>25000</v>
      </c>
      <c r="DP27" s="8">
        <v>25059.199539496502</v>
      </c>
      <c r="DQ27" s="8">
        <v>24188.382690674403</v>
      </c>
      <c r="DR27" s="8">
        <v>4915</v>
      </c>
      <c r="DS27" s="8">
        <v>5045.4834512244188</v>
      </c>
      <c r="DT27" s="8">
        <v>4886.3699624566698</v>
      </c>
      <c r="DU27" s="8">
        <v>184500</v>
      </c>
      <c r="DV27" s="8">
        <v>187400.12686481423</v>
      </c>
      <c r="DW27" s="8">
        <v>182116.85978456546</v>
      </c>
      <c r="DX27" s="8">
        <v>52700</v>
      </c>
      <c r="DY27" s="8">
        <v>53957.860368136178</v>
      </c>
      <c r="DZ27" s="8">
        <v>51825.534070366935</v>
      </c>
      <c r="EA27" s="8">
        <v>11150</v>
      </c>
      <c r="EB27" s="8">
        <v>11250.043557351688</v>
      </c>
      <c r="EC27" s="8">
        <v>10914.964124509821</v>
      </c>
      <c r="ED27" s="8">
        <v>1369000</v>
      </c>
      <c r="EE27" s="8">
        <v>1399637.5842896812</v>
      </c>
      <c r="EF27" s="8">
        <v>1367932.7695694116</v>
      </c>
      <c r="EG27" s="8">
        <v>104500</v>
      </c>
      <c r="EH27" s="8">
        <v>103170.20797052429</v>
      </c>
      <c r="EI27" s="8">
        <v>99534.988685643737</v>
      </c>
      <c r="EJ27" s="8">
        <v>279500</v>
      </c>
      <c r="EK27" s="8">
        <v>291637.22800828161</v>
      </c>
      <c r="EL27" s="8">
        <v>282866.44443044113</v>
      </c>
      <c r="EM27" s="8">
        <v>11750</v>
      </c>
      <c r="EN27" s="8">
        <v>11771.912806923201</v>
      </c>
      <c r="EO27" s="8">
        <v>11444.04988377916</v>
      </c>
      <c r="EP27" s="8">
        <v>58000</v>
      </c>
      <c r="EQ27" s="8">
        <v>58823.989265836084</v>
      </c>
      <c r="ER27" s="8">
        <v>56847.832582637857</v>
      </c>
      <c r="ES27" s="8">
        <v>12350</v>
      </c>
      <c r="ET27" s="8">
        <v>12291.95940596288</v>
      </c>
      <c r="EU27" s="8">
        <v>11795.500540597755</v>
      </c>
      <c r="EV27">
        <v>285500</v>
      </c>
      <c r="EW27">
        <v>301553.22416174051</v>
      </c>
      <c r="EX27">
        <v>288528.36383670592</v>
      </c>
      <c r="EY27">
        <v>31900</v>
      </c>
      <c r="EZ27">
        <v>32209.123863991837</v>
      </c>
      <c r="FA27">
        <v>31328.951766636368</v>
      </c>
      <c r="FB27">
        <v>2600</v>
      </c>
      <c r="FC27">
        <v>2644.9986319376339</v>
      </c>
      <c r="FD27">
        <v>2553.9062240380226</v>
      </c>
      <c r="FE27">
        <v>56200</v>
      </c>
      <c r="FF27">
        <v>57081.400888394281</v>
      </c>
      <c r="FG27">
        <v>55914.286622376319</v>
      </c>
      <c r="FH27">
        <v>48700</v>
      </c>
      <c r="FI27">
        <v>50130.795036865165</v>
      </c>
      <c r="FJ27">
        <v>47550.792550061466</v>
      </c>
      <c r="FK27">
        <v>74400</v>
      </c>
      <c r="FL27">
        <v>76347.138465700729</v>
      </c>
      <c r="FM27">
        <v>74422.364166839703</v>
      </c>
      <c r="FN27">
        <v>31400</v>
      </c>
      <c r="FO27">
        <v>31777.628062602926</v>
      </c>
      <c r="FP27">
        <v>30793.285134630773</v>
      </c>
      <c r="FQ27">
        <v>29450</v>
      </c>
      <c r="FR27">
        <v>31165.10479896071</v>
      </c>
      <c r="FS27">
        <v>29947.806052462249</v>
      </c>
      <c r="FT27">
        <v>857000</v>
      </c>
      <c r="FU27">
        <v>874391.11418835702</v>
      </c>
      <c r="FV27">
        <v>848690.16300733574</v>
      </c>
      <c r="FW27">
        <v>17200</v>
      </c>
      <c r="FX27">
        <v>16889.459899420865</v>
      </c>
      <c r="FY27">
        <v>16270.438087219125</v>
      </c>
      <c r="FZ27">
        <v>28100</v>
      </c>
      <c r="GA27">
        <v>28264.260996092504</v>
      </c>
      <c r="GB27">
        <v>27186.39801738497</v>
      </c>
      <c r="GC27">
        <v>21100</v>
      </c>
      <c r="GD27">
        <v>21184.181413096481</v>
      </c>
      <c r="GE27">
        <v>20689.685682171552</v>
      </c>
      <c r="GF27">
        <v>167500</v>
      </c>
      <c r="GG27">
        <v>170765.85869274448</v>
      </c>
      <c r="GH27">
        <v>165111.73496816956</v>
      </c>
      <c r="GI27">
        <v>4600</v>
      </c>
      <c r="GJ27">
        <v>4816.707501929076</v>
      </c>
      <c r="GK27">
        <v>4521.9699741515606</v>
      </c>
      <c r="GL27">
        <v>10000</v>
      </c>
      <c r="GM27">
        <v>10240.584010726619</v>
      </c>
      <c r="GN27">
        <v>9747.8460983138157</v>
      </c>
      <c r="GO27">
        <v>652000</v>
      </c>
      <c r="GP27">
        <v>680447.48317125707</v>
      </c>
      <c r="GQ27">
        <v>655492.46348602884</v>
      </c>
      <c r="GR27">
        <v>56100</v>
      </c>
      <c r="GS27">
        <v>58116.260543216806</v>
      </c>
      <c r="GT27">
        <v>57301.994286032706</v>
      </c>
      <c r="GU27">
        <v>8150</v>
      </c>
      <c r="GV27">
        <v>8090.89292226613</v>
      </c>
      <c r="GW27">
        <v>7710.9906243364521</v>
      </c>
      <c r="GX27">
        <v>27300</v>
      </c>
      <c r="GY27">
        <v>28214.427260226385</v>
      </c>
      <c r="GZ27">
        <v>27066.259130357736</v>
      </c>
      <c r="HA27">
        <v>5700</v>
      </c>
      <c r="HB27">
        <v>5740.8940755691074</v>
      </c>
      <c r="HC27">
        <v>5538.7962302475826</v>
      </c>
      <c r="HD27">
        <v>31600</v>
      </c>
      <c r="HE27">
        <v>32932.955579346315</v>
      </c>
      <c r="HF27">
        <v>31398.647831448419</v>
      </c>
      <c r="HG27">
        <v>9750</v>
      </c>
      <c r="HH27">
        <v>9903.7457989536961</v>
      </c>
      <c r="HI27">
        <v>9564.3131423393279</v>
      </c>
      <c r="HJ27">
        <v>4155</v>
      </c>
      <c r="HK27">
        <v>4404.770742820504</v>
      </c>
      <c r="HL27">
        <v>4238.2827339614596</v>
      </c>
    </row>
    <row r="28" spans="1:220" x14ac:dyDescent="0.4">
      <c r="A28" s="11">
        <v>41443</v>
      </c>
      <c r="B28" s="8">
        <v>334500</v>
      </c>
      <c r="C28" s="8">
        <v>329609.50882662495</v>
      </c>
      <c r="D28" s="8">
        <v>320431.76479369553</v>
      </c>
      <c r="E28" s="8">
        <v>141000</v>
      </c>
      <c r="F28" s="8">
        <v>140333.74465895121</v>
      </c>
      <c r="G28" s="8">
        <v>137318.69827787433</v>
      </c>
      <c r="H28" s="8">
        <v>41800</v>
      </c>
      <c r="I28" s="8">
        <v>42559.982350442689</v>
      </c>
      <c r="J28" s="8">
        <v>40468.22517579874</v>
      </c>
      <c r="K28" s="8">
        <v>52500</v>
      </c>
      <c r="L28" s="8">
        <v>55171.829062247249</v>
      </c>
      <c r="M28" s="8">
        <v>53005.922062061276</v>
      </c>
      <c r="N28" s="8">
        <v>259500</v>
      </c>
      <c r="O28" s="8">
        <v>262417.66376383702</v>
      </c>
      <c r="P28" s="8">
        <v>256002.87570998041</v>
      </c>
      <c r="Q28" s="8">
        <v>83300</v>
      </c>
      <c r="R28" s="8">
        <v>84042.983637994752</v>
      </c>
      <c r="S28" s="8">
        <v>81814.737975284414</v>
      </c>
      <c r="T28" s="8">
        <v>17250</v>
      </c>
      <c r="U28" s="8">
        <v>17187.365628005071</v>
      </c>
      <c r="V28" s="8">
        <v>16542.339758247417</v>
      </c>
      <c r="W28" s="8">
        <v>15000</v>
      </c>
      <c r="X28" s="8">
        <v>15270.978425892376</v>
      </c>
      <c r="Y28" s="8">
        <v>14753.623097476326</v>
      </c>
      <c r="Z28" s="8">
        <v>19700</v>
      </c>
      <c r="AA28" s="8">
        <v>19581.949543761762</v>
      </c>
      <c r="AB28" s="8">
        <v>18781.824370993534</v>
      </c>
      <c r="AC28" s="8">
        <v>12250</v>
      </c>
      <c r="AD28" s="8">
        <v>12248.286118127326</v>
      </c>
      <c r="AE28" s="8">
        <v>11850.64500074239</v>
      </c>
      <c r="AF28" s="8">
        <v>34800</v>
      </c>
      <c r="AG28" s="8">
        <v>32500.243429196988</v>
      </c>
      <c r="AH28" s="8">
        <v>31031.991619576176</v>
      </c>
      <c r="AI28" s="8">
        <v>45800</v>
      </c>
      <c r="AJ28" s="8">
        <v>44657.745426485177</v>
      </c>
      <c r="AK28" s="8">
        <v>43605.381621923807</v>
      </c>
      <c r="AL28" s="8">
        <v>12650</v>
      </c>
      <c r="AM28" s="8">
        <v>13352.699925769608</v>
      </c>
      <c r="AN28" s="8">
        <v>12723.421429393084</v>
      </c>
      <c r="AO28" s="8">
        <v>18550</v>
      </c>
      <c r="AP28" s="8">
        <v>18322.941679744556</v>
      </c>
      <c r="AQ28" s="8">
        <v>17613.244768425688</v>
      </c>
      <c r="AR28" s="8">
        <v>25650</v>
      </c>
      <c r="AS28" s="8">
        <v>26036.876840489203</v>
      </c>
      <c r="AT28" s="8">
        <v>25168.712185457014</v>
      </c>
      <c r="AU28" s="8">
        <v>149500</v>
      </c>
      <c r="AV28" s="8">
        <v>155452.56591796197</v>
      </c>
      <c r="AW28" s="8">
        <v>150263.80708428737</v>
      </c>
      <c r="AX28" s="8">
        <v>575000</v>
      </c>
      <c r="AY28" s="8">
        <v>593610.13521592517</v>
      </c>
      <c r="AZ28" s="8">
        <v>578139.03126194794</v>
      </c>
      <c r="BA28" s="8">
        <v>194000</v>
      </c>
      <c r="BB28" s="8">
        <v>195333.39947633358</v>
      </c>
      <c r="BC28" s="8">
        <v>190953.67816545011</v>
      </c>
      <c r="BD28" s="8">
        <v>36350</v>
      </c>
      <c r="BE28" s="8">
        <v>34044.925341630544</v>
      </c>
      <c r="BF28" s="8">
        <v>32680.460598541762</v>
      </c>
      <c r="BG28" s="8">
        <v>35250</v>
      </c>
      <c r="BH28" s="8">
        <v>34856.763833127719</v>
      </c>
      <c r="BI28" s="8">
        <v>33555.08025204853</v>
      </c>
      <c r="BJ28" s="8">
        <v>69400</v>
      </c>
      <c r="BK28" s="8">
        <v>70151.716692083312</v>
      </c>
      <c r="BL28" s="8">
        <v>68243.733615018646</v>
      </c>
      <c r="BM28" s="8">
        <v>1105000</v>
      </c>
      <c r="BN28" s="8">
        <v>1115266.9088120633</v>
      </c>
      <c r="BO28" s="8">
        <v>1082824.6942035337</v>
      </c>
      <c r="BP28" s="8">
        <v>41800</v>
      </c>
      <c r="BQ28" s="8">
        <v>43082.9675067016</v>
      </c>
      <c r="BR28" s="8">
        <v>41115.666624274789</v>
      </c>
      <c r="BS28" s="8">
        <v>117500</v>
      </c>
      <c r="BT28" s="8">
        <v>118081.33121359939</v>
      </c>
      <c r="BU28" s="8">
        <v>114324.27387243377</v>
      </c>
      <c r="BV28" s="8">
        <v>34250</v>
      </c>
      <c r="BW28" s="8">
        <v>34173.176462018455</v>
      </c>
      <c r="BX28" s="8">
        <v>32956.882898071548</v>
      </c>
      <c r="BY28" s="8">
        <v>26800</v>
      </c>
      <c r="BZ28" s="8">
        <v>27045.431417854459</v>
      </c>
      <c r="CA28" s="8">
        <v>25701.323921098843</v>
      </c>
      <c r="CB28" s="8">
        <v>85900</v>
      </c>
      <c r="CC28" s="8">
        <v>88784.554472366246</v>
      </c>
      <c r="CD28" s="8">
        <v>86215.886098660412</v>
      </c>
      <c r="CE28" s="8">
        <v>15500</v>
      </c>
      <c r="CF28" s="8">
        <v>15885.987511115949</v>
      </c>
      <c r="CG28" s="8">
        <v>15437.721104645116</v>
      </c>
      <c r="CH28" s="8">
        <v>61400</v>
      </c>
      <c r="CI28" s="8">
        <v>61561.827707953409</v>
      </c>
      <c r="CJ28" s="8">
        <v>59615.258356964252</v>
      </c>
      <c r="CK28" s="8">
        <v>313000</v>
      </c>
      <c r="CL28" s="8">
        <v>313936.63688156405</v>
      </c>
      <c r="CM28" s="8">
        <v>309426.23983623326</v>
      </c>
      <c r="CN28" s="8">
        <v>106500</v>
      </c>
      <c r="CO28" s="8">
        <v>103248.47331857159</v>
      </c>
      <c r="CP28" s="8">
        <v>100511.22261603123</v>
      </c>
      <c r="CQ28" s="8">
        <v>73500</v>
      </c>
      <c r="CR28" s="8">
        <v>76078.347717024619</v>
      </c>
      <c r="CS28" s="8">
        <v>74776.918371518084</v>
      </c>
      <c r="CT28" s="8">
        <v>20500</v>
      </c>
      <c r="CU28" s="8">
        <v>21094.156262625467</v>
      </c>
      <c r="CV28" s="8">
        <v>20200.213160982406</v>
      </c>
      <c r="CW28" s="8">
        <v>136500</v>
      </c>
      <c r="CX28" s="8">
        <v>135174.74690433475</v>
      </c>
      <c r="CY28" s="8">
        <v>132782.91888313953</v>
      </c>
      <c r="CZ28" s="8">
        <v>23800</v>
      </c>
      <c r="DA28" s="8">
        <v>23200.660194616972</v>
      </c>
      <c r="DB28" s="8">
        <v>22345.07475000279</v>
      </c>
      <c r="DC28" s="8">
        <v>22750</v>
      </c>
      <c r="DD28" s="8">
        <v>23367.102271581593</v>
      </c>
      <c r="DE28" s="8">
        <v>22766.391119668187</v>
      </c>
      <c r="DF28" s="8">
        <v>58700</v>
      </c>
      <c r="DG28" s="8">
        <v>57973.880911607419</v>
      </c>
      <c r="DH28" s="8">
        <v>56514.898757616131</v>
      </c>
      <c r="DI28" s="8">
        <v>156500</v>
      </c>
      <c r="DJ28" s="8">
        <v>159255.85846847002</v>
      </c>
      <c r="DK28" s="8">
        <v>154525.93979140729</v>
      </c>
      <c r="DL28" s="8">
        <v>26500</v>
      </c>
      <c r="DM28" s="8">
        <v>25987.021910303414</v>
      </c>
      <c r="DN28" s="8">
        <v>25154.942621666709</v>
      </c>
      <c r="DO28" s="8">
        <v>24650</v>
      </c>
      <c r="DP28" s="8">
        <v>25465.83969429561</v>
      </c>
      <c r="DQ28" s="8">
        <v>24580.891943261387</v>
      </c>
      <c r="DR28" s="8">
        <v>4955</v>
      </c>
      <c r="DS28" s="8">
        <v>5040.3921460264119</v>
      </c>
      <c r="DT28" s="8">
        <v>4881.4392157740685</v>
      </c>
      <c r="DU28" s="8">
        <v>184500</v>
      </c>
      <c r="DV28" s="8">
        <v>188415.84570961012</v>
      </c>
      <c r="DW28" s="8">
        <v>183103.94303543045</v>
      </c>
      <c r="DX28" s="8">
        <v>52800</v>
      </c>
      <c r="DY28" s="8">
        <v>50840.976388537354</v>
      </c>
      <c r="DZ28" s="8">
        <v>48831.824242438503</v>
      </c>
      <c r="EA28" s="8">
        <v>11100</v>
      </c>
      <c r="EB28" s="8">
        <v>11098.015941711803</v>
      </c>
      <c r="EC28" s="8">
        <v>10767.464609313745</v>
      </c>
      <c r="ED28" s="8">
        <v>1387000</v>
      </c>
      <c r="EE28" s="8">
        <v>1378446.2437921467</v>
      </c>
      <c r="EF28" s="8">
        <v>1347221.4587107562</v>
      </c>
      <c r="EG28" s="8">
        <v>101500</v>
      </c>
      <c r="EH28" s="8">
        <v>101340.58851883025</v>
      </c>
      <c r="EI28" s="8">
        <v>97769.836176932804</v>
      </c>
      <c r="EJ28" s="8">
        <v>287000</v>
      </c>
      <c r="EK28" s="8">
        <v>285032.2036805682</v>
      </c>
      <c r="EL28" s="8">
        <v>276460.06154264393</v>
      </c>
      <c r="EM28" s="8">
        <v>11600</v>
      </c>
      <c r="EN28" s="8">
        <v>11365.98477909826</v>
      </c>
      <c r="EO28" s="8">
        <v>11049.42747399367</v>
      </c>
      <c r="EP28" s="8">
        <v>57600</v>
      </c>
      <c r="EQ28" s="8">
        <v>58721.864284471834</v>
      </c>
      <c r="ER28" s="8">
        <v>56749.138428848601</v>
      </c>
      <c r="ES28" s="8">
        <v>12050</v>
      </c>
      <c r="ET28" s="8">
        <v>11934.931539399648</v>
      </c>
      <c r="EU28" s="8">
        <v>11452.892641078324</v>
      </c>
      <c r="EV28">
        <v>296000</v>
      </c>
      <c r="EW28">
        <v>306647.02862393204</v>
      </c>
      <c r="EX28">
        <v>293402.15376638004</v>
      </c>
      <c r="EY28">
        <v>31750</v>
      </c>
      <c r="EZ28">
        <v>30890.325091607949</v>
      </c>
      <c r="FA28">
        <v>30046.191536821367</v>
      </c>
      <c r="FB28">
        <v>2600</v>
      </c>
      <c r="FC28">
        <v>2594.1332736311406</v>
      </c>
      <c r="FD28">
        <v>2504.7926428065216</v>
      </c>
      <c r="FE28">
        <v>56700</v>
      </c>
      <c r="FF28">
        <v>57182.073553100432</v>
      </c>
      <c r="FG28">
        <v>56012.900884496907</v>
      </c>
      <c r="FH28">
        <v>48750</v>
      </c>
      <c r="FI28">
        <v>50285.043636978655</v>
      </c>
      <c r="FJ28">
        <v>47697.10268098479</v>
      </c>
      <c r="FK28">
        <v>75500</v>
      </c>
      <c r="FL28">
        <v>73414.599372316166</v>
      </c>
      <c r="FM28">
        <v>71563.756801490876</v>
      </c>
      <c r="FN28">
        <v>31400</v>
      </c>
      <c r="FO28">
        <v>32486.046522597266</v>
      </c>
      <c r="FP28">
        <v>31479.759644001526</v>
      </c>
      <c r="FQ28">
        <v>30400</v>
      </c>
      <c r="FR28">
        <v>31267.621591062554</v>
      </c>
      <c r="FS28">
        <v>30046.318572371667</v>
      </c>
      <c r="FT28">
        <v>862000</v>
      </c>
      <c r="FU28">
        <v>869319.23997612798</v>
      </c>
      <c r="FV28">
        <v>843767.36623815203</v>
      </c>
      <c r="FW28">
        <v>16650</v>
      </c>
      <c r="FX28">
        <v>16889.459899420865</v>
      </c>
      <c r="FY28">
        <v>16270.438087219125</v>
      </c>
      <c r="FZ28">
        <v>27800</v>
      </c>
      <c r="GA28">
        <v>28264.260996092504</v>
      </c>
      <c r="GB28">
        <v>27186.39801738497</v>
      </c>
      <c r="GC28">
        <v>21000</v>
      </c>
      <c r="GD28">
        <v>21133.742885922438</v>
      </c>
      <c r="GE28">
        <v>20640.424525785424</v>
      </c>
      <c r="GF28">
        <v>168000</v>
      </c>
      <c r="GG28">
        <v>172290.55385964396</v>
      </c>
      <c r="GH28">
        <v>166585.9468875282</v>
      </c>
      <c r="GI28">
        <v>4635</v>
      </c>
      <c r="GJ28">
        <v>4801.1194517610165</v>
      </c>
      <c r="GK28">
        <v>4507.3357671154672</v>
      </c>
      <c r="GL28">
        <v>9980</v>
      </c>
      <c r="GM28">
        <v>10045.62299248632</v>
      </c>
      <c r="GN28">
        <v>9562.265861973161</v>
      </c>
      <c r="GO28">
        <v>670000</v>
      </c>
      <c r="GP28">
        <v>682478.66968818626</v>
      </c>
      <c r="GQ28">
        <v>657449.15740688273</v>
      </c>
      <c r="GR28">
        <v>57800</v>
      </c>
      <c r="GS28">
        <v>58820.090688203811</v>
      </c>
      <c r="GT28">
        <v>57995.963074963853</v>
      </c>
      <c r="GU28">
        <v>7890</v>
      </c>
      <c r="GV28">
        <v>7957.5828994657986</v>
      </c>
      <c r="GW28">
        <v>7583.9400817301466</v>
      </c>
      <c r="GX28">
        <v>27550</v>
      </c>
      <c r="GY28">
        <v>27958.397974743355</v>
      </c>
      <c r="GZ28">
        <v>26820.648793421609</v>
      </c>
      <c r="HA28">
        <v>5630</v>
      </c>
      <c r="HB28">
        <v>5618.5304363029818</v>
      </c>
      <c r="HC28">
        <v>5420.7401827112235</v>
      </c>
      <c r="HD28">
        <v>32050</v>
      </c>
      <c r="HE28">
        <v>33087.087976753595</v>
      </c>
      <c r="HF28">
        <v>31545.599381361637</v>
      </c>
      <c r="HG28">
        <v>9750</v>
      </c>
      <c r="HH28">
        <v>9649.8035989805157</v>
      </c>
      <c r="HI28">
        <v>9319.0743438177979</v>
      </c>
      <c r="HJ28">
        <v>4330</v>
      </c>
      <c r="HK28">
        <v>4353.9073393237359</v>
      </c>
      <c r="HL28">
        <v>4189.3418247933168</v>
      </c>
    </row>
    <row r="29" spans="1:220" x14ac:dyDescent="0.4">
      <c r="A29" s="11">
        <v>41442</v>
      </c>
      <c r="B29" s="10">
        <v>323800</v>
      </c>
      <c r="C29" s="10">
        <v>332154.36297136382</v>
      </c>
      <c r="D29" s="10">
        <v>322905.75927171938</v>
      </c>
      <c r="E29" s="10">
        <v>138500</v>
      </c>
      <c r="F29" s="10">
        <v>144386.70479350563</v>
      </c>
      <c r="G29" s="10">
        <v>141284.58126062871</v>
      </c>
      <c r="H29" s="10">
        <v>41850</v>
      </c>
      <c r="I29" s="10">
        <v>43475.25078808664</v>
      </c>
      <c r="J29" s="10">
        <v>41338.509588181529</v>
      </c>
      <c r="K29" s="10">
        <v>54000</v>
      </c>
      <c r="L29" s="10">
        <v>56908.719977169894</v>
      </c>
      <c r="M29" s="10">
        <v>54674.62701586695</v>
      </c>
      <c r="N29" s="10">
        <v>259000</v>
      </c>
      <c r="O29" s="10">
        <v>262417.66376383702</v>
      </c>
      <c r="P29" s="10">
        <v>256002.87570998041</v>
      </c>
      <c r="Q29" s="10">
        <v>82700</v>
      </c>
      <c r="R29" s="10">
        <v>85262.470704084073</v>
      </c>
      <c r="S29" s="10">
        <v>83001.892577102233</v>
      </c>
      <c r="T29" s="10">
        <v>16850</v>
      </c>
      <c r="U29" s="10">
        <v>18054.384072147743</v>
      </c>
      <c r="V29" s="10">
        <v>17376.819805399347</v>
      </c>
      <c r="W29" s="10">
        <v>15000</v>
      </c>
      <c r="X29" s="10">
        <v>15270.978425892376</v>
      </c>
      <c r="Y29" s="10">
        <v>14753.623097476326</v>
      </c>
      <c r="Z29" s="10">
        <v>19150</v>
      </c>
      <c r="AA29" s="10">
        <v>18866.160265399736</v>
      </c>
      <c r="AB29" s="10">
        <v>18095.282487980738</v>
      </c>
      <c r="AC29" s="10">
        <v>12100</v>
      </c>
      <c r="AD29" s="10">
        <v>12349.511623235803</v>
      </c>
      <c r="AE29" s="10">
        <v>11948.584215624547</v>
      </c>
      <c r="AF29" s="10">
        <v>31900</v>
      </c>
      <c r="AG29" s="10">
        <v>32551.184249618949</v>
      </c>
      <c r="AH29" s="10">
        <v>31080.631104873341</v>
      </c>
      <c r="AI29" s="10">
        <v>44050</v>
      </c>
      <c r="AJ29" s="10">
        <v>46989.477877811238</v>
      </c>
      <c r="AK29" s="10">
        <v>45882.166587427142</v>
      </c>
      <c r="AL29" s="10">
        <v>12950</v>
      </c>
      <c r="AM29" s="10">
        <v>12888.706492055606</v>
      </c>
      <c r="AN29" s="10">
        <v>12281.294816016491</v>
      </c>
      <c r="AO29" s="10">
        <v>17900</v>
      </c>
      <c r="AP29" s="10">
        <v>18834.755693145245</v>
      </c>
      <c r="AQ29" s="10">
        <v>18105.234845756018</v>
      </c>
      <c r="AR29" s="10">
        <v>25600</v>
      </c>
      <c r="AS29" s="10">
        <v>25833.463740172909</v>
      </c>
      <c r="AT29" s="10">
        <v>24972.081621508158</v>
      </c>
      <c r="AU29" s="10">
        <v>153500</v>
      </c>
      <c r="AV29" s="10">
        <v>155452.56591796197</v>
      </c>
      <c r="AW29" s="10">
        <v>150263.80708428737</v>
      </c>
      <c r="AX29" s="10">
        <v>586000</v>
      </c>
      <c r="AY29" s="10">
        <v>588545.2023215919</v>
      </c>
      <c r="AZ29" s="10">
        <v>573206.10437404783</v>
      </c>
      <c r="BA29" s="10">
        <v>193500</v>
      </c>
      <c r="BB29" s="10">
        <v>196847.61187537492</v>
      </c>
      <c r="BC29" s="10">
        <v>192433.9392365001</v>
      </c>
      <c r="BD29" s="10">
        <v>33250</v>
      </c>
      <c r="BE29" s="10">
        <v>33840.14383581627</v>
      </c>
      <c r="BF29" s="10">
        <v>32483.886399452829</v>
      </c>
      <c r="BG29" s="10">
        <v>34100</v>
      </c>
      <c r="BH29" s="10">
        <v>35418.969701403963</v>
      </c>
      <c r="BI29" s="10">
        <v>34096.291223855762</v>
      </c>
      <c r="BJ29" s="10">
        <v>69400</v>
      </c>
      <c r="BK29" s="10">
        <v>70556.049353132825</v>
      </c>
      <c r="BL29" s="10">
        <v>68637.069255451075</v>
      </c>
      <c r="BM29" s="10">
        <v>1100000</v>
      </c>
      <c r="BN29" s="10">
        <v>1118308.545836095</v>
      </c>
      <c r="BO29" s="10">
        <v>1085777.8524604512</v>
      </c>
      <c r="BP29" s="10">
        <v>41950</v>
      </c>
      <c r="BQ29" s="10">
        <v>43442.420155744439</v>
      </c>
      <c r="BR29" s="10">
        <v>41458.705559161499</v>
      </c>
      <c r="BS29" s="10">
        <v>116500</v>
      </c>
      <c r="BT29" s="10">
        <v>117067.75755511347</v>
      </c>
      <c r="BU29" s="10">
        <v>113342.94963318533</v>
      </c>
      <c r="BV29" s="10">
        <v>33600</v>
      </c>
      <c r="BW29" s="10">
        <v>35291.941167620222</v>
      </c>
      <c r="BX29" s="10">
        <v>34035.828469139342</v>
      </c>
      <c r="BY29" s="10">
        <v>26200</v>
      </c>
      <c r="BZ29" s="10">
        <v>27355.111930272644</v>
      </c>
      <c r="CA29" s="10">
        <v>25995.613889661046</v>
      </c>
      <c r="CB29" s="10">
        <v>87600</v>
      </c>
      <c r="CC29" s="10">
        <v>90710.246863890148</v>
      </c>
      <c r="CD29" s="10">
        <v>88085.865363357356</v>
      </c>
      <c r="CE29" s="10">
        <v>15700</v>
      </c>
      <c r="CF29" s="10">
        <v>16644.872264831669</v>
      </c>
      <c r="CG29" s="10">
        <v>16175.191858051719</v>
      </c>
      <c r="CH29" s="10">
        <v>60400</v>
      </c>
      <c r="CI29" s="10">
        <v>63192.604600879393</v>
      </c>
      <c r="CJ29" s="10">
        <v>61194.470498870658</v>
      </c>
      <c r="CK29" s="10">
        <v>312000</v>
      </c>
      <c r="CL29" s="10">
        <v>315445.94763580232</v>
      </c>
      <c r="CM29" s="10">
        <v>310913.8659892921</v>
      </c>
      <c r="CN29" s="10">
        <v>101500</v>
      </c>
      <c r="CO29" s="10">
        <v>105282.92599479959</v>
      </c>
      <c r="CP29" s="10">
        <v>102491.73931782493</v>
      </c>
      <c r="CQ29" s="10">
        <v>75700</v>
      </c>
      <c r="CR29" s="10">
        <v>79997.839871534496</v>
      </c>
      <c r="CS29" s="10">
        <v>78629.361986431191</v>
      </c>
      <c r="CT29" s="10">
        <v>20700</v>
      </c>
      <c r="CU29" s="10">
        <v>21450.820740495965</v>
      </c>
      <c r="CV29" s="10">
        <v>20541.762658873431</v>
      </c>
      <c r="CW29" s="10">
        <v>134000</v>
      </c>
      <c r="CX29" s="10">
        <v>134165.98013639185</v>
      </c>
      <c r="CY29" s="10">
        <v>131792.00157804138</v>
      </c>
      <c r="CZ29" s="10">
        <v>22700</v>
      </c>
      <c r="DA29" s="10">
        <v>24018.304606762078</v>
      </c>
      <c r="DB29" s="10">
        <v>23132.566371148278</v>
      </c>
      <c r="DC29" s="10">
        <v>23000</v>
      </c>
      <c r="DD29" s="10">
        <v>23875.082755746425</v>
      </c>
      <c r="DE29" s="10">
        <v>23261.312665747944</v>
      </c>
      <c r="DF29" s="10">
        <v>57100</v>
      </c>
      <c r="DG29" s="10">
        <v>57872.350472182588</v>
      </c>
      <c r="DH29" s="10">
        <v>56415.923453312127</v>
      </c>
      <c r="DI29" s="10">
        <v>156500</v>
      </c>
      <c r="DJ29" s="10">
        <v>159764.66312811355</v>
      </c>
      <c r="DK29" s="10">
        <v>155019.63288978225</v>
      </c>
      <c r="DL29" s="10">
        <v>25500</v>
      </c>
      <c r="DM29" s="10">
        <v>26904.210918902365</v>
      </c>
      <c r="DN29" s="10">
        <v>26042.764125960832</v>
      </c>
      <c r="DO29" s="10">
        <v>25050</v>
      </c>
      <c r="DP29" s="10">
        <v>25618.329752345293</v>
      </c>
      <c r="DQ29" s="10">
        <v>24728.082912981528</v>
      </c>
      <c r="DR29" s="10">
        <v>4950</v>
      </c>
      <c r="DS29" s="10">
        <v>5162.5834707785689</v>
      </c>
      <c r="DT29" s="10">
        <v>4999.7771361564719</v>
      </c>
      <c r="DU29" s="10">
        <v>185500</v>
      </c>
      <c r="DV29" s="10">
        <v>187400.12686481423</v>
      </c>
      <c r="DW29" s="10">
        <v>182116.85978456546</v>
      </c>
      <c r="DX29" s="10">
        <v>49750</v>
      </c>
      <c r="DY29" s="10">
        <v>53140.317029224978</v>
      </c>
      <c r="DZ29" s="10">
        <v>51040.298705664361</v>
      </c>
      <c r="EA29" s="10">
        <v>10950</v>
      </c>
      <c r="EB29" s="10">
        <v>11300.719429231664</v>
      </c>
      <c r="EC29" s="10">
        <v>10964.130629575193</v>
      </c>
      <c r="ED29" s="10">
        <v>1366000</v>
      </c>
      <c r="EE29" s="10">
        <v>1381473.5781489371</v>
      </c>
      <c r="EF29" s="10">
        <v>1350180.2174048496</v>
      </c>
      <c r="EG29" s="10">
        <v>99700</v>
      </c>
      <c r="EH29" s="10">
        <v>105711.34609787702</v>
      </c>
      <c r="EI29" s="10">
        <v>101986.58939218661</v>
      </c>
      <c r="EJ29" s="10">
        <v>280500</v>
      </c>
      <c r="EK29" s="10">
        <v>285540.28247500747</v>
      </c>
      <c r="EL29" s="10">
        <v>276952.86022632045</v>
      </c>
      <c r="EM29" s="10">
        <v>11200</v>
      </c>
      <c r="EN29" s="10">
        <v>11365.98477909826</v>
      </c>
      <c r="EO29" s="10">
        <v>11049.42747399367</v>
      </c>
      <c r="EP29" s="10">
        <v>57500</v>
      </c>
      <c r="EQ29" s="10">
        <v>58823.989265836084</v>
      </c>
      <c r="ER29" s="10">
        <v>56847.832582637857</v>
      </c>
      <c r="ES29" s="10">
        <v>11700</v>
      </c>
      <c r="ET29" s="10">
        <v>11781.919596586826</v>
      </c>
      <c r="EU29" s="10">
        <v>11306.060684141416</v>
      </c>
      <c r="EV29">
        <v>301000</v>
      </c>
      <c r="EW29">
        <v>319890.92022563011</v>
      </c>
      <c r="EX29">
        <v>306074.00758353266</v>
      </c>
      <c r="EY29">
        <v>30450</v>
      </c>
      <c r="EZ29">
        <v>31955.508715456497</v>
      </c>
      <c r="FA29">
        <v>31082.267107056585</v>
      </c>
      <c r="FB29">
        <v>2550</v>
      </c>
      <c r="FC29">
        <v>2624.6524886150369</v>
      </c>
      <c r="FD29">
        <v>2534.2607915454228</v>
      </c>
      <c r="FE29">
        <v>56800</v>
      </c>
      <c r="FF29">
        <v>57383.418882512808</v>
      </c>
      <c r="FG29">
        <v>56210.129408738139</v>
      </c>
      <c r="FH29">
        <v>48900</v>
      </c>
      <c r="FI29">
        <v>52547.356438642295</v>
      </c>
      <c r="FJ29">
        <v>49842.984601192678</v>
      </c>
      <c r="FK29">
        <v>72600</v>
      </c>
      <c r="FL29">
        <v>74425.819749345377</v>
      </c>
      <c r="FM29">
        <v>72549.483479197399</v>
      </c>
      <c r="FN29">
        <v>32100</v>
      </c>
      <c r="FO29">
        <v>32992.059708307475</v>
      </c>
      <c r="FP29">
        <v>31970.098579266323</v>
      </c>
      <c r="FQ29">
        <v>30500</v>
      </c>
      <c r="FR29">
        <v>31267.621591062554</v>
      </c>
      <c r="FS29">
        <v>30046.318572371667</v>
      </c>
      <c r="FT29">
        <v>857000</v>
      </c>
      <c r="FU29">
        <v>869319.23997612798</v>
      </c>
      <c r="FV29">
        <v>843767.36623815203</v>
      </c>
      <c r="FW29">
        <v>16650</v>
      </c>
      <c r="FX29">
        <v>17143.055393406146</v>
      </c>
      <c r="FY29">
        <v>16514.738959399579</v>
      </c>
      <c r="FZ29">
        <v>27800</v>
      </c>
      <c r="GA29">
        <v>28823.44601579936</v>
      </c>
      <c r="GB29">
        <v>27724.25840981524</v>
      </c>
      <c r="GC29">
        <v>20950</v>
      </c>
      <c r="GD29">
        <v>21184.181413096481</v>
      </c>
      <c r="GE29">
        <v>20689.685682171552</v>
      </c>
      <c r="GF29">
        <v>169500</v>
      </c>
      <c r="GG29">
        <v>172798.7855819439</v>
      </c>
      <c r="GH29">
        <v>167077.35086064786</v>
      </c>
      <c r="GI29">
        <v>4620</v>
      </c>
      <c r="GJ29">
        <v>5642.8741608360051</v>
      </c>
      <c r="GK29">
        <v>5297.5829470642875</v>
      </c>
      <c r="GL29">
        <v>9790</v>
      </c>
      <c r="GM29">
        <v>10415.022816520548</v>
      </c>
      <c r="GN29">
        <v>9913.8915729343789</v>
      </c>
      <c r="GO29">
        <v>672000</v>
      </c>
      <c r="GP29">
        <v>691619.00901436782</v>
      </c>
      <c r="GQ29">
        <v>666254.28005072533</v>
      </c>
      <c r="GR29">
        <v>58500</v>
      </c>
      <c r="GS29">
        <v>59624.467996760497</v>
      </c>
      <c r="GT29">
        <v>58789.070262313835</v>
      </c>
      <c r="GU29">
        <v>7760</v>
      </c>
      <c r="GV29">
        <v>8224.2029450664559</v>
      </c>
      <c r="GW29">
        <v>7838.041166942754</v>
      </c>
      <c r="GX29">
        <v>27300</v>
      </c>
      <c r="GY29">
        <v>29699.397116027762</v>
      </c>
      <c r="GZ29">
        <v>28490.799084587081</v>
      </c>
      <c r="HA29">
        <v>5510</v>
      </c>
      <c r="HB29">
        <v>6016.2122639178942</v>
      </c>
      <c r="HC29">
        <v>5804.4223372043953</v>
      </c>
      <c r="HD29">
        <v>32200</v>
      </c>
      <c r="HE29">
        <v>33754.995032184961</v>
      </c>
      <c r="HF29">
        <v>32182.389430985404</v>
      </c>
      <c r="HG29">
        <v>9500</v>
      </c>
      <c r="HH29">
        <v>9974.8496149461807</v>
      </c>
      <c r="HI29">
        <v>9632.9800059253521</v>
      </c>
      <c r="HJ29">
        <v>4280</v>
      </c>
      <c r="HK29">
        <v>4455.634146317283</v>
      </c>
      <c r="HL29">
        <v>4287.2236431296114</v>
      </c>
    </row>
    <row r="30" spans="1:220" x14ac:dyDescent="0.4">
      <c r="A30" s="73">
        <v>41439</v>
      </c>
      <c r="B30" s="8">
        <v>326300</v>
      </c>
      <c r="C30" s="8">
        <v>332256.15713715338</v>
      </c>
      <c r="D30" s="8">
        <v>323004.71905084036</v>
      </c>
      <c r="E30" s="8">
        <v>142500</v>
      </c>
      <c r="F30" s="8">
        <v>140333.74465895121</v>
      </c>
      <c r="G30" s="8">
        <v>137318.69827787433</v>
      </c>
      <c r="H30" s="8">
        <v>42750</v>
      </c>
      <c r="I30" s="8">
        <v>41746.410405870323</v>
      </c>
      <c r="J30" s="8">
        <v>39694.639031458515</v>
      </c>
      <c r="K30" s="8">
        <v>55700</v>
      </c>
      <c r="L30" s="8">
        <v>57419.570246264746</v>
      </c>
      <c r="M30" s="8">
        <v>55165.422590515642</v>
      </c>
      <c r="N30" s="8">
        <v>259000</v>
      </c>
      <c r="O30" s="8">
        <v>259378.07692487389</v>
      </c>
      <c r="P30" s="8">
        <v>253037.59143534771</v>
      </c>
      <c r="Q30" s="8">
        <v>83900</v>
      </c>
      <c r="R30" s="8">
        <v>84551.103248865358</v>
      </c>
      <c r="S30" s="8">
        <v>82309.385726041903</v>
      </c>
      <c r="T30" s="8">
        <v>17700</v>
      </c>
      <c r="U30" s="8">
        <v>17697.376477500758</v>
      </c>
      <c r="V30" s="8">
        <v>17033.210374219139</v>
      </c>
      <c r="W30" s="8">
        <v>15000</v>
      </c>
      <c r="X30" s="8">
        <v>14863.752334535247</v>
      </c>
      <c r="Y30" s="8">
        <v>14360.193148210294</v>
      </c>
      <c r="Z30" s="8">
        <v>18450</v>
      </c>
      <c r="AA30" s="8">
        <v>18917.288070997005</v>
      </c>
      <c r="AB30" s="8">
        <v>18144.321193910204</v>
      </c>
      <c r="AC30" s="8">
        <v>12200</v>
      </c>
      <c r="AD30" s="8">
        <v>12096.44786046459</v>
      </c>
      <c r="AE30" s="8">
        <v>11703.736178419138</v>
      </c>
      <c r="AF30" s="8">
        <v>31950</v>
      </c>
      <c r="AG30" s="8">
        <v>34537.876246074564</v>
      </c>
      <c r="AH30" s="8">
        <v>32977.571031461855</v>
      </c>
      <c r="AI30" s="8">
        <v>46350</v>
      </c>
      <c r="AJ30" s="8">
        <v>47445.686400896855</v>
      </c>
      <c r="AK30" s="8">
        <v>46327.624515460484</v>
      </c>
      <c r="AL30" s="8">
        <v>12500</v>
      </c>
      <c r="AM30" s="8">
        <v>13301.145099801377</v>
      </c>
      <c r="AN30" s="8">
        <v>12674.296250129011</v>
      </c>
      <c r="AO30" s="8">
        <v>18400</v>
      </c>
      <c r="AP30" s="8">
        <v>20011.927923966799</v>
      </c>
      <c r="AQ30" s="8">
        <v>19236.812023615748</v>
      </c>
      <c r="AR30" s="8">
        <v>25400</v>
      </c>
      <c r="AS30" s="8">
        <v>26494.556316200931</v>
      </c>
      <c r="AT30" s="8">
        <v>25611.130954342003</v>
      </c>
      <c r="AU30" s="8">
        <v>153500</v>
      </c>
      <c r="AV30" s="8">
        <v>157984.36666581174</v>
      </c>
      <c r="AW30" s="8">
        <v>152711.10035927597</v>
      </c>
      <c r="AX30" s="8">
        <v>581000</v>
      </c>
      <c r="AY30" s="8">
        <v>582467.28284839122</v>
      </c>
      <c r="AZ30" s="8">
        <v>567286.59210856701</v>
      </c>
      <c r="BA30" s="8">
        <v>195000</v>
      </c>
      <c r="BB30" s="8">
        <v>199876.03667345777</v>
      </c>
      <c r="BC30" s="8">
        <v>195394.46137860024</v>
      </c>
      <c r="BD30" s="8">
        <v>33050</v>
      </c>
      <c r="BE30" s="8">
        <v>34454.488353259185</v>
      </c>
      <c r="BF30" s="8">
        <v>33073.608996719704</v>
      </c>
      <c r="BG30" s="8">
        <v>34650</v>
      </c>
      <c r="BH30" s="8">
        <v>36696.710311122719</v>
      </c>
      <c r="BI30" s="8">
        <v>35326.316159781287</v>
      </c>
      <c r="BJ30" s="8">
        <v>69800</v>
      </c>
      <c r="BK30" s="8">
        <v>70151.716692083312</v>
      </c>
      <c r="BL30" s="8">
        <v>68243.733615018646</v>
      </c>
      <c r="BM30" s="8">
        <v>1103000</v>
      </c>
      <c r="BN30" s="8">
        <v>1100058.7236918984</v>
      </c>
      <c r="BO30" s="8">
        <v>1068058.9029189397</v>
      </c>
      <c r="BP30" s="8">
        <v>42300</v>
      </c>
      <c r="BQ30" s="8">
        <v>44982.931508785012</v>
      </c>
      <c r="BR30" s="8">
        <v>42928.872422961547</v>
      </c>
      <c r="BS30" s="8">
        <v>115500</v>
      </c>
      <c r="BT30" s="8">
        <v>116560.97072587072</v>
      </c>
      <c r="BU30" s="8">
        <v>112852.2875135613</v>
      </c>
      <c r="BV30" s="8">
        <v>34700</v>
      </c>
      <c r="BW30" s="8">
        <v>35647.911755766268</v>
      </c>
      <c r="BX30" s="8">
        <v>34379.129332660945</v>
      </c>
      <c r="BY30" s="8">
        <v>26500</v>
      </c>
      <c r="BZ30" s="8">
        <v>27871.246117636267</v>
      </c>
      <c r="CA30" s="8">
        <v>26486.097170598037</v>
      </c>
      <c r="CB30" s="8">
        <v>89500</v>
      </c>
      <c r="CC30" s="8">
        <v>92838.643717679792</v>
      </c>
      <c r="CD30" s="8">
        <v>90152.684550654041</v>
      </c>
      <c r="CE30" s="8">
        <v>16450</v>
      </c>
      <c r="CF30" s="8">
        <v>16695.464581746048</v>
      </c>
      <c r="CG30" s="8">
        <v>16224.35657494549</v>
      </c>
      <c r="CH30" s="8">
        <v>62000</v>
      </c>
      <c r="CI30" s="8">
        <v>65129.152161228885</v>
      </c>
      <c r="CJ30" s="8">
        <v>63069.784917384401</v>
      </c>
      <c r="CK30" s="8">
        <v>313500</v>
      </c>
      <c r="CL30" s="8">
        <v>314942.84405105608</v>
      </c>
      <c r="CM30" s="8">
        <v>310417.990604939</v>
      </c>
      <c r="CN30" s="8">
        <v>103500</v>
      </c>
      <c r="CO30" s="8">
        <v>107825.99184008462</v>
      </c>
      <c r="CP30" s="8">
        <v>104967.38519506709</v>
      </c>
      <c r="CQ30" s="8">
        <v>79600</v>
      </c>
      <c r="CR30" s="8">
        <v>79897.340072700841</v>
      </c>
      <c r="CS30" s="8">
        <v>78530.581380920528</v>
      </c>
      <c r="CT30" s="8">
        <v>21050</v>
      </c>
      <c r="CU30" s="8">
        <v>21552.724877030385</v>
      </c>
      <c r="CV30" s="8">
        <v>20639.34822969943</v>
      </c>
      <c r="CW30" s="8">
        <v>133000</v>
      </c>
      <c r="CX30" s="8">
        <v>133157.21336844904</v>
      </c>
      <c r="CY30" s="8">
        <v>130801.08427294329</v>
      </c>
      <c r="CZ30" s="8">
        <v>23500</v>
      </c>
      <c r="DA30" s="8">
        <v>24784.84624314808</v>
      </c>
      <c r="DB30" s="8">
        <v>23870.839765972138</v>
      </c>
      <c r="DC30" s="8">
        <v>23500</v>
      </c>
      <c r="DD30" s="8">
        <v>23367.102271581593</v>
      </c>
      <c r="DE30" s="8">
        <v>22766.391119668187</v>
      </c>
      <c r="DF30" s="8">
        <v>57000</v>
      </c>
      <c r="DG30" s="8">
        <v>57364.69827505813</v>
      </c>
      <c r="DH30" s="8">
        <v>55921.046931791796</v>
      </c>
      <c r="DI30" s="8">
        <v>157000</v>
      </c>
      <c r="DJ30" s="8">
        <v>160273.46778775725</v>
      </c>
      <c r="DK30" s="8">
        <v>155513.32598815739</v>
      </c>
      <c r="DL30" s="8">
        <v>26400</v>
      </c>
      <c r="DM30" s="8">
        <v>27209.940588435329</v>
      </c>
      <c r="DN30" s="8">
        <v>26338.704627392188</v>
      </c>
      <c r="DO30" s="8">
        <v>25200</v>
      </c>
      <c r="DP30" s="8">
        <v>25872.479849094765</v>
      </c>
      <c r="DQ30" s="8">
        <v>24973.401195848419</v>
      </c>
      <c r="DR30" s="8">
        <v>5070</v>
      </c>
      <c r="DS30" s="8">
        <v>5152.400860382555</v>
      </c>
      <c r="DT30" s="8">
        <v>4989.9156427912712</v>
      </c>
      <c r="DU30" s="8">
        <v>184500</v>
      </c>
      <c r="DV30" s="8">
        <v>185368.68917522291</v>
      </c>
      <c r="DW30" s="8">
        <v>180142.69328283591</v>
      </c>
      <c r="DX30" s="8">
        <v>52000</v>
      </c>
      <c r="DY30" s="8">
        <v>54264.439120227864</v>
      </c>
      <c r="DZ30" s="8">
        <v>52119.997332130391</v>
      </c>
      <c r="EA30" s="8">
        <v>11150</v>
      </c>
      <c r="EB30" s="8">
        <v>11554.098788631469</v>
      </c>
      <c r="EC30" s="8">
        <v>11209.963154901983</v>
      </c>
      <c r="ED30" s="8">
        <v>1369000</v>
      </c>
      <c r="EE30" s="8">
        <v>1369364.2407217715</v>
      </c>
      <c r="EF30" s="8">
        <v>1338345.1826284723</v>
      </c>
      <c r="EG30" s="8">
        <v>104000</v>
      </c>
      <c r="EH30" s="8">
        <v>105711.34609787702</v>
      </c>
      <c r="EI30" s="8">
        <v>101986.58939218661</v>
      </c>
      <c r="EJ30" s="8">
        <v>281000</v>
      </c>
      <c r="EK30" s="8">
        <v>284016.04609168926</v>
      </c>
      <c r="EL30" s="8">
        <v>275474.4641752906</v>
      </c>
      <c r="EM30" s="8">
        <v>11200</v>
      </c>
      <c r="EN30" s="8">
        <v>11568.948793010735</v>
      </c>
      <c r="EO30" s="8">
        <v>11246.738678886421</v>
      </c>
      <c r="EP30" s="8">
        <v>57600</v>
      </c>
      <c r="EQ30" s="8">
        <v>58619.73930310749</v>
      </c>
      <c r="ER30" s="8">
        <v>56650.444275059257</v>
      </c>
      <c r="ES30" s="8">
        <v>11550</v>
      </c>
      <c r="ET30" s="8">
        <v>12036.93950127485</v>
      </c>
      <c r="EU30" s="8">
        <v>11550.780612369585</v>
      </c>
      <c r="EV30">
        <v>314000</v>
      </c>
      <c r="EW30">
        <v>302571.98505417892</v>
      </c>
      <c r="EX30">
        <v>289503.12182264088</v>
      </c>
      <c r="EY30">
        <v>31500</v>
      </c>
      <c r="EZ30">
        <v>32513.46204223427</v>
      </c>
      <c r="FA30">
        <v>31624.973358132138</v>
      </c>
      <c r="FB30">
        <v>2580</v>
      </c>
      <c r="FC30">
        <v>2609.3928811230885</v>
      </c>
      <c r="FD30">
        <v>2519.526717175972</v>
      </c>
      <c r="FE30">
        <v>57000</v>
      </c>
      <c r="FF30">
        <v>57383.418882512808</v>
      </c>
      <c r="FG30">
        <v>56210.129408738139</v>
      </c>
      <c r="FH30">
        <v>51100</v>
      </c>
      <c r="FI30">
        <v>55426.663640759711</v>
      </c>
      <c r="FJ30">
        <v>52574.107045093668</v>
      </c>
      <c r="FK30">
        <v>73600</v>
      </c>
      <c r="FL30">
        <v>74324.697711642351</v>
      </c>
      <c r="FM30">
        <v>72450.910811426642</v>
      </c>
      <c r="FN30">
        <v>32600</v>
      </c>
      <c r="FO30">
        <v>32637.850478310334</v>
      </c>
      <c r="FP30">
        <v>31626.861324580972</v>
      </c>
      <c r="FQ30">
        <v>30500</v>
      </c>
      <c r="FR30">
        <v>31267.621591062554</v>
      </c>
      <c r="FS30">
        <v>30046.318572371667</v>
      </c>
      <c r="FT30">
        <v>857000</v>
      </c>
      <c r="FU30">
        <v>868304.8651336818</v>
      </c>
      <c r="FV30">
        <v>842782.80688431498</v>
      </c>
      <c r="FW30">
        <v>16900</v>
      </c>
      <c r="FX30">
        <v>17751.684578970886</v>
      </c>
      <c r="FY30">
        <v>17101.061052632722</v>
      </c>
      <c r="FZ30">
        <v>28350</v>
      </c>
      <c r="GA30">
        <v>28823.44601579936</v>
      </c>
      <c r="GB30">
        <v>27724.25840981524</v>
      </c>
      <c r="GC30">
        <v>21000</v>
      </c>
      <c r="GD30">
        <v>20881.550250052245</v>
      </c>
      <c r="GE30">
        <v>20394.118743854815</v>
      </c>
      <c r="GF30">
        <v>170000</v>
      </c>
      <c r="GG30">
        <v>176356.40763804287</v>
      </c>
      <c r="GH30">
        <v>170517.17867248482</v>
      </c>
      <c r="GI30">
        <v>5430</v>
      </c>
      <c r="GJ30">
        <v>5538.9538263823024</v>
      </c>
      <c r="GK30">
        <v>5200.0215668236924</v>
      </c>
      <c r="GL30">
        <v>10150</v>
      </c>
      <c r="GM30">
        <v>10240.584010726619</v>
      </c>
      <c r="GN30">
        <v>9747.8460983138157</v>
      </c>
      <c r="GO30">
        <v>681000</v>
      </c>
      <c r="GP30">
        <v>692634.60227283149</v>
      </c>
      <c r="GQ30">
        <v>667232.6270111514</v>
      </c>
      <c r="GR30">
        <v>59300</v>
      </c>
      <c r="GS30">
        <v>58820.090688203811</v>
      </c>
      <c r="GT30">
        <v>57995.963074963853</v>
      </c>
      <c r="GU30">
        <v>8020</v>
      </c>
      <c r="GV30">
        <v>8008.8559851582395</v>
      </c>
      <c r="GW30">
        <v>7632.8056750402693</v>
      </c>
      <c r="GX30">
        <v>29000</v>
      </c>
      <c r="GY30">
        <v>30518.690829573337</v>
      </c>
      <c r="GZ30">
        <v>29276.752162782566</v>
      </c>
      <c r="HA30">
        <v>5900</v>
      </c>
      <c r="HB30">
        <v>6016.2122639178942</v>
      </c>
      <c r="HC30">
        <v>5804.4223372043953</v>
      </c>
      <c r="HD30">
        <v>32850</v>
      </c>
      <c r="HE30">
        <v>34217.392224406663</v>
      </c>
      <c r="HF30">
        <v>32623.244080724919</v>
      </c>
      <c r="HG30">
        <v>9820</v>
      </c>
      <c r="HH30">
        <v>10015.48036694188</v>
      </c>
      <c r="HI30">
        <v>9672.2182136887859</v>
      </c>
      <c r="HJ30">
        <v>4380</v>
      </c>
      <c r="HK30">
        <v>4587.8789954088916</v>
      </c>
      <c r="HL30">
        <v>4414.4700069667915</v>
      </c>
    </row>
    <row r="31" spans="1:220" x14ac:dyDescent="0.4">
      <c r="A31" s="11">
        <v>41438</v>
      </c>
      <c r="B31" s="8">
        <v>326400</v>
      </c>
      <c r="C31" s="8">
        <v>331340.00964504742</v>
      </c>
      <c r="D31" s="8">
        <v>322114.08103875181</v>
      </c>
      <c r="E31" s="8">
        <v>138500</v>
      </c>
      <c r="F31" s="8">
        <v>140333.74465895121</v>
      </c>
      <c r="G31" s="8">
        <v>137318.69827787433</v>
      </c>
      <c r="H31" s="8">
        <v>41050</v>
      </c>
      <c r="I31" s="8">
        <v>42254.892871228098</v>
      </c>
      <c r="J31" s="8">
        <v>40178.130371671199</v>
      </c>
      <c r="K31" s="8">
        <v>56200</v>
      </c>
      <c r="L31" s="8">
        <v>55273.999116066188</v>
      </c>
      <c r="M31" s="8">
        <v>53104.081176990978</v>
      </c>
      <c r="N31" s="8">
        <v>256000</v>
      </c>
      <c r="O31" s="8">
        <v>260897.87034435567</v>
      </c>
      <c r="P31" s="8">
        <v>254520.23357266426</v>
      </c>
      <c r="Q31" s="8">
        <v>83200</v>
      </c>
      <c r="R31" s="8">
        <v>84855.975015387594</v>
      </c>
      <c r="S31" s="8">
        <v>82606.174376496259</v>
      </c>
      <c r="T31" s="8">
        <v>17350</v>
      </c>
      <c r="U31" s="8">
        <v>17289.367797904208</v>
      </c>
      <c r="V31" s="8">
        <v>16640.513881441759</v>
      </c>
      <c r="W31" s="8">
        <v>14600</v>
      </c>
      <c r="X31" s="8">
        <v>15372.784948731647</v>
      </c>
      <c r="Y31" s="8">
        <v>14851.980584792826</v>
      </c>
      <c r="Z31" s="8">
        <v>18500</v>
      </c>
      <c r="AA31" s="8">
        <v>19735.332960553656</v>
      </c>
      <c r="AB31" s="8">
        <v>18928.94048878202</v>
      </c>
      <c r="AC31" s="8">
        <v>11950</v>
      </c>
      <c r="AD31" s="8">
        <v>12349.511623235803</v>
      </c>
      <c r="AE31" s="8">
        <v>11948.584215624547</v>
      </c>
      <c r="AF31" s="8">
        <v>33900</v>
      </c>
      <c r="AG31" s="8">
        <v>35454.811013669481</v>
      </c>
      <c r="AH31" s="8">
        <v>33853.081766810414</v>
      </c>
      <c r="AI31" s="8">
        <v>46800</v>
      </c>
      <c r="AJ31" s="8">
        <v>46634.649026522507</v>
      </c>
      <c r="AK31" s="8">
        <v>45535.699310067954</v>
      </c>
      <c r="AL31" s="8">
        <v>12900</v>
      </c>
      <c r="AM31" s="8">
        <v>12734.042014150935</v>
      </c>
      <c r="AN31" s="8">
        <v>12133.91927822429</v>
      </c>
      <c r="AO31" s="8">
        <v>19550</v>
      </c>
      <c r="AP31" s="8">
        <v>20421.379134687351</v>
      </c>
      <c r="AQ31" s="8">
        <v>19630.404085480015</v>
      </c>
      <c r="AR31" s="8">
        <v>26050</v>
      </c>
      <c r="AS31" s="8">
        <v>26748.822691596339</v>
      </c>
      <c r="AT31" s="8">
        <v>25856.919159278114</v>
      </c>
      <c r="AU31" s="8">
        <v>156000</v>
      </c>
      <c r="AV31" s="8">
        <v>155958.92606753201</v>
      </c>
      <c r="AW31" s="8">
        <v>150753.26573928515</v>
      </c>
      <c r="AX31" s="8">
        <v>575000</v>
      </c>
      <c r="AY31" s="8">
        <v>595636.10837365896</v>
      </c>
      <c r="AZ31" s="8">
        <v>580112.20201710833</v>
      </c>
      <c r="BA31" s="8">
        <v>198000</v>
      </c>
      <c r="BB31" s="8">
        <v>201390.24907249917</v>
      </c>
      <c r="BC31" s="8">
        <v>196874.72244965029</v>
      </c>
      <c r="BD31" s="8">
        <v>33650</v>
      </c>
      <c r="BE31" s="8">
        <v>33123.408565466118</v>
      </c>
      <c r="BF31" s="8">
        <v>31795.876702641392</v>
      </c>
      <c r="BG31" s="8">
        <v>35900</v>
      </c>
      <c r="BH31" s="8">
        <v>37310.025803787728</v>
      </c>
      <c r="BI31" s="8">
        <v>35916.728129025549</v>
      </c>
      <c r="BJ31" s="8">
        <v>69400</v>
      </c>
      <c r="BK31" s="8">
        <v>70758.215683657487</v>
      </c>
      <c r="BL31" s="8">
        <v>68833.737075667188</v>
      </c>
      <c r="BM31" s="8">
        <v>1085000</v>
      </c>
      <c r="BN31" s="8">
        <v>1116280.7878200745</v>
      </c>
      <c r="BO31" s="8">
        <v>1083809.0802891734</v>
      </c>
      <c r="BP31" s="8">
        <v>43800</v>
      </c>
      <c r="BQ31" s="8">
        <v>44982.931508785012</v>
      </c>
      <c r="BR31" s="8">
        <v>42928.872422961547</v>
      </c>
      <c r="BS31" s="8">
        <v>115000</v>
      </c>
      <c r="BT31" s="8">
        <v>117067.75755511347</v>
      </c>
      <c r="BU31" s="8">
        <v>113342.94963318533</v>
      </c>
      <c r="BV31" s="8">
        <v>35050</v>
      </c>
      <c r="BW31" s="8">
        <v>35495.352932275113</v>
      </c>
      <c r="BX31" s="8">
        <v>34232.000391151698</v>
      </c>
      <c r="BY31" s="8">
        <v>27000</v>
      </c>
      <c r="BZ31" s="8">
        <v>28645.447398681728</v>
      </c>
      <c r="CA31" s="8">
        <v>27221.822092003549</v>
      </c>
      <c r="CB31" s="8">
        <v>91600</v>
      </c>
      <c r="CC31" s="8">
        <v>92230.530330882713</v>
      </c>
      <c r="CD31" s="8">
        <v>89562.164782854947</v>
      </c>
      <c r="CE31" s="8">
        <v>16500</v>
      </c>
      <c r="CF31" s="8">
        <v>16543.687631002907</v>
      </c>
      <c r="CG31" s="8">
        <v>16076.862424264173</v>
      </c>
      <c r="CH31" s="8">
        <v>63900</v>
      </c>
      <c r="CI31" s="8">
        <v>65129.152161228885</v>
      </c>
      <c r="CJ31" s="8">
        <v>63069.784917384401</v>
      </c>
      <c r="CK31" s="8">
        <v>313000</v>
      </c>
      <c r="CL31" s="8">
        <v>316452.1548052943</v>
      </c>
      <c r="CM31" s="8">
        <v>311905.61675799772</v>
      </c>
      <c r="CN31" s="8">
        <v>106000</v>
      </c>
      <c r="CO31" s="8">
        <v>107317.37867102765</v>
      </c>
      <c r="CP31" s="8">
        <v>104472.2560196187</v>
      </c>
      <c r="CQ31" s="8">
        <v>79500</v>
      </c>
      <c r="CR31" s="8">
        <v>81706.336451705414</v>
      </c>
      <c r="CS31" s="8">
        <v>80308.632280111211</v>
      </c>
      <c r="CT31" s="8">
        <v>21150</v>
      </c>
      <c r="CU31" s="8">
        <v>21858.437286633642</v>
      </c>
      <c r="CV31" s="8">
        <v>20932.104942177426</v>
      </c>
      <c r="CW31" s="8">
        <v>132000</v>
      </c>
      <c r="CX31" s="8">
        <v>137192.28044022017</v>
      </c>
      <c r="CY31" s="8">
        <v>134764.75349333548</v>
      </c>
      <c r="CZ31" s="8">
        <v>24250</v>
      </c>
      <c r="DA31" s="8">
        <v>24682.640691629953</v>
      </c>
      <c r="DB31" s="8">
        <v>23772.403313328959</v>
      </c>
      <c r="DC31" s="8">
        <v>23000</v>
      </c>
      <c r="DD31" s="8">
        <v>24078.27494941236</v>
      </c>
      <c r="DE31" s="8">
        <v>23459.281284179851</v>
      </c>
      <c r="DF31" s="8">
        <v>56500</v>
      </c>
      <c r="DG31" s="8">
        <v>58583.063548156701</v>
      </c>
      <c r="DH31" s="8">
        <v>57108.750583440466</v>
      </c>
      <c r="DI31" s="8">
        <v>157500</v>
      </c>
      <c r="DJ31" s="8">
        <v>159255.85846847002</v>
      </c>
      <c r="DK31" s="8">
        <v>154525.93979140729</v>
      </c>
      <c r="DL31" s="8">
        <v>26700</v>
      </c>
      <c r="DM31" s="8">
        <v>27821.39992750129</v>
      </c>
      <c r="DN31" s="8">
        <v>26930.585630254933</v>
      </c>
      <c r="DO31" s="8">
        <v>25450</v>
      </c>
      <c r="DP31" s="8">
        <v>25872.479849094765</v>
      </c>
      <c r="DQ31" s="8">
        <v>24973.401195848419</v>
      </c>
      <c r="DR31" s="8">
        <v>5060</v>
      </c>
      <c r="DS31" s="8">
        <v>5223.6791331546438</v>
      </c>
      <c r="DT31" s="8">
        <v>5058.9460963476704</v>
      </c>
      <c r="DU31" s="8">
        <v>182500</v>
      </c>
      <c r="DV31" s="8">
        <v>178766.51668405056</v>
      </c>
      <c r="DW31" s="8">
        <v>173726.65215221432</v>
      </c>
      <c r="DX31" s="8">
        <v>53100</v>
      </c>
      <c r="DY31" s="8">
        <v>55388.561211230714</v>
      </c>
      <c r="DZ31" s="8">
        <v>53199.695958596378</v>
      </c>
      <c r="EA31" s="8">
        <v>11400</v>
      </c>
      <c r="EB31" s="8">
        <v>11402.071172991578</v>
      </c>
      <c r="EC31" s="8">
        <v>11062.463639705902</v>
      </c>
      <c r="ED31" s="8">
        <v>1357000</v>
      </c>
      <c r="EE31" s="8">
        <v>1397619.3613851548</v>
      </c>
      <c r="EF31" s="8">
        <v>1365960.2637733498</v>
      </c>
      <c r="EG31" s="8">
        <v>104000</v>
      </c>
      <c r="EH31" s="8">
        <v>108252.48422522988</v>
      </c>
      <c r="EI31" s="8">
        <v>104438.1900987296</v>
      </c>
      <c r="EJ31" s="8">
        <v>279500</v>
      </c>
      <c r="EK31" s="8">
        <v>297226.09474711679</v>
      </c>
      <c r="EL31" s="8">
        <v>288287.22995088558</v>
      </c>
      <c r="EM31" s="8">
        <v>11400</v>
      </c>
      <c r="EN31" s="8">
        <v>11670.430799966969</v>
      </c>
      <c r="EO31" s="8">
        <v>11345.394281332792</v>
      </c>
      <c r="EP31" s="8">
        <v>57400</v>
      </c>
      <c r="EQ31" s="8">
        <v>59538.864135386146</v>
      </c>
      <c r="ER31" s="8">
        <v>57538.691659162942</v>
      </c>
      <c r="ES31" s="8">
        <v>11800</v>
      </c>
      <c r="ET31" s="8">
        <v>12036.93950127485</v>
      </c>
      <c r="EU31" s="8">
        <v>11550.780612369585</v>
      </c>
      <c r="EV31">
        <v>297000</v>
      </c>
      <c r="EW31">
        <v>303081.3655003981</v>
      </c>
      <c r="EX31">
        <v>289990.50081560831</v>
      </c>
      <c r="EY31">
        <v>32050</v>
      </c>
      <c r="EZ31">
        <v>32817.800220476733</v>
      </c>
      <c r="FA31">
        <v>31920.994949627933</v>
      </c>
      <c r="FB31">
        <v>2565</v>
      </c>
      <c r="FC31">
        <v>2670.4313110908802</v>
      </c>
      <c r="FD31">
        <v>2578.4630146537725</v>
      </c>
      <c r="FE31">
        <v>57000</v>
      </c>
      <c r="FF31">
        <v>58591.490858986712</v>
      </c>
      <c r="FG31">
        <v>57393.500554185215</v>
      </c>
      <c r="FH31">
        <v>53900</v>
      </c>
      <c r="FI31">
        <v>55529.496040835278</v>
      </c>
      <c r="FJ31">
        <v>52671.647132375794</v>
      </c>
      <c r="FK31">
        <v>73500</v>
      </c>
      <c r="FL31">
        <v>76043.772352591928</v>
      </c>
      <c r="FM31">
        <v>74126.646163527694</v>
      </c>
      <c r="FN31">
        <v>32250</v>
      </c>
      <c r="FO31">
        <v>33396.870256875656</v>
      </c>
      <c r="FP31">
        <v>32362.36972747817</v>
      </c>
      <c r="FQ31">
        <v>30500</v>
      </c>
      <c r="FR31">
        <v>31165.10479896071</v>
      </c>
      <c r="FS31">
        <v>29947.806052462249</v>
      </c>
      <c r="FT31">
        <v>856000</v>
      </c>
      <c r="FU31">
        <v>880477.36324303132</v>
      </c>
      <c r="FV31">
        <v>854597.51913035568</v>
      </c>
      <c r="FW31">
        <v>17500</v>
      </c>
      <c r="FX31">
        <v>16838.740800623811</v>
      </c>
      <c r="FY31">
        <v>16221.577912783039</v>
      </c>
      <c r="FZ31">
        <v>28350</v>
      </c>
      <c r="GA31">
        <v>28569.271006841696</v>
      </c>
      <c r="GB31">
        <v>27479.776413256026</v>
      </c>
      <c r="GC31">
        <v>20700</v>
      </c>
      <c r="GD31">
        <v>20578.919087008009</v>
      </c>
      <c r="GE31">
        <v>20098.551805538078</v>
      </c>
      <c r="GF31">
        <v>173500</v>
      </c>
      <c r="GG31">
        <v>171274.09041504431</v>
      </c>
      <c r="GH31">
        <v>165603.1389412891</v>
      </c>
      <c r="GI31">
        <v>5330</v>
      </c>
      <c r="GJ31">
        <v>5861.1068631887765</v>
      </c>
      <c r="GK31">
        <v>5502.4618455695345</v>
      </c>
      <c r="GL31">
        <v>9980</v>
      </c>
      <c r="GM31">
        <v>10261.10622317297</v>
      </c>
      <c r="GN31">
        <v>9767.3808600338871</v>
      </c>
      <c r="GO31">
        <v>682000</v>
      </c>
      <c r="GP31">
        <v>689587.82249743829</v>
      </c>
      <c r="GQ31">
        <v>664297.5861298712</v>
      </c>
      <c r="GR31">
        <v>58500</v>
      </c>
      <c r="GS31">
        <v>58618.996361064623</v>
      </c>
      <c r="GT31">
        <v>57797.686278126341</v>
      </c>
      <c r="GU31">
        <v>7810</v>
      </c>
      <c r="GV31">
        <v>8039.6198365736964</v>
      </c>
      <c r="GW31">
        <v>7662.1250310263367</v>
      </c>
      <c r="GX31">
        <v>29800</v>
      </c>
      <c r="GY31">
        <v>31081.955257635927</v>
      </c>
      <c r="GZ31">
        <v>29817.094904041973</v>
      </c>
      <c r="HA31">
        <v>5900</v>
      </c>
      <c r="HB31">
        <v>6189.560752878243</v>
      </c>
      <c r="HC31">
        <v>5971.6684045475758</v>
      </c>
      <c r="HD31">
        <v>33300</v>
      </c>
      <c r="HE31">
        <v>34628.411950825954</v>
      </c>
      <c r="HF31">
        <v>33015.114880493376</v>
      </c>
      <c r="HG31">
        <v>9860</v>
      </c>
      <c r="HH31">
        <v>10208.476438921502</v>
      </c>
      <c r="HI31">
        <v>9858.5997005651534</v>
      </c>
      <c r="HJ31">
        <v>4510</v>
      </c>
      <c r="HK31">
        <v>4654.0014199546968</v>
      </c>
      <c r="HL31">
        <v>4478.0931888853829</v>
      </c>
    </row>
    <row r="32" spans="1:220" x14ac:dyDescent="0.4">
      <c r="A32" s="11">
        <v>41437</v>
      </c>
      <c r="B32" s="8">
        <v>325500</v>
      </c>
      <c r="C32" s="8">
        <v>328693.36133451853</v>
      </c>
      <c r="D32" s="8">
        <v>319541.12678160652</v>
      </c>
      <c r="E32" s="8">
        <v>138500</v>
      </c>
      <c r="F32" s="8">
        <v>140333.74465895121</v>
      </c>
      <c r="G32" s="8">
        <v>137318.69827787433</v>
      </c>
      <c r="H32" s="8">
        <v>41550</v>
      </c>
      <c r="I32" s="8">
        <v>43373.554295015078</v>
      </c>
      <c r="J32" s="8">
        <v>41241.811320138979</v>
      </c>
      <c r="K32" s="8">
        <v>54100</v>
      </c>
      <c r="L32" s="8">
        <v>55989.189492799058</v>
      </c>
      <c r="M32" s="8">
        <v>53791.194981499219</v>
      </c>
      <c r="N32" s="8">
        <v>257500</v>
      </c>
      <c r="O32" s="8">
        <v>262924.26157033112</v>
      </c>
      <c r="P32" s="8">
        <v>256497.08975575282</v>
      </c>
      <c r="Q32" s="8">
        <v>83500</v>
      </c>
      <c r="R32" s="8">
        <v>84754.351093213525</v>
      </c>
      <c r="S32" s="8">
        <v>82507.244826344817</v>
      </c>
      <c r="T32" s="8">
        <v>16950</v>
      </c>
      <c r="U32" s="8">
        <v>17340.368882853789</v>
      </c>
      <c r="V32" s="8">
        <v>16689.600943038946</v>
      </c>
      <c r="W32" s="8">
        <v>15100</v>
      </c>
      <c r="X32" s="8">
        <v>15474.591471570946</v>
      </c>
      <c r="Y32" s="8">
        <v>14950.338072109349</v>
      </c>
      <c r="Z32" s="8">
        <v>19300</v>
      </c>
      <c r="AA32" s="8">
        <v>20195.483210929262</v>
      </c>
      <c r="AB32" s="8">
        <v>19370.288842147405</v>
      </c>
      <c r="AC32" s="8">
        <v>12200</v>
      </c>
      <c r="AD32" s="8">
        <v>12400.12437579005</v>
      </c>
      <c r="AE32" s="8">
        <v>11997.553823065635</v>
      </c>
      <c r="AF32" s="8">
        <v>34800</v>
      </c>
      <c r="AG32" s="8">
        <v>37288.680548859229</v>
      </c>
      <c r="AH32" s="8">
        <v>35604.103237507457</v>
      </c>
      <c r="AI32" s="8">
        <v>46000</v>
      </c>
      <c r="AJ32" s="8">
        <v>46533.269354725715</v>
      </c>
      <c r="AK32" s="8">
        <v>45436.708659393888</v>
      </c>
      <c r="AL32" s="8">
        <v>12350</v>
      </c>
      <c r="AM32" s="8">
        <v>12270.048580436935</v>
      </c>
      <c r="AN32" s="8">
        <v>11691.792664847697</v>
      </c>
      <c r="AO32" s="8">
        <v>19950</v>
      </c>
      <c r="AP32" s="8">
        <v>20319.016332007235</v>
      </c>
      <c r="AQ32" s="8">
        <v>19532.006070013966</v>
      </c>
      <c r="AR32" s="8">
        <v>26300</v>
      </c>
      <c r="AS32" s="8">
        <v>26392.849766042764</v>
      </c>
      <c r="AT32" s="8">
        <v>25512.815672367557</v>
      </c>
      <c r="AU32" s="8">
        <v>154000</v>
      </c>
      <c r="AV32" s="8">
        <v>156971.6463666718</v>
      </c>
      <c r="AW32" s="8">
        <v>151732.18304928049</v>
      </c>
      <c r="AX32" s="8">
        <v>588000</v>
      </c>
      <c r="AY32" s="8">
        <v>591584.16205819196</v>
      </c>
      <c r="AZ32" s="8">
        <v>576165.86050678801</v>
      </c>
      <c r="BA32" s="8">
        <v>199500</v>
      </c>
      <c r="BB32" s="8">
        <v>205428.14880327578</v>
      </c>
      <c r="BC32" s="8">
        <v>200822.08530578332</v>
      </c>
      <c r="BD32" s="8">
        <v>32350</v>
      </c>
      <c r="BE32" s="8">
        <v>35631.982011691558</v>
      </c>
      <c r="BF32" s="8">
        <v>34203.910641481336</v>
      </c>
      <c r="BG32" s="8">
        <v>36500</v>
      </c>
      <c r="BH32" s="8">
        <v>37514.464301342749</v>
      </c>
      <c r="BI32" s="8">
        <v>36113.532118773648</v>
      </c>
      <c r="BJ32" s="8">
        <v>70000</v>
      </c>
      <c r="BK32" s="8">
        <v>71566.881005756441</v>
      </c>
      <c r="BL32" s="8">
        <v>69620.40835653196</v>
      </c>
      <c r="BM32" s="8">
        <v>1101000</v>
      </c>
      <c r="BN32" s="8">
        <v>1128447.3359162053</v>
      </c>
      <c r="BO32" s="8">
        <v>1095621.7133168478</v>
      </c>
      <c r="BP32" s="8">
        <v>43800</v>
      </c>
      <c r="BQ32" s="8">
        <v>44418.077346003513</v>
      </c>
      <c r="BR32" s="8">
        <v>42389.811239568233</v>
      </c>
      <c r="BS32" s="8">
        <v>115500</v>
      </c>
      <c r="BT32" s="8">
        <v>117574.54438435652</v>
      </c>
      <c r="BU32" s="8">
        <v>113833.61175280964</v>
      </c>
      <c r="BV32" s="8">
        <v>34900</v>
      </c>
      <c r="BW32" s="8">
        <v>35698.764696929975</v>
      </c>
      <c r="BX32" s="8">
        <v>34428.172313164017</v>
      </c>
      <c r="BY32" s="8">
        <v>27750</v>
      </c>
      <c r="BZ32" s="8">
        <v>28593.833979945346</v>
      </c>
      <c r="CA32" s="8">
        <v>27172.77376390983</v>
      </c>
      <c r="CB32" s="8">
        <v>91000</v>
      </c>
      <c r="CC32" s="8">
        <v>91115.655788421544</v>
      </c>
      <c r="CD32" s="8">
        <v>88479.545208556767</v>
      </c>
      <c r="CE32" s="8">
        <v>16350</v>
      </c>
      <c r="CF32" s="8">
        <v>16493.095314088525</v>
      </c>
      <c r="CG32" s="8">
        <v>16027.697707370398</v>
      </c>
      <c r="CH32" s="8">
        <v>63900</v>
      </c>
      <c r="CI32" s="8">
        <v>65332.999272844572</v>
      </c>
      <c r="CJ32" s="8">
        <v>63267.18643512264</v>
      </c>
      <c r="CK32" s="8">
        <v>314500</v>
      </c>
      <c r="CL32" s="8">
        <v>317961.46555953281</v>
      </c>
      <c r="CM32" s="8">
        <v>313393.24291105679</v>
      </c>
      <c r="CN32" s="8">
        <v>105500</v>
      </c>
      <c r="CO32" s="8">
        <v>107317.37867102765</v>
      </c>
      <c r="CP32" s="8">
        <v>104472.2560196187</v>
      </c>
      <c r="CQ32" s="8">
        <v>81300</v>
      </c>
      <c r="CR32" s="8">
        <v>82610.834641207635</v>
      </c>
      <c r="CS32" s="8">
        <v>81197.65772970648</v>
      </c>
      <c r="CT32" s="8">
        <v>21450</v>
      </c>
      <c r="CU32" s="8">
        <v>21756.533150099225</v>
      </c>
      <c r="CV32" s="8">
        <v>20834.519371351427</v>
      </c>
      <c r="CW32" s="8">
        <v>136000</v>
      </c>
      <c r="CX32" s="8">
        <v>138201.04720816319</v>
      </c>
      <c r="CY32" s="8">
        <v>135755.67079843374</v>
      </c>
      <c r="CZ32" s="8">
        <v>24150</v>
      </c>
      <c r="DA32" s="8">
        <v>25398.079552256902</v>
      </c>
      <c r="DB32" s="8">
        <v>24461.458481831243</v>
      </c>
      <c r="DC32" s="8">
        <v>23700</v>
      </c>
      <c r="DD32" s="8">
        <v>23355.92670092998</v>
      </c>
      <c r="DE32" s="8">
        <v>22755.502845654446</v>
      </c>
      <c r="DF32" s="8">
        <v>57700</v>
      </c>
      <c r="DG32" s="8">
        <v>59192.246184705968</v>
      </c>
      <c r="DH32" s="8">
        <v>57702.602409264779</v>
      </c>
      <c r="DI32" s="8">
        <v>156500</v>
      </c>
      <c r="DJ32" s="8">
        <v>159764.66312811355</v>
      </c>
      <c r="DK32" s="8">
        <v>155019.63288978225</v>
      </c>
      <c r="DL32" s="8">
        <v>27300</v>
      </c>
      <c r="DM32" s="8">
        <v>28534.769156411596</v>
      </c>
      <c r="DN32" s="8">
        <v>27621.113466928149</v>
      </c>
      <c r="DO32" s="8">
        <v>25450</v>
      </c>
      <c r="DP32" s="8">
        <v>25872.479849094765</v>
      </c>
      <c r="DQ32" s="8">
        <v>24973.401195848419</v>
      </c>
      <c r="DR32" s="8">
        <v>5130</v>
      </c>
      <c r="DS32" s="8">
        <v>5254.226964342688</v>
      </c>
      <c r="DT32" s="8">
        <v>5088.530576443276</v>
      </c>
      <c r="DU32" s="8">
        <v>176000</v>
      </c>
      <c r="DV32" s="8">
        <v>180290.0949512441</v>
      </c>
      <c r="DW32" s="8">
        <v>175207.27702851154</v>
      </c>
      <c r="DX32" s="8">
        <v>54200</v>
      </c>
      <c r="DY32" s="8">
        <v>53344.702863952785</v>
      </c>
      <c r="DZ32" s="8">
        <v>51236.607546840016</v>
      </c>
      <c r="EA32" s="8">
        <v>11250</v>
      </c>
      <c r="EB32" s="8">
        <v>11300.719429231664</v>
      </c>
      <c r="EC32" s="8">
        <v>10964.130629575193</v>
      </c>
      <c r="ED32" s="8">
        <v>1385000</v>
      </c>
      <c r="EE32" s="8">
        <v>1401655.8071942083</v>
      </c>
      <c r="EF32" s="8">
        <v>1369905.2753654739</v>
      </c>
      <c r="EG32" s="8">
        <v>106500</v>
      </c>
      <c r="EH32" s="8">
        <v>108252.48422522988</v>
      </c>
      <c r="EI32" s="8">
        <v>104438.1900987296</v>
      </c>
      <c r="EJ32" s="8">
        <v>292500</v>
      </c>
      <c r="EK32" s="8">
        <v>305863.43425258808</v>
      </c>
      <c r="EL32" s="8">
        <v>296664.80757338955</v>
      </c>
      <c r="EM32" s="8">
        <v>11500</v>
      </c>
      <c r="EN32" s="8">
        <v>11924.135817357563</v>
      </c>
      <c r="EO32" s="8">
        <v>11592.03328744873</v>
      </c>
      <c r="EP32" s="8">
        <v>58300</v>
      </c>
      <c r="EQ32" s="8">
        <v>59436.739154021881</v>
      </c>
      <c r="ER32" s="8">
        <v>57439.997505373678</v>
      </c>
      <c r="ES32" s="8">
        <v>11800</v>
      </c>
      <c r="ET32" s="8">
        <v>11526.899691898807</v>
      </c>
      <c r="EU32" s="8">
        <v>11061.340755913254</v>
      </c>
      <c r="EV32">
        <v>297500</v>
      </c>
      <c r="EW32">
        <v>310722.07219368545</v>
      </c>
      <c r="EX32">
        <v>297301.18571011943</v>
      </c>
      <c r="EY32">
        <v>32350</v>
      </c>
      <c r="EZ32">
        <v>32969.969309597967</v>
      </c>
      <c r="FA32">
        <v>32069.005745375835</v>
      </c>
      <c r="FB32">
        <v>2625</v>
      </c>
      <c r="FC32">
        <v>2619.5659527843882</v>
      </c>
      <c r="FD32">
        <v>2529.3494334222733</v>
      </c>
      <c r="FE32">
        <v>58200</v>
      </c>
      <c r="FF32">
        <v>58893.508853105195</v>
      </c>
      <c r="FG32">
        <v>57689.343340546984</v>
      </c>
      <c r="FH32">
        <v>54000</v>
      </c>
      <c r="FI32">
        <v>52341.691638491044</v>
      </c>
      <c r="FJ32">
        <v>49647.904426628309</v>
      </c>
      <c r="FK32">
        <v>75200</v>
      </c>
      <c r="FL32">
        <v>77965.091068947266</v>
      </c>
      <c r="FM32">
        <v>75999.526851169983</v>
      </c>
      <c r="FN32">
        <v>33000</v>
      </c>
      <c r="FO32">
        <v>33548.674212588761</v>
      </c>
      <c r="FP32">
        <v>32509.471408057649</v>
      </c>
      <c r="FQ32">
        <v>30400</v>
      </c>
      <c r="FR32">
        <v>31062.588006858819</v>
      </c>
      <c r="FS32">
        <v>29849.293532552794</v>
      </c>
      <c r="FT32">
        <v>868000</v>
      </c>
      <c r="FU32">
        <v>862218.61607900541</v>
      </c>
      <c r="FV32">
        <v>836875.45076129306</v>
      </c>
      <c r="FW32">
        <v>16600</v>
      </c>
      <c r="FX32">
        <v>17193.774492203214</v>
      </c>
      <c r="FY32">
        <v>16563.59913383568</v>
      </c>
      <c r="FZ32">
        <v>28100</v>
      </c>
      <c r="GA32">
        <v>28569.271006841696</v>
      </c>
      <c r="GB32">
        <v>27479.776413256026</v>
      </c>
      <c r="GC32">
        <v>20400</v>
      </c>
      <c r="GD32">
        <v>20427.603505485924</v>
      </c>
      <c r="GE32">
        <v>19950.768336379741</v>
      </c>
      <c r="GF32">
        <v>168500</v>
      </c>
      <c r="GG32">
        <v>165683.54146974633</v>
      </c>
      <c r="GH32">
        <v>160197.69523697422</v>
      </c>
      <c r="GI32">
        <v>5640</v>
      </c>
      <c r="GJ32">
        <v>5871.4988966341525</v>
      </c>
      <c r="GK32">
        <v>5512.2179835935995</v>
      </c>
      <c r="GL32">
        <v>10000</v>
      </c>
      <c r="GM32">
        <v>10620.244940984005</v>
      </c>
      <c r="GN32">
        <v>10109.239190135057</v>
      </c>
      <c r="GO32">
        <v>679000</v>
      </c>
      <c r="GP32">
        <v>687556.63598050969</v>
      </c>
      <c r="GQ32">
        <v>662340.89220901788</v>
      </c>
      <c r="GR32">
        <v>58300</v>
      </c>
      <c r="GS32">
        <v>59222.279342482099</v>
      </c>
      <c r="GT32">
        <v>58392.516668638789</v>
      </c>
      <c r="GU32">
        <v>7840</v>
      </c>
      <c r="GV32">
        <v>8316.4944993128374</v>
      </c>
      <c r="GW32">
        <v>7925.9992349009644</v>
      </c>
      <c r="GX32">
        <v>30350</v>
      </c>
      <c r="GY32">
        <v>31133.16111473256</v>
      </c>
      <c r="GZ32">
        <v>29866.216971429221</v>
      </c>
      <c r="HA32">
        <v>6070</v>
      </c>
      <c r="HB32">
        <v>6199.7577228170821</v>
      </c>
      <c r="HC32">
        <v>5981.5064085089352</v>
      </c>
      <c r="HD32">
        <v>33700</v>
      </c>
      <c r="HE32">
        <v>34474.279553418695</v>
      </c>
      <c r="HF32">
        <v>32868.163330580188</v>
      </c>
      <c r="HG32">
        <v>10050</v>
      </c>
      <c r="HH32">
        <v>10411.630198900042</v>
      </c>
      <c r="HI32">
        <v>10054.790739382373</v>
      </c>
      <c r="HJ32">
        <v>4575</v>
      </c>
      <c r="HK32">
        <v>4654.0014199546968</v>
      </c>
      <c r="HL32">
        <v>4478.0931888853829</v>
      </c>
    </row>
    <row r="33" spans="1:220" x14ac:dyDescent="0.4">
      <c r="A33" s="11">
        <v>41436</v>
      </c>
      <c r="B33" s="8">
        <v>322900</v>
      </c>
      <c r="C33" s="8">
        <v>320651.62223714252</v>
      </c>
      <c r="D33" s="8">
        <v>311723.30423105002</v>
      </c>
      <c r="E33" s="8">
        <v>138500</v>
      </c>
      <c r="F33" s="8">
        <v>139320.50462531249</v>
      </c>
      <c r="G33" s="8">
        <v>136327.22753218561</v>
      </c>
      <c r="H33" s="8">
        <v>42650</v>
      </c>
      <c r="I33" s="8">
        <v>43322.706048479355</v>
      </c>
      <c r="J33" s="8">
        <v>41193.462186117766</v>
      </c>
      <c r="K33" s="8">
        <v>54800</v>
      </c>
      <c r="L33" s="8">
        <v>54252.298577876492</v>
      </c>
      <c r="M33" s="8">
        <v>52122.490027693617</v>
      </c>
      <c r="N33" s="8">
        <v>259500</v>
      </c>
      <c r="O33" s="8">
        <v>268496.83744176378</v>
      </c>
      <c r="P33" s="8">
        <v>261933.4442592464</v>
      </c>
      <c r="Q33" s="8">
        <v>83400</v>
      </c>
      <c r="R33" s="8">
        <v>84957.598937561823</v>
      </c>
      <c r="S33" s="8">
        <v>82705.103926647862</v>
      </c>
      <c r="T33" s="8">
        <v>17000</v>
      </c>
      <c r="U33" s="8">
        <v>16830.358033358065</v>
      </c>
      <c r="V33" s="8">
        <v>16198.730327067187</v>
      </c>
      <c r="W33" s="8">
        <v>15200</v>
      </c>
      <c r="X33" s="8">
        <v>15016.462118794178</v>
      </c>
      <c r="Y33" s="8">
        <v>14507.729379185062</v>
      </c>
      <c r="Z33" s="8">
        <v>19750</v>
      </c>
      <c r="AA33" s="8">
        <v>19990.971988540085</v>
      </c>
      <c r="AB33" s="8">
        <v>19174.134018429439</v>
      </c>
      <c r="AC33" s="8">
        <v>12250</v>
      </c>
      <c r="AD33" s="8">
        <v>12551.962633452784</v>
      </c>
      <c r="AE33" s="8">
        <v>12144.462645388885</v>
      </c>
      <c r="AF33" s="8">
        <v>36600</v>
      </c>
      <c r="AG33" s="8">
        <v>38765.96434109551</v>
      </c>
      <c r="AH33" s="8">
        <v>37014.648311124605</v>
      </c>
      <c r="AI33" s="8">
        <v>45900</v>
      </c>
      <c r="AJ33" s="8">
        <v>47242.927057303204</v>
      </c>
      <c r="AK33" s="8">
        <v>46129.643214112293</v>
      </c>
      <c r="AL33" s="8">
        <v>11900</v>
      </c>
      <c r="AM33" s="8">
        <v>11960.719624627594</v>
      </c>
      <c r="AN33" s="8">
        <v>11397.041589263297</v>
      </c>
      <c r="AO33" s="8">
        <v>19850</v>
      </c>
      <c r="AP33" s="8">
        <v>19448.932509226048</v>
      </c>
      <c r="AQ33" s="8">
        <v>18695.622938552391</v>
      </c>
      <c r="AR33" s="8">
        <v>25950</v>
      </c>
      <c r="AS33" s="8">
        <v>26443.703041121847</v>
      </c>
      <c r="AT33" s="8">
        <v>25561.973313354782</v>
      </c>
      <c r="AU33" s="8">
        <v>155000</v>
      </c>
      <c r="AV33" s="8">
        <v>162035.2478623708</v>
      </c>
      <c r="AW33" s="8">
        <v>156626.76959925721</v>
      </c>
      <c r="AX33" s="8">
        <v>584000</v>
      </c>
      <c r="AY33" s="8">
        <v>612856.88021439372</v>
      </c>
      <c r="AZ33" s="8">
        <v>596884.15343597007</v>
      </c>
      <c r="BA33" s="8">
        <v>203500</v>
      </c>
      <c r="BB33" s="8">
        <v>205932.88626962312</v>
      </c>
      <c r="BC33" s="8">
        <v>201315.50566280022</v>
      </c>
      <c r="BD33" s="8">
        <v>34800</v>
      </c>
      <c r="BE33" s="8">
        <v>33788.94845936264</v>
      </c>
      <c r="BF33" s="8">
        <v>32434.742849680537</v>
      </c>
      <c r="BG33" s="8">
        <v>36700</v>
      </c>
      <c r="BH33" s="8">
        <v>37872.231672063972</v>
      </c>
      <c r="BI33" s="8">
        <v>36457.939100832773</v>
      </c>
      <c r="BJ33" s="8">
        <v>70800</v>
      </c>
      <c r="BK33" s="8">
        <v>72072.296832068285</v>
      </c>
      <c r="BL33" s="8">
        <v>70112.077907072453</v>
      </c>
      <c r="BM33" s="8">
        <v>1113000</v>
      </c>
      <c r="BN33" s="8">
        <v>1112225.2717880295</v>
      </c>
      <c r="BO33" s="8">
        <v>1079871.5359466141</v>
      </c>
      <c r="BP33" s="8">
        <v>43250</v>
      </c>
      <c r="BQ33" s="8">
        <v>43647.821669483179</v>
      </c>
      <c r="BR33" s="8">
        <v>41654.727807668169</v>
      </c>
      <c r="BS33" s="8">
        <v>116000</v>
      </c>
      <c r="BT33" s="8">
        <v>118081.33121359939</v>
      </c>
      <c r="BU33" s="8">
        <v>114324.27387243377</v>
      </c>
      <c r="BV33" s="8">
        <v>35100</v>
      </c>
      <c r="BW33" s="8">
        <v>35953.029402748558</v>
      </c>
      <c r="BX33" s="8">
        <v>34673.387215679424</v>
      </c>
      <c r="BY33" s="8">
        <v>27700</v>
      </c>
      <c r="BZ33" s="8">
        <v>26116.389880599927</v>
      </c>
      <c r="CA33" s="8">
        <v>24818.454015412251</v>
      </c>
      <c r="CB33" s="8">
        <v>89900</v>
      </c>
      <c r="CC33" s="8">
        <v>87771.032161037903</v>
      </c>
      <c r="CD33" s="8">
        <v>85231.686485662038</v>
      </c>
      <c r="CE33" s="8">
        <v>16300</v>
      </c>
      <c r="CF33" s="8">
        <v>16695.464581746048</v>
      </c>
      <c r="CG33" s="8">
        <v>16224.35657494549</v>
      </c>
      <c r="CH33" s="8">
        <v>64100</v>
      </c>
      <c r="CI33" s="8">
        <v>63906.069491534421</v>
      </c>
      <c r="CJ33" s="8">
        <v>61885.375810954618</v>
      </c>
      <c r="CK33" s="8">
        <v>316000</v>
      </c>
      <c r="CL33" s="8">
        <v>318464.56914427871</v>
      </c>
      <c r="CM33" s="8">
        <v>313889.11829540948</v>
      </c>
      <c r="CN33" s="8">
        <v>105500</v>
      </c>
      <c r="CO33" s="8">
        <v>107317.37867102765</v>
      </c>
      <c r="CP33" s="8">
        <v>104472.2560196187</v>
      </c>
      <c r="CQ33" s="8">
        <v>82200</v>
      </c>
      <c r="CR33" s="8">
        <v>85022.829813213772</v>
      </c>
      <c r="CS33" s="8">
        <v>83568.392261960762</v>
      </c>
      <c r="CT33" s="8">
        <v>21350</v>
      </c>
      <c r="CU33" s="8">
        <v>21705.581081832035</v>
      </c>
      <c r="CV33" s="8">
        <v>20785.72658593845</v>
      </c>
      <c r="CW33" s="8">
        <v>137000</v>
      </c>
      <c r="CX33" s="8">
        <v>139714.19736007735</v>
      </c>
      <c r="CY33" s="8">
        <v>137242.04675608082</v>
      </c>
      <c r="CZ33" s="8">
        <v>24850</v>
      </c>
      <c r="DA33" s="8">
        <v>24784.84624314808</v>
      </c>
      <c r="DB33" s="8">
        <v>23870.839765972138</v>
      </c>
      <c r="DC33" s="8">
        <v>22989</v>
      </c>
      <c r="DD33" s="8">
        <v>22874.361201941709</v>
      </c>
      <c r="DE33" s="8">
        <v>22286.317219970828</v>
      </c>
      <c r="DF33" s="8">
        <v>58300</v>
      </c>
      <c r="DG33" s="8">
        <v>59496.837502980648</v>
      </c>
      <c r="DH33" s="8">
        <v>57999.528322176979</v>
      </c>
      <c r="DI33" s="8">
        <v>157000</v>
      </c>
      <c r="DJ33" s="8">
        <v>160273.46778775725</v>
      </c>
      <c r="DK33" s="8">
        <v>155513.32598815739</v>
      </c>
      <c r="DL33" s="8">
        <v>28000</v>
      </c>
      <c r="DM33" s="8">
        <v>28738.588936100266</v>
      </c>
      <c r="DN33" s="8">
        <v>27818.407134549081</v>
      </c>
      <c r="DO33" s="8">
        <v>25450</v>
      </c>
      <c r="DP33" s="8">
        <v>26329.950023243786</v>
      </c>
      <c r="DQ33" s="8">
        <v>25414.974105008801</v>
      </c>
      <c r="DR33" s="8">
        <v>5160</v>
      </c>
      <c r="DS33" s="8">
        <v>5111.6704187985097</v>
      </c>
      <c r="DT33" s="8">
        <v>4950.4696693304768</v>
      </c>
      <c r="DU33" s="8">
        <v>177500</v>
      </c>
      <c r="DV33" s="8">
        <v>181305.8137960399</v>
      </c>
      <c r="DW33" s="8">
        <v>176194.36027937644</v>
      </c>
      <c r="DX33" s="8">
        <v>52200</v>
      </c>
      <c r="DY33" s="8">
        <v>53242.509946588871</v>
      </c>
      <c r="DZ33" s="8">
        <v>51138.453126252185</v>
      </c>
      <c r="EA33" s="8">
        <v>11150</v>
      </c>
      <c r="EB33" s="8">
        <v>11402.071172991578</v>
      </c>
      <c r="EC33" s="8">
        <v>11062.463639705902</v>
      </c>
      <c r="ED33" s="8">
        <v>1389000</v>
      </c>
      <c r="EE33" s="8">
        <v>1437983.8194756997</v>
      </c>
      <c r="EF33" s="8">
        <v>1405410.3796946008</v>
      </c>
      <c r="EG33" s="8">
        <v>106500</v>
      </c>
      <c r="EH33" s="8">
        <v>108760.71185070046</v>
      </c>
      <c r="EI33" s="8">
        <v>104928.51024003822</v>
      </c>
      <c r="EJ33" s="8">
        <v>301000</v>
      </c>
      <c r="EK33" s="8">
        <v>299766.4887193141</v>
      </c>
      <c r="EL33" s="8">
        <v>290751.22336926905</v>
      </c>
      <c r="EM33" s="8">
        <v>11750</v>
      </c>
      <c r="EN33" s="8">
        <v>11771.912806923201</v>
      </c>
      <c r="EO33" s="8">
        <v>11444.04988377916</v>
      </c>
      <c r="EP33" s="8">
        <v>58200</v>
      </c>
      <c r="EQ33" s="8">
        <v>58721.864284471834</v>
      </c>
      <c r="ER33" s="8">
        <v>56749.138428848601</v>
      </c>
      <c r="ES33" s="8">
        <v>11300</v>
      </c>
      <c r="ET33" s="8">
        <v>11628.907653774006</v>
      </c>
      <c r="EU33" s="8">
        <v>11159.228727204512</v>
      </c>
      <c r="EV33">
        <v>305000</v>
      </c>
      <c r="EW33">
        <v>311231.45263990457</v>
      </c>
      <c r="EX33">
        <v>297788.56470308686</v>
      </c>
      <c r="EY33">
        <v>32500</v>
      </c>
      <c r="EZ33">
        <v>33122.138398719188</v>
      </c>
      <c r="FA33">
        <v>32217.016541123725</v>
      </c>
      <c r="FB33">
        <v>2575</v>
      </c>
      <c r="FC33">
        <v>2644.9986319376339</v>
      </c>
      <c r="FD33">
        <v>2553.9062240380226</v>
      </c>
      <c r="FE33">
        <v>58500</v>
      </c>
      <c r="FF33">
        <v>59497.544841342227</v>
      </c>
      <c r="FG33">
        <v>58281.028913270595</v>
      </c>
      <c r="FH33">
        <v>50900</v>
      </c>
      <c r="FI33">
        <v>52547.356438642295</v>
      </c>
      <c r="FJ33">
        <v>49842.984601192678</v>
      </c>
      <c r="FK33">
        <v>77100</v>
      </c>
      <c r="FL33">
        <v>76448.260503403668</v>
      </c>
      <c r="FM33">
        <v>74520.936834610373</v>
      </c>
      <c r="FN33">
        <v>33150</v>
      </c>
      <c r="FO33">
        <v>34408.896628296185</v>
      </c>
      <c r="FP33">
        <v>33343.047598007863</v>
      </c>
      <c r="FQ33">
        <v>30300</v>
      </c>
      <c r="FR33">
        <v>30652.520838451466</v>
      </c>
      <c r="FS33">
        <v>29455.243452915154</v>
      </c>
      <c r="FT33">
        <v>850000</v>
      </c>
      <c r="FU33">
        <v>887577.98714015272</v>
      </c>
      <c r="FV33">
        <v>861489.43460721348</v>
      </c>
      <c r="FW33">
        <v>16950</v>
      </c>
      <c r="FX33">
        <v>16889.459899420865</v>
      </c>
      <c r="FY33">
        <v>16270.438087219125</v>
      </c>
      <c r="FZ33">
        <v>28100</v>
      </c>
      <c r="GA33">
        <v>28772.611014007842</v>
      </c>
      <c r="GB33">
        <v>27675.362010503413</v>
      </c>
      <c r="GC33">
        <v>20250</v>
      </c>
      <c r="GD33">
        <v>20831.11172287822</v>
      </c>
      <c r="GE33">
        <v>20344.857587468705</v>
      </c>
      <c r="GF33">
        <v>163000</v>
      </c>
      <c r="GG33">
        <v>158568.29735754864</v>
      </c>
      <c r="GH33">
        <v>153318.0396133005</v>
      </c>
      <c r="GI33">
        <v>5650</v>
      </c>
      <c r="GJ33">
        <v>5819.5387294073025</v>
      </c>
      <c r="GK33">
        <v>5463.4372934733037</v>
      </c>
      <c r="GL33">
        <v>10350</v>
      </c>
      <c r="GM33">
        <v>10722.856003215747</v>
      </c>
      <c r="GN33">
        <v>10206.912998735406</v>
      </c>
      <c r="GO33">
        <v>677000</v>
      </c>
      <c r="GP33">
        <v>668260.36406968313</v>
      </c>
      <c r="GQ33">
        <v>643752.29996090662</v>
      </c>
      <c r="GR33">
        <v>58900</v>
      </c>
      <c r="GS33">
        <v>60026.656651038757</v>
      </c>
      <c r="GT33">
        <v>59185.623855988742</v>
      </c>
      <c r="GU33">
        <v>8110</v>
      </c>
      <c r="GV33">
        <v>8306.2398821743536</v>
      </c>
      <c r="GW33">
        <v>7916.2261162389441</v>
      </c>
      <c r="GX33">
        <v>30400</v>
      </c>
      <c r="GY33">
        <v>30621.102543766545</v>
      </c>
      <c r="GZ33">
        <v>29374.996297557012</v>
      </c>
      <c r="HA33">
        <v>6080</v>
      </c>
      <c r="HB33">
        <v>6220.1516626947705</v>
      </c>
      <c r="HC33">
        <v>6001.1824164316622</v>
      </c>
      <c r="HD33">
        <v>33550</v>
      </c>
      <c r="HE33">
        <v>35244.941540454922</v>
      </c>
      <c r="HF33">
        <v>33602.921080146101</v>
      </c>
      <c r="HG33">
        <v>10250</v>
      </c>
      <c r="HH33">
        <v>10817.937718857118</v>
      </c>
      <c r="HI33">
        <v>10447.172817016808</v>
      </c>
      <c r="HJ33">
        <v>4575</v>
      </c>
      <c r="HK33">
        <v>4557.3609533108256</v>
      </c>
      <c r="HL33">
        <v>4385.1054614659015</v>
      </c>
    </row>
    <row r="34" spans="1:220" x14ac:dyDescent="0.4">
      <c r="A34" s="11">
        <v>41435</v>
      </c>
      <c r="B34" s="10">
        <v>315000</v>
      </c>
      <c r="C34" s="10">
        <v>307825.55734765669</v>
      </c>
      <c r="D34" s="10">
        <v>299254.37206180784</v>
      </c>
      <c r="E34" s="10">
        <v>137500</v>
      </c>
      <c r="F34" s="10">
        <v>142360.22472622828</v>
      </c>
      <c r="G34" s="10">
        <v>139301.63976925137</v>
      </c>
      <c r="H34" s="10">
        <v>42600</v>
      </c>
      <c r="I34" s="10">
        <v>42254.892871228098</v>
      </c>
      <c r="J34" s="10">
        <v>40178.130371671199</v>
      </c>
      <c r="K34" s="10">
        <v>53100</v>
      </c>
      <c r="L34" s="10">
        <v>51493.707124764092</v>
      </c>
      <c r="M34" s="10">
        <v>49472.193924590516</v>
      </c>
      <c r="N34" s="10">
        <v>265000</v>
      </c>
      <c r="O34" s="10">
        <v>268496.83744176378</v>
      </c>
      <c r="P34" s="10">
        <v>261933.4442592464</v>
      </c>
      <c r="Q34" s="10">
        <v>83600</v>
      </c>
      <c r="R34" s="10">
        <v>84754.351093213525</v>
      </c>
      <c r="S34" s="10">
        <v>82507.244826344817</v>
      </c>
      <c r="T34" s="10">
        <v>16500</v>
      </c>
      <c r="U34" s="10">
        <v>17289.367797904208</v>
      </c>
      <c r="V34" s="10">
        <v>16640.513881441759</v>
      </c>
      <c r="W34" s="10">
        <v>14750</v>
      </c>
      <c r="X34" s="10">
        <v>15220.07516447273</v>
      </c>
      <c r="Y34" s="10">
        <v>14704.444353818068</v>
      </c>
      <c r="Z34" s="10">
        <v>19550</v>
      </c>
      <c r="AA34" s="10">
        <v>18406.010015024138</v>
      </c>
      <c r="AB34" s="10">
        <v>17653.934134615356</v>
      </c>
      <c r="AC34" s="10">
        <v>12400</v>
      </c>
      <c r="AD34" s="10">
        <v>12551.962633452784</v>
      </c>
      <c r="AE34" s="10">
        <v>12144.462645388885</v>
      </c>
      <c r="AF34" s="10">
        <v>38050</v>
      </c>
      <c r="AG34" s="10">
        <v>38715.023520673538</v>
      </c>
      <c r="AH34" s="10">
        <v>36966.008825827434</v>
      </c>
      <c r="AI34" s="10">
        <v>46600</v>
      </c>
      <c r="AJ34" s="10">
        <v>46533.269354725715</v>
      </c>
      <c r="AK34" s="10">
        <v>45436.708659393888</v>
      </c>
      <c r="AL34" s="10">
        <v>11600</v>
      </c>
      <c r="AM34" s="10">
        <v>11702.945494786487</v>
      </c>
      <c r="AN34" s="10">
        <v>11151.41569294297</v>
      </c>
      <c r="AO34" s="10">
        <v>19000</v>
      </c>
      <c r="AP34" s="10">
        <v>18988.299897165427</v>
      </c>
      <c r="AQ34" s="10">
        <v>18252.831868955094</v>
      </c>
      <c r="AR34" s="10">
        <v>26000</v>
      </c>
      <c r="AS34" s="10">
        <v>26189.436665726455</v>
      </c>
      <c r="AT34" s="10">
        <v>25316.185108418686</v>
      </c>
      <c r="AU34" s="10">
        <v>160000</v>
      </c>
      <c r="AV34" s="10">
        <v>164567.04861022037</v>
      </c>
      <c r="AW34" s="10">
        <v>159074.0628742456</v>
      </c>
      <c r="AX34" s="10">
        <v>605000</v>
      </c>
      <c r="AY34" s="10">
        <v>589558.18890045816</v>
      </c>
      <c r="AZ34" s="10">
        <v>574192.68975162739</v>
      </c>
      <c r="BA34" s="10">
        <v>204000</v>
      </c>
      <c r="BB34" s="10">
        <v>205428.14880327578</v>
      </c>
      <c r="BC34" s="10">
        <v>200822.08530578332</v>
      </c>
      <c r="BD34" s="10">
        <v>33000</v>
      </c>
      <c r="BE34" s="10">
        <v>35222.419000062902</v>
      </c>
      <c r="BF34" s="10">
        <v>33810.762243303376</v>
      </c>
      <c r="BG34" s="10">
        <v>37050</v>
      </c>
      <c r="BH34" s="10">
        <v>35572.298574570254</v>
      </c>
      <c r="BI34" s="10">
        <v>34243.89421616686</v>
      </c>
      <c r="BJ34" s="10">
        <v>71300</v>
      </c>
      <c r="BK34" s="10">
        <v>72173.37999733063</v>
      </c>
      <c r="BL34" s="10">
        <v>70210.411817180531</v>
      </c>
      <c r="BM34" s="10">
        <v>1097000</v>
      </c>
      <c r="BN34" s="10">
        <v>1106141.9977399637</v>
      </c>
      <c r="BO34" s="10">
        <v>1073965.2194327768</v>
      </c>
      <c r="BP34" s="10">
        <v>42500</v>
      </c>
      <c r="BQ34" s="10">
        <v>41080.30274774885</v>
      </c>
      <c r="BR34" s="10">
        <v>39204.449701334721</v>
      </c>
      <c r="BS34" s="10">
        <v>116500</v>
      </c>
      <c r="BT34" s="10">
        <v>117067.75755511347</v>
      </c>
      <c r="BU34" s="10">
        <v>113342.94963318533</v>
      </c>
      <c r="BV34" s="10">
        <v>35350</v>
      </c>
      <c r="BW34" s="10">
        <v>35342.794108783928</v>
      </c>
      <c r="BX34" s="10">
        <v>34084.871449642415</v>
      </c>
      <c r="BY34" s="10">
        <v>25300</v>
      </c>
      <c r="BZ34" s="10">
        <v>25703.48253070901</v>
      </c>
      <c r="CA34" s="10">
        <v>24426.067390662643</v>
      </c>
      <c r="CB34" s="10">
        <v>86600</v>
      </c>
      <c r="CC34" s="10">
        <v>89088.611165764712</v>
      </c>
      <c r="CD34" s="10">
        <v>86511.145982559887</v>
      </c>
      <c r="CE34" s="10">
        <v>16500</v>
      </c>
      <c r="CF34" s="10">
        <v>16594.279947917294</v>
      </c>
      <c r="CG34" s="10">
        <v>16126.027141157952</v>
      </c>
      <c r="CH34" s="10">
        <v>62700</v>
      </c>
      <c r="CI34" s="10">
        <v>61765.674819569118</v>
      </c>
      <c r="CJ34" s="10">
        <v>59812.65987470252</v>
      </c>
      <c r="CK34" s="10">
        <v>316500</v>
      </c>
      <c r="CL34" s="10">
        <v>320980.08706800925</v>
      </c>
      <c r="CM34" s="10">
        <v>316368.49521717429</v>
      </c>
      <c r="CN34" s="10">
        <v>105500</v>
      </c>
      <c r="CO34" s="10">
        <v>104265.69965668555</v>
      </c>
      <c r="CP34" s="10">
        <v>101501.48096692804</v>
      </c>
      <c r="CQ34" s="10">
        <v>84600</v>
      </c>
      <c r="CR34" s="10">
        <v>85525.32880738168</v>
      </c>
      <c r="CS34" s="10">
        <v>84062.295289513699</v>
      </c>
      <c r="CT34" s="10">
        <v>21300</v>
      </c>
      <c r="CU34" s="10">
        <v>22011.293491435303</v>
      </c>
      <c r="CV34" s="10">
        <v>21078.483298416453</v>
      </c>
      <c r="CW34" s="10">
        <v>138500</v>
      </c>
      <c r="CX34" s="10">
        <v>140722.96412801999</v>
      </c>
      <c r="CY34" s="10">
        <v>138232.9640611787</v>
      </c>
      <c r="CZ34" s="10">
        <v>24250</v>
      </c>
      <c r="DA34" s="10">
        <v>23149.557418857923</v>
      </c>
      <c r="DB34" s="10">
        <v>22295.856523681214</v>
      </c>
      <c r="DC34" s="10">
        <v>22515</v>
      </c>
      <c r="DD34" s="10">
        <v>22338.949771632018</v>
      </c>
      <c r="DE34" s="10">
        <v>21764.669910402805</v>
      </c>
      <c r="DF34" s="10">
        <v>58600</v>
      </c>
      <c r="DG34" s="10">
        <v>59902.959260680123</v>
      </c>
      <c r="DH34" s="10">
        <v>58395.429539393161</v>
      </c>
      <c r="DI34" s="10">
        <v>157500</v>
      </c>
      <c r="DJ34" s="10">
        <v>154676.61653167687</v>
      </c>
      <c r="DK34" s="10">
        <v>150082.70190603129</v>
      </c>
      <c r="DL34" s="10">
        <v>28200</v>
      </c>
      <c r="DM34" s="10">
        <v>27209.940588435329</v>
      </c>
      <c r="DN34" s="10">
        <v>26338.704627392188</v>
      </c>
      <c r="DO34" s="10">
        <v>25900</v>
      </c>
      <c r="DP34" s="10">
        <v>26939.91025544249</v>
      </c>
      <c r="DQ34" s="10">
        <v>26003.737983889321</v>
      </c>
      <c r="DR34" s="10">
        <v>5020</v>
      </c>
      <c r="DS34" s="10">
        <v>4989.4790940463536</v>
      </c>
      <c r="DT34" s="10">
        <v>4832.1317489480743</v>
      </c>
      <c r="DU34" s="10">
        <v>178500</v>
      </c>
      <c r="DV34" s="10">
        <v>183845.11090802908</v>
      </c>
      <c r="DW34" s="10">
        <v>178662.0684065384</v>
      </c>
      <c r="DX34" s="10">
        <v>52100</v>
      </c>
      <c r="DY34" s="10">
        <v>53242.509946588871</v>
      </c>
      <c r="DZ34" s="10">
        <v>51138.453126252185</v>
      </c>
      <c r="EA34" s="10">
        <v>11250</v>
      </c>
      <c r="EB34" s="10">
        <v>11503.422916751506</v>
      </c>
      <c r="EC34" s="10">
        <v>11160.796649836624</v>
      </c>
      <c r="ED34" s="10">
        <v>1425000</v>
      </c>
      <c r="EE34" s="10">
        <v>1440002.0423802279</v>
      </c>
      <c r="EF34" s="10">
        <v>1407382.885490664</v>
      </c>
      <c r="EG34" s="10">
        <v>107000</v>
      </c>
      <c r="EH34" s="10">
        <v>109777.16710164156</v>
      </c>
      <c r="EI34" s="10">
        <v>105909.15052265537</v>
      </c>
      <c r="EJ34" s="10">
        <v>295000</v>
      </c>
      <c r="EK34" s="10">
        <v>294685.70077491883</v>
      </c>
      <c r="EL34" s="10">
        <v>285823.23653250159</v>
      </c>
      <c r="EM34" s="10">
        <v>11600</v>
      </c>
      <c r="EN34" s="10">
        <v>11670.430799966969</v>
      </c>
      <c r="EO34" s="10">
        <v>11345.394281332792</v>
      </c>
      <c r="EP34" s="10">
        <v>57500</v>
      </c>
      <c r="EQ34" s="10">
        <v>59028.239228564729</v>
      </c>
      <c r="ER34" s="10">
        <v>57045.220890216508</v>
      </c>
      <c r="ES34" s="10">
        <v>11400</v>
      </c>
      <c r="ET34" s="10">
        <v>11577.903672836401</v>
      </c>
      <c r="EU34" s="10">
        <v>11110.284741558877</v>
      </c>
      <c r="EV34">
        <v>305500</v>
      </c>
      <c r="EW34">
        <v>317344.01799453434</v>
      </c>
      <c r="EX34">
        <v>303637.11261869565</v>
      </c>
      <c r="EY34">
        <v>32650</v>
      </c>
      <c r="EZ34">
        <v>31549.724477799871</v>
      </c>
      <c r="FA34">
        <v>30687.571651728846</v>
      </c>
      <c r="FB34">
        <v>2600</v>
      </c>
      <c r="FC34">
        <v>2573.7871303085444</v>
      </c>
      <c r="FD34">
        <v>2485.1472103139226</v>
      </c>
      <c r="FE34">
        <v>59100</v>
      </c>
      <c r="FF34">
        <v>59296.199511929823</v>
      </c>
      <c r="FG34">
        <v>58083.800389029333</v>
      </c>
      <c r="FH34">
        <v>51100</v>
      </c>
      <c r="FI34">
        <v>49873.714036676116</v>
      </c>
      <c r="FJ34">
        <v>47306.942331856029</v>
      </c>
      <c r="FK34">
        <v>75600</v>
      </c>
      <c r="FL34">
        <v>76751.626616512338</v>
      </c>
      <c r="FM34">
        <v>74816.654837922251</v>
      </c>
      <c r="FN34">
        <v>34000</v>
      </c>
      <c r="FO34">
        <v>34459.497946867152</v>
      </c>
      <c r="FP34">
        <v>33392.081491534293</v>
      </c>
      <c r="FQ34">
        <v>29900</v>
      </c>
      <c r="FR34">
        <v>29934.903293738571</v>
      </c>
      <c r="FS34">
        <v>28765.65581354926</v>
      </c>
      <c r="FT34">
        <v>875000</v>
      </c>
      <c r="FU34">
        <v>878448.61355814</v>
      </c>
      <c r="FV34">
        <v>852628.4004226824</v>
      </c>
      <c r="FW34">
        <v>16650</v>
      </c>
      <c r="FX34">
        <v>16635.864405435557</v>
      </c>
      <c r="FY34">
        <v>16026.137215038649</v>
      </c>
      <c r="FZ34">
        <v>28300</v>
      </c>
      <c r="GA34">
        <v>28823.44601579936</v>
      </c>
      <c r="GB34">
        <v>27724.25840981524</v>
      </c>
      <c r="GC34">
        <v>20650</v>
      </c>
      <c r="GD34">
        <v>20175.410869615695</v>
      </c>
      <c r="GE34">
        <v>19704.462554449095</v>
      </c>
      <c r="GF34">
        <v>156000</v>
      </c>
      <c r="GG34">
        <v>157551.83391294884</v>
      </c>
      <c r="GH34">
        <v>152335.23166706128</v>
      </c>
      <c r="GI34">
        <v>5600</v>
      </c>
      <c r="GJ34">
        <v>5674.0502611721176</v>
      </c>
      <c r="GK34">
        <v>5326.8513611364679</v>
      </c>
      <c r="GL34">
        <v>10450</v>
      </c>
      <c r="GM34">
        <v>10261.10622317297</v>
      </c>
      <c r="GN34">
        <v>9767.3808600338871</v>
      </c>
      <c r="GO34">
        <v>658000</v>
      </c>
      <c r="GP34">
        <v>657088.83822657191</v>
      </c>
      <c r="GQ34">
        <v>632990.48339620966</v>
      </c>
      <c r="GR34">
        <v>59700</v>
      </c>
      <c r="GS34">
        <v>59926.109487469177</v>
      </c>
      <c r="GT34">
        <v>59086.485457570001</v>
      </c>
      <c r="GU34">
        <v>8100</v>
      </c>
      <c r="GV34">
        <v>8090.89292226613</v>
      </c>
      <c r="GW34">
        <v>7710.9906243364521</v>
      </c>
      <c r="GX34">
        <v>29900</v>
      </c>
      <c r="GY34">
        <v>29596.985401834572</v>
      </c>
      <c r="GZ34">
        <v>28392.554949812649</v>
      </c>
      <c r="HA34">
        <v>6100</v>
      </c>
      <c r="HB34">
        <v>6097.7880234286504</v>
      </c>
      <c r="HC34">
        <v>5883.1263688953086</v>
      </c>
      <c r="HD34">
        <v>34300</v>
      </c>
      <c r="HE34">
        <v>34217.392224406663</v>
      </c>
      <c r="HF34">
        <v>32623.244080724919</v>
      </c>
      <c r="HG34">
        <v>10650</v>
      </c>
      <c r="HH34">
        <v>10665.572398873199</v>
      </c>
      <c r="HI34">
        <v>10300.02953790388</v>
      </c>
      <c r="HJ34">
        <v>4480</v>
      </c>
      <c r="HK34">
        <v>4501.4112094643797</v>
      </c>
      <c r="HL34">
        <v>4331.2704613809447</v>
      </c>
    </row>
    <row r="35" spans="1:220" x14ac:dyDescent="0.4">
      <c r="A35" s="73">
        <v>41432</v>
      </c>
      <c r="B35" s="8">
        <v>302400</v>
      </c>
      <c r="C35" s="8">
        <v>314747.56062134763</v>
      </c>
      <c r="D35" s="8">
        <v>305983.63704203395</v>
      </c>
      <c r="E35" s="8">
        <v>140500</v>
      </c>
      <c r="F35" s="8">
        <v>142866.8447430477</v>
      </c>
      <c r="G35" s="8">
        <v>139797.37514209579</v>
      </c>
      <c r="H35" s="8">
        <v>41550</v>
      </c>
      <c r="I35" s="8">
        <v>42051.499885084981</v>
      </c>
      <c r="J35" s="8">
        <v>39984.733835586114</v>
      </c>
      <c r="K35" s="8">
        <v>50400</v>
      </c>
      <c r="L35" s="8">
        <v>51391.537070945109</v>
      </c>
      <c r="M35" s="8">
        <v>49374.03480966077</v>
      </c>
      <c r="N35" s="8">
        <v>265000</v>
      </c>
      <c r="O35" s="8">
        <v>272549.61989371519</v>
      </c>
      <c r="P35" s="8">
        <v>265887.15662542399</v>
      </c>
      <c r="Q35" s="8">
        <v>83400</v>
      </c>
      <c r="R35" s="8">
        <v>81299.137739293525</v>
      </c>
      <c r="S35" s="8">
        <v>79143.640121194039</v>
      </c>
      <c r="T35" s="8">
        <v>16950</v>
      </c>
      <c r="U35" s="8">
        <v>16626.353693559791</v>
      </c>
      <c r="V35" s="8">
        <v>16002.382080678499</v>
      </c>
      <c r="W35" s="8">
        <v>14950</v>
      </c>
      <c r="X35" s="8">
        <v>14761.945811695963</v>
      </c>
      <c r="Y35" s="8">
        <v>14261.835660893783</v>
      </c>
      <c r="Z35" s="8">
        <v>18000</v>
      </c>
      <c r="AA35" s="8">
        <v>19019.543682191616</v>
      </c>
      <c r="AB35" s="8">
        <v>18242.398605769209</v>
      </c>
      <c r="AC35" s="8">
        <v>12400</v>
      </c>
      <c r="AD35" s="8">
        <v>12703.800891115521</v>
      </c>
      <c r="AE35" s="8">
        <v>12291.371467712141</v>
      </c>
      <c r="AF35" s="8">
        <v>38000</v>
      </c>
      <c r="AG35" s="8">
        <v>39479.135827002625</v>
      </c>
      <c r="AH35" s="8">
        <v>37695.601105284557</v>
      </c>
      <c r="AI35" s="8">
        <v>45900</v>
      </c>
      <c r="AJ35" s="8">
        <v>47141.547385506456</v>
      </c>
      <c r="AK35" s="8">
        <v>46030.652563438271</v>
      </c>
      <c r="AL35" s="8">
        <v>11350</v>
      </c>
      <c r="AM35" s="8">
        <v>11445.17136494537</v>
      </c>
      <c r="AN35" s="8">
        <v>10905.789796622637</v>
      </c>
      <c r="AO35" s="8">
        <v>18550</v>
      </c>
      <c r="AP35" s="8">
        <v>18885.937094485307</v>
      </c>
      <c r="AQ35" s="8">
        <v>18154.433853489045</v>
      </c>
      <c r="AR35" s="8">
        <v>25750</v>
      </c>
      <c r="AS35" s="8">
        <v>26545.409591280022</v>
      </c>
      <c r="AT35" s="8">
        <v>25660.288595329235</v>
      </c>
      <c r="AU35" s="8">
        <v>162500</v>
      </c>
      <c r="AV35" s="8">
        <v>167605.20950763984</v>
      </c>
      <c r="AW35" s="8">
        <v>162010.81480423172</v>
      </c>
      <c r="AX35" s="8">
        <v>582000</v>
      </c>
      <c r="AY35" s="8">
        <v>583480.26942725747</v>
      </c>
      <c r="AZ35" s="8">
        <v>568273.17748614668</v>
      </c>
      <c r="BA35" s="8">
        <v>203500</v>
      </c>
      <c r="BB35" s="8">
        <v>204923.4113369289</v>
      </c>
      <c r="BC35" s="8">
        <v>200328.66494876691</v>
      </c>
      <c r="BD35" s="8">
        <v>34400</v>
      </c>
      <c r="BE35" s="8">
        <v>35836.763517505824</v>
      </c>
      <c r="BF35" s="8">
        <v>34400.484840570265</v>
      </c>
      <c r="BG35" s="8">
        <v>34800</v>
      </c>
      <c r="BH35" s="8">
        <v>35265.640828237767</v>
      </c>
      <c r="BI35" s="8">
        <v>33948.688231544744</v>
      </c>
      <c r="BJ35" s="8">
        <v>71400</v>
      </c>
      <c r="BK35" s="8">
        <v>73285.294815216694</v>
      </c>
      <c r="BL35" s="8">
        <v>71292.08482836961</v>
      </c>
      <c r="BM35" s="8">
        <v>1091000</v>
      </c>
      <c r="BN35" s="8">
        <v>1105128.1187319539</v>
      </c>
      <c r="BO35" s="8">
        <v>1072980.8333471383</v>
      </c>
      <c r="BP35" s="8">
        <v>40000</v>
      </c>
      <c r="BQ35" s="8">
        <v>41285.704261487648</v>
      </c>
      <c r="BR35" s="8">
        <v>39400.471949841449</v>
      </c>
      <c r="BS35" s="8">
        <v>115500</v>
      </c>
      <c r="BT35" s="8">
        <v>115547.3970673849</v>
      </c>
      <c r="BU35" s="8">
        <v>111870.96327431296</v>
      </c>
      <c r="BV35" s="8">
        <v>34750</v>
      </c>
      <c r="BW35" s="8">
        <v>34579.999991328208</v>
      </c>
      <c r="BX35" s="8">
        <v>33349.226742096231</v>
      </c>
      <c r="BY35" s="8">
        <v>24900</v>
      </c>
      <c r="BZ35" s="8">
        <v>26632.524067963532</v>
      </c>
      <c r="CA35" s="8">
        <v>25308.937296349224</v>
      </c>
      <c r="CB35" s="8">
        <v>87900</v>
      </c>
      <c r="CC35" s="8">
        <v>89088.611165764712</v>
      </c>
      <c r="CD35" s="8">
        <v>86511.145982559887</v>
      </c>
      <c r="CE35" s="8">
        <v>16400</v>
      </c>
      <c r="CF35" s="8">
        <v>17150.795433975498</v>
      </c>
      <c r="CG35" s="8">
        <v>16666.83902698947</v>
      </c>
      <c r="CH35" s="8">
        <v>60600</v>
      </c>
      <c r="CI35" s="8">
        <v>62173.369042800688</v>
      </c>
      <c r="CJ35" s="8">
        <v>60207.462910179194</v>
      </c>
      <c r="CK35" s="8">
        <v>319000</v>
      </c>
      <c r="CL35" s="8">
        <v>322489.39782224753</v>
      </c>
      <c r="CM35" s="8">
        <v>317856.12137023307</v>
      </c>
      <c r="CN35" s="8">
        <v>102500</v>
      </c>
      <c r="CO35" s="8">
        <v>101722.63381140056</v>
      </c>
      <c r="CP35" s="8">
        <v>99025.835089685919</v>
      </c>
      <c r="CQ35" s="8">
        <v>85100</v>
      </c>
      <c r="CR35" s="8">
        <v>86228.827399216752</v>
      </c>
      <c r="CS35" s="8">
        <v>84753.759528087816</v>
      </c>
      <c r="CT35" s="8">
        <v>21600</v>
      </c>
      <c r="CU35" s="8">
        <v>22367.957969305779</v>
      </c>
      <c r="CV35" s="8">
        <v>21420.032796307456</v>
      </c>
      <c r="CW35" s="8">
        <v>139500</v>
      </c>
      <c r="CX35" s="8">
        <v>138705.43059213448</v>
      </c>
      <c r="CY35" s="8">
        <v>136251.12945098267</v>
      </c>
      <c r="CZ35" s="8">
        <v>22650</v>
      </c>
      <c r="DA35" s="8">
        <v>23098.454643098859</v>
      </c>
      <c r="DB35" s="8">
        <v>22246.638297359626</v>
      </c>
      <c r="DC35" s="8">
        <v>21988</v>
      </c>
      <c r="DD35" s="8">
        <v>22473.05661945153</v>
      </c>
      <c r="DE35" s="8">
        <v>21895.329198567855</v>
      </c>
      <c r="DF35" s="8">
        <v>59000</v>
      </c>
      <c r="DG35" s="8">
        <v>60410.611457804633</v>
      </c>
      <c r="DH35" s="8">
        <v>58890.306060913535</v>
      </c>
      <c r="DI35" s="8">
        <v>152000</v>
      </c>
      <c r="DJ35" s="8">
        <v>159255.85846847002</v>
      </c>
      <c r="DK35" s="8">
        <v>154525.93979140729</v>
      </c>
      <c r="DL35" s="8">
        <v>26700</v>
      </c>
      <c r="DM35" s="8">
        <v>26139.886745069911</v>
      </c>
      <c r="DN35" s="8">
        <v>25302.912872382396</v>
      </c>
      <c r="DO35" s="8">
        <v>26500</v>
      </c>
      <c r="DP35" s="8">
        <v>27194.060352191944</v>
      </c>
      <c r="DQ35" s="8">
        <v>26249.056266756197</v>
      </c>
      <c r="DR35" s="8">
        <v>4900</v>
      </c>
      <c r="DS35" s="8">
        <v>5294.9574059267397</v>
      </c>
      <c r="DT35" s="8">
        <v>5127.9765499040768</v>
      </c>
      <c r="DU35" s="8">
        <v>181000</v>
      </c>
      <c r="DV35" s="8">
        <v>182321.53264083565</v>
      </c>
      <c r="DW35" s="8">
        <v>177181.44353024132</v>
      </c>
      <c r="DX35" s="8">
        <v>52100</v>
      </c>
      <c r="DY35" s="8">
        <v>49767.950756216509</v>
      </c>
      <c r="DZ35" s="8">
        <v>47801.202826266468</v>
      </c>
      <c r="EA35" s="8">
        <v>11350</v>
      </c>
      <c r="EB35" s="8">
        <v>11807.478148031294</v>
      </c>
      <c r="EC35" s="8">
        <v>11455.795680228794</v>
      </c>
      <c r="ED35" s="8">
        <v>1427000</v>
      </c>
      <c r="EE35" s="8">
        <v>1534858.5188930104</v>
      </c>
      <c r="EF35" s="8">
        <v>1500090.6579056059</v>
      </c>
      <c r="EG35" s="8">
        <v>108000</v>
      </c>
      <c r="EH35" s="8">
        <v>103678.43559599483</v>
      </c>
      <c r="EI35" s="8">
        <v>100025.30882695231</v>
      </c>
      <c r="EJ35" s="8">
        <v>290000</v>
      </c>
      <c r="EK35" s="8">
        <v>300782.64630819298</v>
      </c>
      <c r="EL35" s="8">
        <v>291736.82073662226</v>
      </c>
      <c r="EM35" s="8">
        <v>11500</v>
      </c>
      <c r="EN35" s="8">
        <v>11822.653810401334</v>
      </c>
      <c r="EO35" s="8">
        <v>11493.377685002364</v>
      </c>
      <c r="EP35" s="8">
        <v>57800</v>
      </c>
      <c r="EQ35" s="8">
        <v>58415.489340378917</v>
      </c>
      <c r="ER35" s="8">
        <v>56453.055967480679</v>
      </c>
      <c r="ES35" s="8">
        <v>11350</v>
      </c>
      <c r="ET35" s="8">
        <v>12036.93950127485</v>
      </c>
      <c r="EU35" s="8">
        <v>11550.780612369585</v>
      </c>
      <c r="EV35">
        <v>311500</v>
      </c>
      <c r="EW35">
        <v>324475.34424160252</v>
      </c>
      <c r="EX35">
        <v>310460.41852023936</v>
      </c>
      <c r="EY35">
        <v>31100</v>
      </c>
      <c r="EZ35">
        <v>31600.447507506975</v>
      </c>
      <c r="FA35">
        <v>30736.908583644839</v>
      </c>
      <c r="FB35">
        <v>2530</v>
      </c>
      <c r="FC35">
        <v>2685.6909185828281</v>
      </c>
      <c r="FD35">
        <v>2593.1970890232228</v>
      </c>
      <c r="FE35">
        <v>58900</v>
      </c>
      <c r="FF35">
        <v>60705.616817816124</v>
      </c>
      <c r="FG35">
        <v>59464.400058717663</v>
      </c>
      <c r="FH35">
        <v>48500</v>
      </c>
      <c r="FI35">
        <v>51210.53523765922</v>
      </c>
      <c r="FJ35">
        <v>48574.963466524365</v>
      </c>
      <c r="FK35">
        <v>75900</v>
      </c>
      <c r="FL35">
        <v>78470.701257461958</v>
      </c>
      <c r="FM35">
        <v>76492.390190023332</v>
      </c>
      <c r="FN35">
        <v>34050</v>
      </c>
      <c r="FO35">
        <v>34206.491354012047</v>
      </c>
      <c r="FP35">
        <v>33146.912023901896</v>
      </c>
      <c r="FQ35">
        <v>29200</v>
      </c>
      <c r="FR35">
        <v>29524.83612533117</v>
      </c>
      <c r="FS35">
        <v>28371.60573391158</v>
      </c>
      <c r="FT35">
        <v>866000</v>
      </c>
      <c r="FU35">
        <v>963656.10032359487</v>
      </c>
      <c r="FV35">
        <v>935331.3861449752</v>
      </c>
      <c r="FW35">
        <v>16400</v>
      </c>
      <c r="FX35">
        <v>18258.875566941475</v>
      </c>
      <c r="FY35">
        <v>17589.662796993649</v>
      </c>
      <c r="FZ35">
        <v>28350</v>
      </c>
      <c r="GA35">
        <v>28060.920988926362</v>
      </c>
      <c r="GB35">
        <v>26990.81242013759</v>
      </c>
      <c r="GC35">
        <v>20000</v>
      </c>
      <c r="GD35">
        <v>20074.533815267638</v>
      </c>
      <c r="GE35">
        <v>19605.940241676872</v>
      </c>
      <c r="GF35">
        <v>155000</v>
      </c>
      <c r="GG35">
        <v>160601.22424674797</v>
      </c>
      <c r="GH35">
        <v>155283.6555057787</v>
      </c>
      <c r="GI35">
        <v>5460</v>
      </c>
      <c r="GJ35">
        <v>5850.714829743406</v>
      </c>
      <c r="GK35">
        <v>5492.7057075454741</v>
      </c>
      <c r="GL35">
        <v>10000</v>
      </c>
      <c r="GM35">
        <v>10148.234054718065</v>
      </c>
      <c r="GN35">
        <v>9659.9396705735126</v>
      </c>
      <c r="GO35">
        <v>647000</v>
      </c>
      <c r="GP35">
        <v>666229.17755275301</v>
      </c>
      <c r="GQ35">
        <v>641795.60604005191</v>
      </c>
      <c r="GR35">
        <v>59600</v>
      </c>
      <c r="GS35">
        <v>60127.203814608358</v>
      </c>
      <c r="GT35">
        <v>59284.762254407506</v>
      </c>
      <c r="GU35">
        <v>7890</v>
      </c>
      <c r="GV35">
        <v>8695.9153334368584</v>
      </c>
      <c r="GW35">
        <v>8287.6046253958357</v>
      </c>
      <c r="GX35">
        <v>28900</v>
      </c>
      <c r="GY35">
        <v>29904.220544414165</v>
      </c>
      <c r="GZ35">
        <v>28687.287354135959</v>
      </c>
      <c r="HA35">
        <v>5980</v>
      </c>
      <c r="HB35">
        <v>6271.1365123889973</v>
      </c>
      <c r="HC35">
        <v>6050.3724362384864</v>
      </c>
      <c r="HD35">
        <v>33300</v>
      </c>
      <c r="HE35">
        <v>35450.451403664571</v>
      </c>
      <c r="HF35">
        <v>33798.856480030336</v>
      </c>
      <c r="HG35">
        <v>10500</v>
      </c>
      <c r="HH35">
        <v>10970.303038841021</v>
      </c>
      <c r="HI35">
        <v>10594.31609612972</v>
      </c>
      <c r="HJ35">
        <v>4425</v>
      </c>
      <c r="HK35">
        <v>4776.0735883469442</v>
      </c>
      <c r="HL35">
        <v>4595.5513708889275</v>
      </c>
    </row>
    <row r="36" spans="1:220" x14ac:dyDescent="0.4">
      <c r="A36" s="11">
        <v>41430</v>
      </c>
      <c r="B36" s="8">
        <v>309200</v>
      </c>
      <c r="C36" s="8">
        <v>322076.74055819632</v>
      </c>
      <c r="D36" s="8">
        <v>313108.74113874341</v>
      </c>
      <c r="E36" s="8">
        <v>141000</v>
      </c>
      <c r="F36" s="8">
        <v>143373.464759867</v>
      </c>
      <c r="G36" s="8">
        <v>140293.11051494005</v>
      </c>
      <c r="H36" s="8">
        <v>41350</v>
      </c>
      <c r="I36" s="8">
        <v>44593.912211873641</v>
      </c>
      <c r="J36" s="8">
        <v>42402.19053664933</v>
      </c>
      <c r="K36" s="8">
        <v>50300</v>
      </c>
      <c r="L36" s="8">
        <v>52004.557393858995</v>
      </c>
      <c r="M36" s="8">
        <v>49962.989499239258</v>
      </c>
      <c r="N36" s="8">
        <v>269000</v>
      </c>
      <c r="O36" s="8">
        <v>275589.20673267823</v>
      </c>
      <c r="P36" s="8">
        <v>268852.44090005662</v>
      </c>
      <c r="Q36" s="8">
        <v>80000</v>
      </c>
      <c r="R36" s="8">
        <v>82417.000883208908</v>
      </c>
      <c r="S36" s="8">
        <v>80231.865172860562</v>
      </c>
      <c r="T36" s="8">
        <v>16300</v>
      </c>
      <c r="U36" s="8">
        <v>16779.356948408498</v>
      </c>
      <c r="V36" s="8">
        <v>16149.643265470017</v>
      </c>
      <c r="W36" s="8">
        <v>14500</v>
      </c>
      <c r="X36" s="8">
        <v>15983.624085767351</v>
      </c>
      <c r="Y36" s="8">
        <v>15442.125508691886</v>
      </c>
      <c r="Z36" s="8">
        <v>18600</v>
      </c>
      <c r="AA36" s="8">
        <v>19121.799293386171</v>
      </c>
      <c r="AB36" s="8">
        <v>18340.476017628163</v>
      </c>
      <c r="AC36" s="8">
        <v>12550</v>
      </c>
      <c r="AD36" s="8">
        <v>12703.800891115521</v>
      </c>
      <c r="AE36" s="8">
        <v>12291.371467712141</v>
      </c>
      <c r="AF36" s="8">
        <v>38750</v>
      </c>
      <c r="AG36" s="8">
        <v>39377.254186158752</v>
      </c>
      <c r="AH36" s="8">
        <v>37598.322134690279</v>
      </c>
      <c r="AI36" s="8">
        <v>46500</v>
      </c>
      <c r="AJ36" s="8">
        <v>47141.547385506456</v>
      </c>
      <c r="AK36" s="8">
        <v>46030.652563438271</v>
      </c>
      <c r="AL36" s="8">
        <v>11100</v>
      </c>
      <c r="AM36" s="8">
        <v>11651.390668818276</v>
      </c>
      <c r="AN36" s="8">
        <v>11102.290513678916</v>
      </c>
      <c r="AO36" s="8">
        <v>18450</v>
      </c>
      <c r="AP36" s="8">
        <v>19551.2953119062</v>
      </c>
      <c r="AQ36" s="8">
        <v>18794.020954018473</v>
      </c>
      <c r="AR36" s="8">
        <v>26100</v>
      </c>
      <c r="AS36" s="8">
        <v>26952.235791912677</v>
      </c>
      <c r="AT36" s="8">
        <v>26053.54972322701</v>
      </c>
      <c r="AU36" s="8">
        <v>165500</v>
      </c>
      <c r="AV36" s="8">
        <v>169124.2899563495</v>
      </c>
      <c r="AW36" s="8">
        <v>163479.19076922466</v>
      </c>
      <c r="AX36" s="8">
        <v>576000</v>
      </c>
      <c r="AY36" s="8">
        <v>614882.85337212821</v>
      </c>
      <c r="AZ36" s="8">
        <v>598857.32419113116</v>
      </c>
      <c r="BA36" s="8">
        <v>203000</v>
      </c>
      <c r="BB36" s="8">
        <v>208456.57360135845</v>
      </c>
      <c r="BC36" s="8">
        <v>203782.60744788332</v>
      </c>
      <c r="BD36" s="8">
        <v>35000</v>
      </c>
      <c r="BE36" s="8">
        <v>35529.591258784363</v>
      </c>
      <c r="BF36" s="8">
        <v>34105.623541936817</v>
      </c>
      <c r="BG36" s="8">
        <v>34500</v>
      </c>
      <c r="BH36" s="8">
        <v>36032.28519406898</v>
      </c>
      <c r="BI36" s="8">
        <v>34686.703193100024</v>
      </c>
      <c r="BJ36" s="8">
        <v>72500</v>
      </c>
      <c r="BK36" s="8">
        <v>74397.209633102844</v>
      </c>
      <c r="BL36" s="8">
        <v>72373.757839558762</v>
      </c>
      <c r="BM36" s="8">
        <v>1090000</v>
      </c>
      <c r="BN36" s="8">
        <v>1091947.6916278105</v>
      </c>
      <c r="BO36" s="8">
        <v>1060183.814233823</v>
      </c>
      <c r="BP36" s="8">
        <v>40200</v>
      </c>
      <c r="BQ36" s="8">
        <v>43031.617128266917</v>
      </c>
      <c r="BR36" s="8">
        <v>41066.661062148123</v>
      </c>
      <c r="BS36" s="8">
        <v>114000</v>
      </c>
      <c r="BT36" s="8">
        <v>120615.26535981406</v>
      </c>
      <c r="BU36" s="8">
        <v>116777.58447055475</v>
      </c>
      <c r="BV36" s="8">
        <v>34000</v>
      </c>
      <c r="BW36" s="8">
        <v>35393.647049947693</v>
      </c>
      <c r="BX36" s="8">
        <v>34133.914430145545</v>
      </c>
      <c r="BY36" s="8">
        <v>25800</v>
      </c>
      <c r="BZ36" s="8">
        <v>28335.766886263547</v>
      </c>
      <c r="CA36" s="8">
        <v>26927.532123441346</v>
      </c>
      <c r="CB36" s="8">
        <v>87900</v>
      </c>
      <c r="CC36" s="8">
        <v>89392.667859163252</v>
      </c>
      <c r="CD36" s="8">
        <v>86806.405866459434</v>
      </c>
      <c r="CE36" s="8">
        <v>16950</v>
      </c>
      <c r="CF36" s="8">
        <v>17707.310920033717</v>
      </c>
      <c r="CG36" s="8">
        <v>17207.650912821002</v>
      </c>
      <c r="CH36" s="8">
        <v>61000</v>
      </c>
      <c r="CI36" s="8">
        <v>63192.604600879393</v>
      </c>
      <c r="CJ36" s="8">
        <v>61194.470498870658</v>
      </c>
      <c r="CK36" s="8">
        <v>320500</v>
      </c>
      <c r="CL36" s="8">
        <v>325508.01933072368</v>
      </c>
      <c r="CM36" s="8">
        <v>320831.37367635028</v>
      </c>
      <c r="CN36" s="8">
        <v>100000</v>
      </c>
      <c r="CO36" s="8">
        <v>101214.0206423435</v>
      </c>
      <c r="CP36" s="8">
        <v>98530.70591423742</v>
      </c>
      <c r="CQ36" s="8">
        <v>85800</v>
      </c>
      <c r="CR36" s="8">
        <v>87635.824582887028</v>
      </c>
      <c r="CS36" s="8">
        <v>86136.688005236181</v>
      </c>
      <c r="CT36" s="8">
        <v>21950</v>
      </c>
      <c r="CU36" s="8">
        <v>22622.718310641809</v>
      </c>
      <c r="CV36" s="8">
        <v>21663.996723372438</v>
      </c>
      <c r="CW36" s="8">
        <v>137500</v>
      </c>
      <c r="CX36" s="8">
        <v>139714.19736007735</v>
      </c>
      <c r="CY36" s="8">
        <v>137242.04675608082</v>
      </c>
      <c r="CZ36" s="8">
        <v>22600</v>
      </c>
      <c r="DA36" s="8">
        <v>24324.921261316475</v>
      </c>
      <c r="DB36" s="8">
        <v>23427.875729077816</v>
      </c>
      <c r="DC36" s="8">
        <v>22120</v>
      </c>
      <c r="DD36" s="8">
        <v>22312.534786455453</v>
      </c>
      <c r="DE36" s="8">
        <v>21738.933990006662</v>
      </c>
      <c r="DF36" s="8">
        <v>59500</v>
      </c>
      <c r="DG36" s="8">
        <v>61832.037609752966</v>
      </c>
      <c r="DH36" s="8">
        <v>60275.960321170314</v>
      </c>
      <c r="DI36" s="8">
        <v>156500</v>
      </c>
      <c r="DJ36" s="8">
        <v>161799.88176668828</v>
      </c>
      <c r="DK36" s="8">
        <v>156994.40528328271</v>
      </c>
      <c r="DL36" s="8">
        <v>25650</v>
      </c>
      <c r="DM36" s="8">
        <v>27464.715313046177</v>
      </c>
      <c r="DN36" s="8">
        <v>26585.321711918361</v>
      </c>
      <c r="DO36" s="8">
        <v>26750</v>
      </c>
      <c r="DP36" s="8">
        <v>27651.530526340965</v>
      </c>
      <c r="DQ36" s="8">
        <v>26690.62917591658</v>
      </c>
      <c r="DR36" s="8">
        <v>5200</v>
      </c>
      <c r="DS36" s="8">
        <v>5651.3487697871878</v>
      </c>
      <c r="DT36" s="8">
        <v>5473.1288176860762</v>
      </c>
      <c r="DU36" s="8">
        <v>179500</v>
      </c>
      <c r="DV36" s="8">
        <v>188415.84570961012</v>
      </c>
      <c r="DW36" s="8">
        <v>183103.94303543045</v>
      </c>
      <c r="DX36" s="8">
        <v>48700</v>
      </c>
      <c r="DY36" s="8">
        <v>51607.42326876663</v>
      </c>
      <c r="DZ36" s="8">
        <v>49567.982396847183</v>
      </c>
      <c r="EA36" s="8">
        <v>11650</v>
      </c>
      <c r="EB36" s="8">
        <v>12364.912738710869</v>
      </c>
      <c r="EC36" s="8">
        <v>11996.627235947737</v>
      </c>
      <c r="ED36" s="8">
        <v>1521000</v>
      </c>
      <c r="EE36" s="8">
        <v>1554031.6364860197</v>
      </c>
      <c r="EF36" s="8">
        <v>1518829.4629682004</v>
      </c>
      <c r="EG36" s="8">
        <v>102000</v>
      </c>
      <c r="EH36" s="8">
        <v>110793.62235258264</v>
      </c>
      <c r="EI36" s="8">
        <v>106889.7908052725</v>
      </c>
      <c r="EJ36" s="8">
        <v>296000</v>
      </c>
      <c r="EK36" s="8">
        <v>297226.09474711679</v>
      </c>
      <c r="EL36" s="8">
        <v>288287.22995088558</v>
      </c>
      <c r="EM36" s="8">
        <v>11650</v>
      </c>
      <c r="EN36" s="8">
        <v>11771.912806923201</v>
      </c>
      <c r="EO36" s="8">
        <v>11444.04988377916</v>
      </c>
      <c r="EP36" s="8">
        <v>57200</v>
      </c>
      <c r="EQ36" s="8">
        <v>58313.364359014588</v>
      </c>
      <c r="ER36" s="8">
        <v>56354.36181369135</v>
      </c>
      <c r="ES36" s="8">
        <v>11800</v>
      </c>
      <c r="ET36" s="8">
        <v>12444.971348775691</v>
      </c>
      <c r="EU36" s="8">
        <v>11942.332497534653</v>
      </c>
      <c r="EV36">
        <v>318500</v>
      </c>
      <c r="EW36">
        <v>335681.714058424</v>
      </c>
      <c r="EX36">
        <v>321182.75636552239</v>
      </c>
      <c r="EY36">
        <v>31150</v>
      </c>
      <c r="EZ36">
        <v>32716.354161062598</v>
      </c>
      <c r="FA36">
        <v>31822.321085796022</v>
      </c>
      <c r="FB36">
        <v>2640</v>
      </c>
      <c r="FC36">
        <v>2843.3735293329564</v>
      </c>
      <c r="FD36">
        <v>2745.4491908408745</v>
      </c>
      <c r="FE36">
        <v>60300</v>
      </c>
      <c r="FF36">
        <v>61611.670800171625</v>
      </c>
      <c r="FG36">
        <v>60351.928417803036</v>
      </c>
      <c r="FH36">
        <v>49800</v>
      </c>
      <c r="FI36">
        <v>51313.367637734809</v>
      </c>
      <c r="FJ36">
        <v>48672.503553806513</v>
      </c>
      <c r="FK36">
        <v>77600</v>
      </c>
      <c r="FL36">
        <v>81200.99627544063</v>
      </c>
      <c r="FM36">
        <v>79153.85221983082</v>
      </c>
      <c r="FN36">
        <v>33800</v>
      </c>
      <c r="FO36">
        <v>35926.936185426894</v>
      </c>
      <c r="FP36">
        <v>34814.064403802317</v>
      </c>
      <c r="FQ36">
        <v>28800</v>
      </c>
      <c r="FR36">
        <v>30908.812818706072</v>
      </c>
      <c r="FS36">
        <v>29701.524752688685</v>
      </c>
      <c r="FT36">
        <v>950000</v>
      </c>
      <c r="FU36">
        <v>954526.72674158134</v>
      </c>
      <c r="FV36">
        <v>926470.35196044331</v>
      </c>
      <c r="FW36">
        <v>18000</v>
      </c>
      <c r="FX36">
        <v>19171.819345288553</v>
      </c>
      <c r="FY36">
        <v>18469.145936843335</v>
      </c>
      <c r="FZ36">
        <v>27600</v>
      </c>
      <c r="GA36">
        <v>29026.786022965487</v>
      </c>
      <c r="GB36">
        <v>27919.844007062609</v>
      </c>
      <c r="GC36">
        <v>19900</v>
      </c>
      <c r="GD36">
        <v>20276.287923963799</v>
      </c>
      <c r="GE36">
        <v>19802.984867221363</v>
      </c>
      <c r="GF36">
        <v>158000</v>
      </c>
      <c r="GG36">
        <v>160601.22424674797</v>
      </c>
      <c r="GH36">
        <v>155283.6555057787</v>
      </c>
      <c r="GI36">
        <v>5630</v>
      </c>
      <c r="GJ36">
        <v>5809.1466959619293</v>
      </c>
      <c r="GK36">
        <v>5453.6811554492406</v>
      </c>
      <c r="GL36">
        <v>9890</v>
      </c>
      <c r="GM36">
        <v>10774.161534331601</v>
      </c>
      <c r="GN36">
        <v>10255.749903035565</v>
      </c>
      <c r="GO36">
        <v>656000</v>
      </c>
      <c r="GP36">
        <v>707868.50114980049</v>
      </c>
      <c r="GQ36">
        <v>681907.83141755557</v>
      </c>
      <c r="GR36">
        <v>59800</v>
      </c>
      <c r="GS36">
        <v>60127.203814608358</v>
      </c>
      <c r="GT36">
        <v>59284.762254407506</v>
      </c>
      <c r="GU36">
        <v>8480</v>
      </c>
      <c r="GV36">
        <v>8972.7899961760068</v>
      </c>
      <c r="GW36">
        <v>8551.4788292704707</v>
      </c>
      <c r="GX36">
        <v>29200</v>
      </c>
      <c r="GY36">
        <v>31337.98454311895</v>
      </c>
      <c r="GZ36">
        <v>30062.705240978092</v>
      </c>
      <c r="HA36">
        <v>6150</v>
      </c>
      <c r="HB36">
        <v>6383.3031817162755</v>
      </c>
      <c r="HC36">
        <v>6158.5904798134789</v>
      </c>
      <c r="HD36">
        <v>34500</v>
      </c>
      <c r="HE36">
        <v>36683.510582922412</v>
      </c>
      <c r="HF36">
        <v>34974.468879335676</v>
      </c>
      <c r="HG36">
        <v>10800</v>
      </c>
      <c r="HH36">
        <v>11071.879918830284</v>
      </c>
      <c r="HI36">
        <v>10692.411615538324</v>
      </c>
      <c r="HJ36">
        <v>4695</v>
      </c>
      <c r="HK36">
        <v>4949.0091602359707</v>
      </c>
      <c r="HL36">
        <v>4761.950462060624</v>
      </c>
    </row>
    <row r="37" spans="1:220" x14ac:dyDescent="0.4">
      <c r="A37" s="11">
        <v>41429</v>
      </c>
      <c r="B37" s="8">
        <v>316400</v>
      </c>
      <c r="C37" s="8">
        <v>320448.03390556364</v>
      </c>
      <c r="D37" s="8">
        <v>311525.38467280829</v>
      </c>
      <c r="E37" s="8">
        <v>141500</v>
      </c>
      <c r="F37" s="8">
        <v>142866.8447430477</v>
      </c>
      <c r="G37" s="8">
        <v>139797.37514209579</v>
      </c>
      <c r="H37" s="8">
        <v>43850</v>
      </c>
      <c r="I37" s="8">
        <v>44085.429746515925</v>
      </c>
      <c r="J37" s="8">
        <v>41918.699196436704</v>
      </c>
      <c r="K37" s="8">
        <v>50900</v>
      </c>
      <c r="L37" s="8">
        <v>56908.719977169894</v>
      </c>
      <c r="M37" s="8">
        <v>54674.62701586695</v>
      </c>
      <c r="N37" s="8">
        <v>272000</v>
      </c>
      <c r="O37" s="8">
        <v>278628.79357164179</v>
      </c>
      <c r="P37" s="8">
        <v>271817.72517468984</v>
      </c>
      <c r="Q37" s="8">
        <v>81100</v>
      </c>
      <c r="R37" s="8">
        <v>83534.864027124073</v>
      </c>
      <c r="S37" s="8">
        <v>81320.090224526866</v>
      </c>
      <c r="T37" s="8">
        <v>16450</v>
      </c>
      <c r="U37" s="8">
        <v>17340.368882853789</v>
      </c>
      <c r="V37" s="8">
        <v>16689.600943038946</v>
      </c>
      <c r="W37" s="8">
        <v>15700</v>
      </c>
      <c r="X37" s="8">
        <v>16238.140392865544</v>
      </c>
      <c r="Y37" s="8">
        <v>15688.019226983146</v>
      </c>
      <c r="Z37" s="8">
        <v>18700</v>
      </c>
      <c r="AA37" s="8">
        <v>19633.077349359079</v>
      </c>
      <c r="AB37" s="8">
        <v>18830.863076923044</v>
      </c>
      <c r="AC37" s="8">
        <v>12550</v>
      </c>
      <c r="AD37" s="8">
        <v>12754.413643669761</v>
      </c>
      <c r="AE37" s="8">
        <v>12340.341075153219</v>
      </c>
      <c r="AF37" s="8">
        <v>38650</v>
      </c>
      <c r="AG37" s="8">
        <v>40294.188953753684</v>
      </c>
      <c r="AH37" s="8">
        <v>38473.832870038852</v>
      </c>
      <c r="AI37" s="8">
        <v>46500</v>
      </c>
      <c r="AJ37" s="8">
        <v>46330.510011132188</v>
      </c>
      <c r="AK37" s="8">
        <v>45238.72735804582</v>
      </c>
      <c r="AL37" s="8">
        <v>11300</v>
      </c>
      <c r="AM37" s="8">
        <v>11909.16479865938</v>
      </c>
      <c r="AN37" s="8">
        <v>11347.916409999238</v>
      </c>
      <c r="AO37" s="8">
        <v>19100</v>
      </c>
      <c r="AP37" s="8">
        <v>19346.569706545932</v>
      </c>
      <c r="AQ37" s="8">
        <v>18597.224923086345</v>
      </c>
      <c r="AR37" s="8">
        <v>26500</v>
      </c>
      <c r="AS37" s="8">
        <v>27003.089066991761</v>
      </c>
      <c r="AT37" s="8">
        <v>26102.707364214235</v>
      </c>
      <c r="AU37" s="8">
        <v>167000</v>
      </c>
      <c r="AV37" s="8">
        <v>166592.48920850016</v>
      </c>
      <c r="AW37" s="8">
        <v>161031.8974942365</v>
      </c>
      <c r="AX37" s="8">
        <v>607000</v>
      </c>
      <c r="AY37" s="8">
        <v>633116.61179172969</v>
      </c>
      <c r="AZ37" s="8">
        <v>616615.86098757305</v>
      </c>
      <c r="BA37" s="8">
        <v>206500</v>
      </c>
      <c r="BB37" s="8">
        <v>201894.98653884619</v>
      </c>
      <c r="BC37" s="8">
        <v>197368.14280666687</v>
      </c>
      <c r="BD37" s="8">
        <v>34700</v>
      </c>
      <c r="BE37" s="8">
        <v>33891.339212269835</v>
      </c>
      <c r="BF37" s="8">
        <v>32533.02994922506</v>
      </c>
      <c r="BG37" s="8">
        <v>35250</v>
      </c>
      <c r="BH37" s="8">
        <v>35367.860077015233</v>
      </c>
      <c r="BI37" s="8">
        <v>34047.090226418753</v>
      </c>
      <c r="BJ37" s="8">
        <v>73600</v>
      </c>
      <c r="BK37" s="8">
        <v>72072.296832068285</v>
      </c>
      <c r="BL37" s="8">
        <v>70112.077907072453</v>
      </c>
      <c r="BM37" s="8">
        <v>1077000</v>
      </c>
      <c r="BN37" s="8">
        <v>1108169.7557559852</v>
      </c>
      <c r="BO37" s="8">
        <v>1075933.9916040555</v>
      </c>
      <c r="BP37" s="8">
        <v>41900</v>
      </c>
      <c r="BQ37" s="8">
        <v>44418.077346003513</v>
      </c>
      <c r="BR37" s="8">
        <v>42389.811239568233</v>
      </c>
      <c r="BS37" s="8">
        <v>119000</v>
      </c>
      <c r="BT37" s="8">
        <v>122642.41267678562</v>
      </c>
      <c r="BU37" s="8">
        <v>118740.23294905137</v>
      </c>
      <c r="BV37" s="8">
        <v>34800</v>
      </c>
      <c r="BW37" s="8">
        <v>38241.411755115856</v>
      </c>
      <c r="BX37" s="8">
        <v>36880.321338318136</v>
      </c>
      <c r="BY37" s="8">
        <v>27450</v>
      </c>
      <c r="BZ37" s="8">
        <v>29574.488935936257</v>
      </c>
      <c r="CA37" s="8">
        <v>28104.691997690137</v>
      </c>
      <c r="CB37" s="8">
        <v>88200</v>
      </c>
      <c r="CC37" s="8">
        <v>89392.667859163252</v>
      </c>
      <c r="CD37" s="8">
        <v>86806.405866459434</v>
      </c>
      <c r="CE37" s="8">
        <v>17500</v>
      </c>
      <c r="CF37" s="8">
        <v>18061.457138434358</v>
      </c>
      <c r="CG37" s="8">
        <v>17551.803931077393</v>
      </c>
      <c r="CH37" s="8">
        <v>62000</v>
      </c>
      <c r="CI37" s="8">
        <v>64925.305049613155</v>
      </c>
      <c r="CJ37" s="8">
        <v>62872.383399646111</v>
      </c>
      <c r="CK37" s="8">
        <v>323500</v>
      </c>
      <c r="CL37" s="8">
        <v>324501.81216123165</v>
      </c>
      <c r="CM37" s="8">
        <v>319839.6229076446</v>
      </c>
      <c r="CN37" s="8">
        <v>99500</v>
      </c>
      <c r="CO37" s="8">
        <v>102231.24698045751</v>
      </c>
      <c r="CP37" s="8">
        <v>99520.964265134287</v>
      </c>
      <c r="CQ37" s="8">
        <v>87200</v>
      </c>
      <c r="CR37" s="8">
        <v>87434.824985219806</v>
      </c>
      <c r="CS37" s="8">
        <v>85939.126794214928</v>
      </c>
      <c r="CT37" s="8">
        <v>22200</v>
      </c>
      <c r="CU37" s="8">
        <v>22673.670378909021</v>
      </c>
      <c r="CV37" s="8">
        <v>21712.789508785438</v>
      </c>
      <c r="CW37" s="8">
        <v>138500</v>
      </c>
      <c r="CX37" s="8">
        <v>141731.73089596277</v>
      </c>
      <c r="CY37" s="8">
        <v>139223.88136627674</v>
      </c>
      <c r="CZ37" s="8">
        <v>23800</v>
      </c>
      <c r="DA37" s="8">
        <v>24835.949018907144</v>
      </c>
      <c r="DB37" s="8">
        <v>23920.057992293725</v>
      </c>
      <c r="DC37" s="8">
        <v>21962</v>
      </c>
      <c r="DD37" s="8">
        <v>22820.515270620253</v>
      </c>
      <c r="DE37" s="8">
        <v>22233.855536086387</v>
      </c>
      <c r="DF37" s="8">
        <v>60900</v>
      </c>
      <c r="DG37" s="8">
        <v>60613.67233665433</v>
      </c>
      <c r="DH37" s="8">
        <v>59088.256669521586</v>
      </c>
      <c r="DI37" s="8">
        <v>159000</v>
      </c>
      <c r="DJ37" s="8">
        <v>161291.07710704455</v>
      </c>
      <c r="DK37" s="8">
        <v>156500.71218490755</v>
      </c>
      <c r="DL37" s="8">
        <v>26950</v>
      </c>
      <c r="DM37" s="8">
        <v>28025.219707189979</v>
      </c>
      <c r="DN37" s="8">
        <v>27127.879297875883</v>
      </c>
      <c r="DO37" s="8">
        <v>27200</v>
      </c>
      <c r="DP37" s="8">
        <v>26380.780042593655</v>
      </c>
      <c r="DQ37" s="8">
        <v>25464.037761582156</v>
      </c>
      <c r="DR37" s="8">
        <v>5550</v>
      </c>
      <c r="DS37" s="8">
        <v>5233.861743550664</v>
      </c>
      <c r="DT37" s="8">
        <v>5068.8075897128774</v>
      </c>
      <c r="DU37" s="8">
        <v>185500</v>
      </c>
      <c r="DV37" s="8">
        <v>185876.54859762074</v>
      </c>
      <c r="DW37" s="8">
        <v>180636.23490826829</v>
      </c>
      <c r="DX37" s="8">
        <v>50500</v>
      </c>
      <c r="DY37" s="8">
        <v>52118.387855586072</v>
      </c>
      <c r="DZ37" s="8">
        <v>50058.754499786235</v>
      </c>
      <c r="EA37" s="8">
        <v>12200</v>
      </c>
      <c r="EB37" s="8">
        <v>12618.292098110687</v>
      </c>
      <c r="EC37" s="8">
        <v>12242.459761274538</v>
      </c>
      <c r="ED37" s="8">
        <v>1540000</v>
      </c>
      <c r="EE37" s="8">
        <v>1545958.744867912</v>
      </c>
      <c r="EF37" s="8">
        <v>1510939.4397839515</v>
      </c>
      <c r="EG37" s="8">
        <v>109000</v>
      </c>
      <c r="EH37" s="8">
        <v>116892.35385822953</v>
      </c>
      <c r="EI37" s="8">
        <v>112773.63250097571</v>
      </c>
      <c r="EJ37" s="8">
        <v>292500</v>
      </c>
      <c r="EK37" s="8">
        <v>302814.96148595144</v>
      </c>
      <c r="EL37" s="8">
        <v>293708.01547132956</v>
      </c>
      <c r="EM37" s="8">
        <v>11600</v>
      </c>
      <c r="EN37" s="8">
        <v>12177.840834748138</v>
      </c>
      <c r="EO37" s="8">
        <v>11838.672293564648</v>
      </c>
      <c r="EP37" s="8">
        <v>57100</v>
      </c>
      <c r="EQ37" s="8">
        <v>62194.113650857988</v>
      </c>
      <c r="ER37" s="8">
        <v>60104.739657684862</v>
      </c>
      <c r="ES37" s="8">
        <v>12200</v>
      </c>
      <c r="ET37" s="8">
        <v>13057.019120026947</v>
      </c>
      <c r="EU37" s="8">
        <v>12529.660325282253</v>
      </c>
      <c r="EV37">
        <v>329500</v>
      </c>
      <c r="EW37">
        <v>328041.00736513676</v>
      </c>
      <c r="EX37">
        <v>313872.07147101132</v>
      </c>
      <c r="EY37">
        <v>32250</v>
      </c>
      <c r="EZ37">
        <v>32361.29295311305</v>
      </c>
      <c r="FA37">
        <v>31476.962562384251</v>
      </c>
      <c r="FB37">
        <v>2795</v>
      </c>
      <c r="FC37">
        <v>2878.9792801475023</v>
      </c>
      <c r="FD37">
        <v>2779.8286977029252</v>
      </c>
      <c r="FE37">
        <v>61200</v>
      </c>
      <c r="FF37">
        <v>61913.688794290094</v>
      </c>
      <c r="FG37">
        <v>60647.771204164797</v>
      </c>
      <c r="FH37">
        <v>49900</v>
      </c>
      <c r="FI37">
        <v>51724.69723803729</v>
      </c>
      <c r="FJ37">
        <v>49062.663902935215</v>
      </c>
      <c r="FK37">
        <v>80300</v>
      </c>
      <c r="FL37">
        <v>82212.216652469753</v>
      </c>
      <c r="FM37">
        <v>80139.578897537285</v>
      </c>
      <c r="FN37">
        <v>35500</v>
      </c>
      <c r="FO37">
        <v>37090.766512560418</v>
      </c>
      <c r="FP37">
        <v>35941.84395491139</v>
      </c>
      <c r="FQ37">
        <v>30150</v>
      </c>
      <c r="FR37">
        <v>31318.879987113476</v>
      </c>
      <c r="FS37">
        <v>30095.574832326372</v>
      </c>
      <c r="FT37">
        <v>941000</v>
      </c>
      <c r="FU37">
        <v>974814.22359049961</v>
      </c>
      <c r="FV37">
        <v>946161.53903718002</v>
      </c>
      <c r="FW37">
        <v>18900</v>
      </c>
      <c r="FX37">
        <v>18563.190159723839</v>
      </c>
      <c r="FY37">
        <v>17882.823843610218</v>
      </c>
      <c r="FZ37">
        <v>28550</v>
      </c>
      <c r="GA37">
        <v>29687.641046255441</v>
      </c>
      <c r="GB37">
        <v>28555.497198116595</v>
      </c>
      <c r="GC37">
        <v>20100</v>
      </c>
      <c r="GD37">
        <v>20175.410869615695</v>
      </c>
      <c r="GE37">
        <v>19704.462554449095</v>
      </c>
      <c r="GF37">
        <v>158000</v>
      </c>
      <c r="GG37">
        <v>171274.09041504431</v>
      </c>
      <c r="GH37">
        <v>165603.1389412891</v>
      </c>
      <c r="GI37">
        <v>5590</v>
      </c>
      <c r="GJ37">
        <v>6048.1634652054454</v>
      </c>
      <c r="GK37">
        <v>5678.0723300026102</v>
      </c>
      <c r="GL37">
        <v>10500</v>
      </c>
      <c r="GM37">
        <v>10568.939409868155</v>
      </c>
      <c r="GN37">
        <v>10060.4022858349</v>
      </c>
      <c r="GO37">
        <v>697000</v>
      </c>
      <c r="GP37">
        <v>736305.11238680873</v>
      </c>
      <c r="GQ37">
        <v>709301.54630950943</v>
      </c>
      <c r="GR37">
        <v>59800</v>
      </c>
      <c r="GS37">
        <v>60026.656651038757</v>
      </c>
      <c r="GT37">
        <v>59185.623855988742</v>
      </c>
      <c r="GU37">
        <v>8750</v>
      </c>
      <c r="GV37">
        <v>9434.2477674079146</v>
      </c>
      <c r="GW37">
        <v>8991.2691690615229</v>
      </c>
      <c r="GX37">
        <v>30600</v>
      </c>
      <c r="GY37">
        <v>32618.130970533937</v>
      </c>
      <c r="GZ37">
        <v>31290.756925658567</v>
      </c>
      <c r="HA37">
        <v>6260</v>
      </c>
      <c r="HB37">
        <v>6373.10621177743</v>
      </c>
      <c r="HC37">
        <v>6148.752475852114</v>
      </c>
      <c r="HD37">
        <v>35700</v>
      </c>
      <c r="HE37">
        <v>37865.192296377892</v>
      </c>
      <c r="HF37">
        <v>36101.097428670022</v>
      </c>
      <c r="HG37">
        <v>10900</v>
      </c>
      <c r="HH37">
        <v>11122.668358824913</v>
      </c>
      <c r="HI37">
        <v>10741.459375242621</v>
      </c>
      <c r="HJ37">
        <v>4865</v>
      </c>
      <c r="HK37">
        <v>5116.8583917753258</v>
      </c>
      <c r="HL37">
        <v>4923.4554623155118</v>
      </c>
    </row>
    <row r="38" spans="1:220" x14ac:dyDescent="0.4">
      <c r="A38" s="11">
        <v>41428</v>
      </c>
      <c r="B38" s="8">
        <v>314800</v>
      </c>
      <c r="C38" s="8">
        <v>325435.94802925241</v>
      </c>
      <c r="D38" s="8">
        <v>316374.41384973563</v>
      </c>
      <c r="E38" s="8">
        <v>141000</v>
      </c>
      <c r="F38" s="8">
        <v>145399.94482714441</v>
      </c>
      <c r="G38" s="8">
        <v>142276.05200631748</v>
      </c>
      <c r="H38" s="8">
        <v>43350</v>
      </c>
      <c r="I38" s="8">
        <v>46526.145580233067</v>
      </c>
      <c r="J38" s="8">
        <v>44239.457629457422</v>
      </c>
      <c r="K38" s="8">
        <v>55700</v>
      </c>
      <c r="L38" s="8">
        <v>59462.971322644262</v>
      </c>
      <c r="M38" s="8">
        <v>57128.604889110495</v>
      </c>
      <c r="N38" s="8">
        <v>275000</v>
      </c>
      <c r="O38" s="8">
        <v>277109.00015216024</v>
      </c>
      <c r="P38" s="8">
        <v>270335.08303737344</v>
      </c>
      <c r="Q38" s="8">
        <v>82200</v>
      </c>
      <c r="R38" s="8">
        <v>85160.846781909961</v>
      </c>
      <c r="S38" s="8">
        <v>82902.963026950747</v>
      </c>
      <c r="T38" s="8">
        <v>17000</v>
      </c>
      <c r="U38" s="8">
        <v>17901.380817299047</v>
      </c>
      <c r="V38" s="8">
        <v>17229.558620607837</v>
      </c>
      <c r="W38" s="8">
        <v>15950</v>
      </c>
      <c r="X38" s="8">
        <v>15983.624085767351</v>
      </c>
      <c r="Y38" s="8">
        <v>15442.125508691886</v>
      </c>
      <c r="Z38" s="8">
        <v>19200</v>
      </c>
      <c r="AA38" s="8">
        <v>20451.122238915683</v>
      </c>
      <c r="AB38" s="8">
        <v>19615.482371794817</v>
      </c>
      <c r="AC38" s="8">
        <v>12600</v>
      </c>
      <c r="AD38" s="8">
        <v>13209.928416657971</v>
      </c>
      <c r="AE38" s="8">
        <v>12781.067542122981</v>
      </c>
      <c r="AF38" s="8">
        <v>39550</v>
      </c>
      <c r="AG38" s="8">
        <v>41109.242080504708</v>
      </c>
      <c r="AH38" s="8">
        <v>39252.064634793111</v>
      </c>
      <c r="AI38" s="8">
        <v>45700</v>
      </c>
      <c r="AJ38" s="8">
        <v>46938.7880419129</v>
      </c>
      <c r="AK38" s="8">
        <v>45832.671262090167</v>
      </c>
      <c r="AL38" s="8">
        <v>11550</v>
      </c>
      <c r="AM38" s="8">
        <v>12063.829276564054</v>
      </c>
      <c r="AN38" s="8">
        <v>11495.291947791442</v>
      </c>
      <c r="AO38" s="8">
        <v>18900</v>
      </c>
      <c r="AP38" s="8">
        <v>18783.574291805162</v>
      </c>
      <c r="AQ38" s="8">
        <v>18056.035838022974</v>
      </c>
      <c r="AR38" s="8">
        <v>26550</v>
      </c>
      <c r="AS38" s="8">
        <v>27460.76854270347</v>
      </c>
      <c r="AT38" s="8">
        <v>26545.126133099209</v>
      </c>
      <c r="AU38" s="8">
        <v>164500</v>
      </c>
      <c r="AV38" s="8">
        <v>167605.20950763984</v>
      </c>
      <c r="AW38" s="8">
        <v>162010.81480423172</v>
      </c>
      <c r="AX38" s="8">
        <v>625000</v>
      </c>
      <c r="AY38" s="8">
        <v>632103.62521286332</v>
      </c>
      <c r="AZ38" s="8">
        <v>615629.27560999326</v>
      </c>
      <c r="BA38" s="8">
        <v>200000</v>
      </c>
      <c r="BB38" s="8">
        <v>199876.03667345777</v>
      </c>
      <c r="BC38" s="8">
        <v>195394.46137860024</v>
      </c>
      <c r="BD38" s="8">
        <v>33100</v>
      </c>
      <c r="BE38" s="8">
        <v>34044.925341630544</v>
      </c>
      <c r="BF38" s="8">
        <v>32680.460598541762</v>
      </c>
      <c r="BG38" s="8">
        <v>34600</v>
      </c>
      <c r="BH38" s="8">
        <v>36287.833316012766</v>
      </c>
      <c r="BI38" s="8">
        <v>34932.708180285161</v>
      </c>
      <c r="BJ38" s="8">
        <v>71300</v>
      </c>
      <c r="BK38" s="8">
        <v>72880.962154167311</v>
      </c>
      <c r="BL38" s="8">
        <v>70898.749187937312</v>
      </c>
      <c r="BM38" s="8">
        <v>1093000</v>
      </c>
      <c r="BN38" s="8">
        <v>1103100.3607159308</v>
      </c>
      <c r="BO38" s="8">
        <v>1071012.0611758579</v>
      </c>
      <c r="BP38" s="8">
        <v>43250</v>
      </c>
      <c r="BQ38" s="8">
        <v>45136.982644089047</v>
      </c>
      <c r="BR38" s="8">
        <v>43075.88910934153</v>
      </c>
      <c r="BS38" s="8">
        <v>121000</v>
      </c>
      <c r="BT38" s="8">
        <v>127203.49413997176</v>
      </c>
      <c r="BU38" s="8">
        <v>123156.19202566889</v>
      </c>
      <c r="BV38" s="8">
        <v>37600</v>
      </c>
      <c r="BW38" s="8">
        <v>40428.088225155727</v>
      </c>
      <c r="BX38" s="8">
        <v>38989.169499950687</v>
      </c>
      <c r="BY38" s="8">
        <v>28650</v>
      </c>
      <c r="BZ38" s="8">
        <v>29884.169448354442</v>
      </c>
      <c r="CA38" s="8">
        <v>28398.981966252337</v>
      </c>
      <c r="CB38" s="8">
        <v>88200</v>
      </c>
      <c r="CC38" s="8">
        <v>90203.485708225955</v>
      </c>
      <c r="CD38" s="8">
        <v>87593.765556858154</v>
      </c>
      <c r="CE38" s="8">
        <v>17850</v>
      </c>
      <c r="CF38" s="8">
        <v>18112.049455348762</v>
      </c>
      <c r="CG38" s="8">
        <v>17600.968647971189</v>
      </c>
      <c r="CH38" s="8">
        <v>63700</v>
      </c>
      <c r="CI38" s="8">
        <v>63702.222379918639</v>
      </c>
      <c r="CJ38" s="8">
        <v>61687.974293216292</v>
      </c>
      <c r="CK38" s="8">
        <v>322500</v>
      </c>
      <c r="CL38" s="8">
        <v>323998.70857648569</v>
      </c>
      <c r="CM38" s="8">
        <v>319343.74752329173</v>
      </c>
      <c r="CN38" s="8">
        <v>100500</v>
      </c>
      <c r="CO38" s="8">
        <v>106808.76550197061</v>
      </c>
      <c r="CP38" s="8">
        <v>103977.12684417023</v>
      </c>
      <c r="CQ38" s="8">
        <v>87000</v>
      </c>
      <c r="CR38" s="8">
        <v>88037.823778221325</v>
      </c>
      <c r="CS38" s="8">
        <v>86531.810427278499</v>
      </c>
      <c r="CT38" s="8">
        <v>22250</v>
      </c>
      <c r="CU38" s="8">
        <v>23030.334856779529</v>
      </c>
      <c r="CV38" s="8">
        <v>22054.339006676477</v>
      </c>
      <c r="CW38" s="8">
        <v>140500</v>
      </c>
      <c r="CX38" s="8">
        <v>143244.88104787716</v>
      </c>
      <c r="CY38" s="8">
        <v>140710.25732392402</v>
      </c>
      <c r="CZ38" s="8">
        <v>24300</v>
      </c>
      <c r="DA38" s="8">
        <v>24989.257346184382</v>
      </c>
      <c r="DB38" s="8">
        <v>24067.71267125853</v>
      </c>
      <c r="DC38" s="8">
        <v>22462</v>
      </c>
      <c r="DD38" s="8">
        <v>23141.558936612426</v>
      </c>
      <c r="DE38" s="8">
        <v>22546.645953208794</v>
      </c>
      <c r="DF38" s="8">
        <v>59700</v>
      </c>
      <c r="DG38" s="8">
        <v>60207.55057895487</v>
      </c>
      <c r="DH38" s="8">
        <v>58692.355452305419</v>
      </c>
      <c r="DI38" s="8">
        <v>158500</v>
      </c>
      <c r="DJ38" s="8">
        <v>159764.66312811355</v>
      </c>
      <c r="DK38" s="8">
        <v>155019.63288978225</v>
      </c>
      <c r="DL38" s="8">
        <v>27500</v>
      </c>
      <c r="DM38" s="8">
        <v>28483.814211489411</v>
      </c>
      <c r="DN38" s="8">
        <v>27571.790050022904</v>
      </c>
      <c r="DO38" s="8">
        <v>25950</v>
      </c>
      <c r="DP38" s="8">
        <v>26177.459965194103</v>
      </c>
      <c r="DQ38" s="8">
        <v>25267.783135288664</v>
      </c>
      <c r="DR38" s="8">
        <v>5140</v>
      </c>
      <c r="DS38" s="8">
        <v>5488.4270034509836</v>
      </c>
      <c r="DT38" s="8">
        <v>5315.3449238428775</v>
      </c>
      <c r="DU38" s="8">
        <v>183000</v>
      </c>
      <c r="DV38" s="8">
        <v>188415.84570961012</v>
      </c>
      <c r="DW38" s="8">
        <v>183103.94303543045</v>
      </c>
      <c r="DX38" s="8">
        <v>51000</v>
      </c>
      <c r="DY38" s="8">
        <v>55592.94704595847</v>
      </c>
      <c r="DZ38" s="8">
        <v>53396.004799771981</v>
      </c>
      <c r="EA38" s="8">
        <v>12450</v>
      </c>
      <c r="EB38" s="8">
        <v>12618.292098110687</v>
      </c>
      <c r="EC38" s="8">
        <v>12242.459761274538</v>
      </c>
      <c r="ED38" s="8">
        <v>1532000</v>
      </c>
      <c r="EE38" s="8">
        <v>1552013.4135814921</v>
      </c>
      <c r="EF38" s="8">
        <v>1516856.9571721377</v>
      </c>
      <c r="EG38" s="8">
        <v>115000</v>
      </c>
      <c r="EH38" s="8">
        <v>115875.89860728841</v>
      </c>
      <c r="EI38" s="8">
        <v>111792.99221835853</v>
      </c>
      <c r="EJ38" s="8">
        <v>298000</v>
      </c>
      <c r="EK38" s="8">
        <v>309928.06460810441</v>
      </c>
      <c r="EL38" s="8">
        <v>300607.19704280351</v>
      </c>
      <c r="EM38" s="8">
        <v>12000</v>
      </c>
      <c r="EN38" s="8">
        <v>11721.171803445091</v>
      </c>
      <c r="EO38" s="8">
        <v>11394.722082555982</v>
      </c>
      <c r="EP38" s="8">
        <v>60900</v>
      </c>
      <c r="EQ38" s="8">
        <v>63930.238334050991</v>
      </c>
      <c r="ER38" s="8">
        <v>61782.540272102917</v>
      </c>
      <c r="ES38" s="8">
        <v>12800</v>
      </c>
      <c r="ET38" s="8">
        <v>12699.991253463722</v>
      </c>
      <c r="EU38" s="8">
        <v>12187.052425762826</v>
      </c>
      <c r="EV38">
        <v>322000</v>
      </c>
      <c r="EW38">
        <v>333134.81182732858</v>
      </c>
      <c r="EX38">
        <v>318745.86140068568</v>
      </c>
      <c r="EY38">
        <v>31900</v>
      </c>
      <c r="EZ38">
        <v>32665.631131355538</v>
      </c>
      <c r="FA38">
        <v>31772.984153880068</v>
      </c>
      <c r="FB38">
        <v>2830</v>
      </c>
      <c r="FC38">
        <v>2838.2869935023068</v>
      </c>
      <c r="FD38">
        <v>2740.5378327177241</v>
      </c>
      <c r="FE38">
        <v>61500</v>
      </c>
      <c r="FF38">
        <v>61813.016129583943</v>
      </c>
      <c r="FG38">
        <v>60549.15694204421</v>
      </c>
      <c r="FH38">
        <v>50300</v>
      </c>
      <c r="FI38">
        <v>53884.177639625363</v>
      </c>
      <c r="FJ38">
        <v>51111.005735860977</v>
      </c>
      <c r="FK38">
        <v>81300</v>
      </c>
      <c r="FL38">
        <v>82111.0946147668</v>
      </c>
      <c r="FM38">
        <v>80041.006229766601</v>
      </c>
      <c r="FN38">
        <v>36650</v>
      </c>
      <c r="FO38">
        <v>37343.773105415545</v>
      </c>
      <c r="FP38">
        <v>36187.013422543809</v>
      </c>
      <c r="FQ38">
        <v>30550</v>
      </c>
      <c r="FR38">
        <v>31985.239135775435</v>
      </c>
      <c r="FS38">
        <v>30735.906211737543</v>
      </c>
      <c r="FT38">
        <v>961000</v>
      </c>
      <c r="FU38">
        <v>1004231.0940214304</v>
      </c>
      <c r="FV38">
        <v>974713.76029844768</v>
      </c>
      <c r="FW38">
        <v>18300</v>
      </c>
      <c r="FX38">
        <v>18461.751962129711</v>
      </c>
      <c r="FY38">
        <v>17785.103494738018</v>
      </c>
      <c r="FZ38">
        <v>29200</v>
      </c>
      <c r="GA38">
        <v>30297.661067753816</v>
      </c>
      <c r="GB38">
        <v>29142.253989858695</v>
      </c>
      <c r="GC38">
        <v>20000</v>
      </c>
      <c r="GD38">
        <v>20074.533815267638</v>
      </c>
      <c r="GE38">
        <v>19605.940241676872</v>
      </c>
      <c r="GF38">
        <v>168500</v>
      </c>
      <c r="GG38">
        <v>172798.7855819439</v>
      </c>
      <c r="GH38">
        <v>167077.35086064786</v>
      </c>
      <c r="GI38">
        <v>5820</v>
      </c>
      <c r="GJ38">
        <v>6120.9076993230337</v>
      </c>
      <c r="GK38">
        <v>5746.3652961710231</v>
      </c>
      <c r="GL38">
        <v>10300</v>
      </c>
      <c r="GM38">
        <v>10825.467065447468</v>
      </c>
      <c r="GN38">
        <v>10304.586807335738</v>
      </c>
      <c r="GO38">
        <v>725000</v>
      </c>
      <c r="GP38">
        <v>749507.82474684739</v>
      </c>
      <c r="GQ38">
        <v>722020.05679505866</v>
      </c>
      <c r="GR38">
        <v>59700</v>
      </c>
      <c r="GS38">
        <v>60227.750978177894</v>
      </c>
      <c r="GT38">
        <v>59383.900652826211</v>
      </c>
      <c r="GU38">
        <v>9200</v>
      </c>
      <c r="GV38">
        <v>9885.450921501324</v>
      </c>
      <c r="GW38">
        <v>9421.2863901905403</v>
      </c>
      <c r="GX38">
        <v>31850</v>
      </c>
      <c r="GY38">
        <v>33488.630541176106</v>
      </c>
      <c r="GZ38">
        <v>32125.832071241271</v>
      </c>
      <c r="HA38">
        <v>6250</v>
      </c>
      <c r="HB38">
        <v>6556.651670676627</v>
      </c>
      <c r="HC38">
        <v>6325.8365471566613</v>
      </c>
      <c r="HD38">
        <v>36850</v>
      </c>
      <c r="HE38">
        <v>38944.119078228563</v>
      </c>
      <c r="HF38">
        <v>37129.758278062262</v>
      </c>
      <c r="HG38">
        <v>10950</v>
      </c>
      <c r="HH38">
        <v>11071.879918830284</v>
      </c>
      <c r="HI38">
        <v>10692.411615538324</v>
      </c>
      <c r="HJ38">
        <v>5030</v>
      </c>
      <c r="HK38">
        <v>5137.2037531740325</v>
      </c>
      <c r="HL38">
        <v>4943.0318259827673</v>
      </c>
    </row>
    <row r="39" spans="1:220" x14ac:dyDescent="0.4">
      <c r="A39" s="11">
        <v>41425</v>
      </c>
      <c r="B39" s="10">
        <v>319700</v>
      </c>
      <c r="C39" s="10">
        <v>323705.44721082965</v>
      </c>
      <c r="D39" s="10">
        <v>314692.09760467906</v>
      </c>
      <c r="E39" s="10">
        <v>143500</v>
      </c>
      <c r="F39" s="10">
        <v>139827.1246421317</v>
      </c>
      <c r="G39" s="10">
        <v>136822.96290502982</v>
      </c>
      <c r="H39" s="10">
        <v>45750</v>
      </c>
      <c r="I39" s="10">
        <v>47390.565771341186</v>
      </c>
      <c r="J39" s="10">
        <v>45061.392907818896</v>
      </c>
      <c r="K39" s="10">
        <v>58200</v>
      </c>
      <c r="L39" s="10">
        <v>58134.760622997543</v>
      </c>
      <c r="M39" s="10">
        <v>55852.536395023802</v>
      </c>
      <c r="N39" s="10">
        <v>273500</v>
      </c>
      <c r="O39" s="10">
        <v>265963.84840929427</v>
      </c>
      <c r="P39" s="10">
        <v>259462.37403038557</v>
      </c>
      <c r="Q39" s="10">
        <v>83800</v>
      </c>
      <c r="R39" s="10">
        <v>86481.957770173525</v>
      </c>
      <c r="S39" s="10">
        <v>84189.047178920198</v>
      </c>
      <c r="T39" s="10">
        <v>17550</v>
      </c>
      <c r="U39" s="10">
        <v>18054.384072147743</v>
      </c>
      <c r="V39" s="10">
        <v>17376.819805399347</v>
      </c>
      <c r="W39" s="10">
        <v>15700</v>
      </c>
      <c r="X39" s="10">
        <v>16289.0436542852</v>
      </c>
      <c r="Y39" s="10">
        <v>15737.197970641413</v>
      </c>
      <c r="Z39" s="10">
        <v>20000</v>
      </c>
      <c r="AA39" s="10">
        <v>21269.167128472334</v>
      </c>
      <c r="AB39" s="10">
        <v>20400.101666666633</v>
      </c>
      <c r="AC39" s="10">
        <v>13050</v>
      </c>
      <c r="AD39" s="10">
        <v>13007.47740644099</v>
      </c>
      <c r="AE39" s="10">
        <v>12585.189112358643</v>
      </c>
      <c r="AF39" s="10">
        <v>40350</v>
      </c>
      <c r="AG39" s="10">
        <v>39326.313365736838</v>
      </c>
      <c r="AH39" s="10">
        <v>37549.682649393158</v>
      </c>
      <c r="AI39" s="10">
        <v>46300</v>
      </c>
      <c r="AJ39" s="10">
        <v>48915.69164195023</v>
      </c>
      <c r="AK39" s="10">
        <v>47762.988950234314</v>
      </c>
      <c r="AL39" s="10">
        <v>11700</v>
      </c>
      <c r="AM39" s="10">
        <v>11909.16479865938</v>
      </c>
      <c r="AN39" s="10">
        <v>11347.916409999238</v>
      </c>
      <c r="AO39" s="10">
        <v>18350</v>
      </c>
      <c r="AP39" s="10">
        <v>18732.392890465111</v>
      </c>
      <c r="AQ39" s="10">
        <v>18006.836830289958</v>
      </c>
      <c r="AR39" s="10">
        <v>27000</v>
      </c>
      <c r="AS39" s="10">
        <v>28071.007843652442</v>
      </c>
      <c r="AT39" s="10">
        <v>27135.017824945862</v>
      </c>
      <c r="AU39" s="10">
        <v>165500</v>
      </c>
      <c r="AV39" s="10">
        <v>164567.04861022037</v>
      </c>
      <c r="AW39" s="10">
        <v>159074.0628742456</v>
      </c>
      <c r="AX39" s="10">
        <v>624000</v>
      </c>
      <c r="AY39" s="10">
        <v>651350.37021133106</v>
      </c>
      <c r="AZ39" s="10">
        <v>634374.39778401458</v>
      </c>
      <c r="BA39" s="10">
        <v>198000</v>
      </c>
      <c r="BB39" s="10">
        <v>198866.56174076354</v>
      </c>
      <c r="BC39" s="10">
        <v>194407.62066456693</v>
      </c>
      <c r="BD39" s="10">
        <v>33250</v>
      </c>
      <c r="BE39" s="10">
        <v>35171.223623609287</v>
      </c>
      <c r="BF39" s="10">
        <v>33761.618693531098</v>
      </c>
      <c r="BG39" s="10">
        <v>35500</v>
      </c>
      <c r="BH39" s="10">
        <v>35214.531203849001</v>
      </c>
      <c r="BI39" s="10">
        <v>33899.487234107706</v>
      </c>
      <c r="BJ39" s="10">
        <v>72100</v>
      </c>
      <c r="BK39" s="10">
        <v>73790.710641528538</v>
      </c>
      <c r="BL39" s="10">
        <v>71783.754378910089</v>
      </c>
      <c r="BM39" s="10">
        <v>1088000</v>
      </c>
      <c r="BN39" s="10">
        <v>1089919.9336117883</v>
      </c>
      <c r="BO39" s="10">
        <v>1058215.0420625436</v>
      </c>
      <c r="BP39" s="10">
        <v>43950</v>
      </c>
      <c r="BQ39" s="10">
        <v>44366.726967568829</v>
      </c>
      <c r="BR39" s="10">
        <v>42340.805677441567</v>
      </c>
      <c r="BS39" s="10">
        <v>125500</v>
      </c>
      <c r="BT39" s="10">
        <v>123655.98633527156</v>
      </c>
      <c r="BU39" s="10">
        <v>119721.55718829983</v>
      </c>
      <c r="BV39" s="10">
        <v>39750</v>
      </c>
      <c r="BW39" s="10">
        <v>39411.029401881373</v>
      </c>
      <c r="BX39" s="10">
        <v>38008.309889889046</v>
      </c>
      <c r="BY39" s="10">
        <v>28950</v>
      </c>
      <c r="BZ39" s="10">
        <v>29109.968167309013</v>
      </c>
      <c r="CA39" s="10">
        <v>27663.257044846861</v>
      </c>
      <c r="CB39" s="10">
        <v>89000</v>
      </c>
      <c r="CC39" s="10">
        <v>94257.57495353953</v>
      </c>
      <c r="CD39" s="10">
        <v>91530.564008851827</v>
      </c>
      <c r="CE39" s="10">
        <v>17900</v>
      </c>
      <c r="CF39" s="10">
        <v>18466.195673749418</v>
      </c>
      <c r="CG39" s="10">
        <v>17945.121666227591</v>
      </c>
      <c r="CH39" s="10">
        <v>62500</v>
      </c>
      <c r="CI39" s="10">
        <v>64211.840158958075</v>
      </c>
      <c r="CJ39" s="10">
        <v>62181.478087562107</v>
      </c>
      <c r="CK39" s="10">
        <v>322000</v>
      </c>
      <c r="CL39" s="10">
        <v>326514.22650021588</v>
      </c>
      <c r="CM39" s="10">
        <v>321823.12444505619</v>
      </c>
      <c r="CN39" s="10">
        <v>105000</v>
      </c>
      <c r="CO39" s="10">
        <v>105791.53916385652</v>
      </c>
      <c r="CP39" s="10">
        <v>102986.86849327329</v>
      </c>
      <c r="CQ39" s="10">
        <v>87600</v>
      </c>
      <c r="CR39" s="10">
        <v>87334.32518638621</v>
      </c>
      <c r="CS39" s="10">
        <v>85840.346188704338</v>
      </c>
      <c r="CT39" s="10">
        <v>22600</v>
      </c>
      <c r="CU39" s="10">
        <v>23132.238993313931</v>
      </c>
      <c r="CV39" s="10">
        <v>22151.924577502457</v>
      </c>
      <c r="CW39" s="10">
        <v>142000</v>
      </c>
      <c r="CX39" s="10">
        <v>142740.49766390564</v>
      </c>
      <c r="CY39" s="10">
        <v>140214.79867137485</v>
      </c>
      <c r="CZ39" s="10">
        <v>24450</v>
      </c>
      <c r="DA39" s="10">
        <v>25449.182328015984</v>
      </c>
      <c r="DB39" s="10">
        <v>24510.676708152849</v>
      </c>
      <c r="DC39" s="10">
        <v>22778</v>
      </c>
      <c r="DD39" s="10">
        <v>23249.250799255362</v>
      </c>
      <c r="DE39" s="10">
        <v>22651.569320977695</v>
      </c>
      <c r="DF39" s="10">
        <v>59300</v>
      </c>
      <c r="DG39" s="10">
        <v>60106.020139529959</v>
      </c>
      <c r="DH39" s="10">
        <v>58593.380148001335</v>
      </c>
      <c r="DI39" s="10">
        <v>157000</v>
      </c>
      <c r="DJ39" s="10">
        <v>162308.68642633207</v>
      </c>
      <c r="DK39" s="10">
        <v>157488.09838165791</v>
      </c>
      <c r="DL39" s="10">
        <v>27950</v>
      </c>
      <c r="DM39" s="10">
        <v>28127.129597034284</v>
      </c>
      <c r="DN39" s="10">
        <v>27226.526131686318</v>
      </c>
      <c r="DO39" s="10">
        <v>25750</v>
      </c>
      <c r="DP39" s="10">
        <v>25567.499732995402</v>
      </c>
      <c r="DQ39" s="10">
        <v>24679.019256408148</v>
      </c>
      <c r="DR39" s="10">
        <v>5390</v>
      </c>
      <c r="DS39" s="10">
        <v>5345.8704579067989</v>
      </c>
      <c r="DT39" s="10">
        <v>5177.2840167300719</v>
      </c>
      <c r="DU39" s="10">
        <v>185500</v>
      </c>
      <c r="DV39" s="10">
        <v>190447.28339920161</v>
      </c>
      <c r="DW39" s="10">
        <v>185078.10953716017</v>
      </c>
      <c r="DX39" s="10">
        <v>54400</v>
      </c>
      <c r="DY39" s="10">
        <v>54877.596624411191</v>
      </c>
      <c r="DZ39" s="10">
        <v>52708.923855657253</v>
      </c>
      <c r="EA39" s="10">
        <v>12450</v>
      </c>
      <c r="EB39" s="10">
        <v>12770.319713750569</v>
      </c>
      <c r="EC39" s="10">
        <v>12389.95927647061</v>
      </c>
      <c r="ED39" s="10">
        <v>1538000</v>
      </c>
      <c r="EE39" s="10">
        <v>1558068.0822950753</v>
      </c>
      <c r="EF39" s="10">
        <v>1522774.4745603267</v>
      </c>
      <c r="EG39" s="10">
        <v>114000</v>
      </c>
      <c r="EH39" s="10">
        <v>119433.49198558222</v>
      </c>
      <c r="EI39" s="10">
        <v>115225.23320751853</v>
      </c>
      <c r="EJ39" s="10">
        <v>305000</v>
      </c>
      <c r="EK39" s="10">
        <v>311960.37978586229</v>
      </c>
      <c r="EL39" s="10">
        <v>302578.39177751029</v>
      </c>
      <c r="EM39" s="10">
        <v>11550</v>
      </c>
      <c r="EN39" s="10">
        <v>11974.876820835676</v>
      </c>
      <c r="EO39" s="10">
        <v>11641.361088671911</v>
      </c>
      <c r="EP39" s="10">
        <v>62600</v>
      </c>
      <c r="EQ39" s="10">
        <v>65666.363017244119</v>
      </c>
      <c r="ER39" s="10">
        <v>63460.340886521102</v>
      </c>
      <c r="ES39" s="10">
        <v>12450</v>
      </c>
      <c r="ET39" s="10">
        <v>12801.99921533893</v>
      </c>
      <c r="EU39" s="10">
        <v>12284.940397054092</v>
      </c>
      <c r="EV39">
        <v>327000</v>
      </c>
      <c r="EW39">
        <v>315815.87665587704</v>
      </c>
      <c r="EX39">
        <v>302174.97563979356</v>
      </c>
      <c r="EY39">
        <v>32200</v>
      </c>
      <c r="EZ39">
        <v>32310.569923406005</v>
      </c>
      <c r="FA39">
        <v>31427.625630468316</v>
      </c>
      <c r="FB39">
        <v>2790</v>
      </c>
      <c r="FC39">
        <v>2843.3735293329564</v>
      </c>
      <c r="FD39">
        <v>2745.4491908408745</v>
      </c>
      <c r="FE39">
        <v>61400</v>
      </c>
      <c r="FF39">
        <v>61510.998135465481</v>
      </c>
      <c r="FG39">
        <v>60253.314155682463</v>
      </c>
      <c r="FH39">
        <v>52400</v>
      </c>
      <c r="FI39">
        <v>54398.339640003476</v>
      </c>
      <c r="FJ39">
        <v>51598.706172271872</v>
      </c>
      <c r="FK39">
        <v>81200</v>
      </c>
      <c r="FL39">
        <v>81908.850539360938</v>
      </c>
      <c r="FM39">
        <v>79843.860894225276</v>
      </c>
      <c r="FN39">
        <v>36900</v>
      </c>
      <c r="FO39">
        <v>36584.753326850165</v>
      </c>
      <c r="FP39">
        <v>35451.505019646553</v>
      </c>
      <c r="FQ39">
        <v>31200</v>
      </c>
      <c r="FR39">
        <v>31523.913571317149</v>
      </c>
      <c r="FS39">
        <v>30292.599872145187</v>
      </c>
      <c r="FT39">
        <v>990000</v>
      </c>
      <c r="FU39">
        <v>1001187.969494093</v>
      </c>
      <c r="FV39">
        <v>971760.08223693748</v>
      </c>
      <c r="FW39">
        <v>18200</v>
      </c>
      <c r="FX39">
        <v>18867.5047525062</v>
      </c>
      <c r="FY39">
        <v>18175.984890226777</v>
      </c>
      <c r="FZ39">
        <v>29800</v>
      </c>
      <c r="GA39">
        <v>30501.001074919968</v>
      </c>
      <c r="GB39">
        <v>29337.839587106086</v>
      </c>
      <c r="GC39">
        <v>19900</v>
      </c>
      <c r="GD39">
        <v>19620.587070701295</v>
      </c>
      <c r="GE39">
        <v>19162.589834201775</v>
      </c>
      <c r="GF39">
        <v>170000</v>
      </c>
      <c r="GG39">
        <v>171274.09041504431</v>
      </c>
      <c r="GH39">
        <v>165603.1389412891</v>
      </c>
      <c r="GI39">
        <v>5890</v>
      </c>
      <c r="GJ39">
        <v>5985.8112645332239</v>
      </c>
      <c r="GK39">
        <v>5619.5355018582532</v>
      </c>
      <c r="GL39">
        <v>10550</v>
      </c>
      <c r="GM39">
        <v>10928.078127679211</v>
      </c>
      <c r="GN39">
        <v>10402.260615936088</v>
      </c>
      <c r="GO39">
        <v>738000</v>
      </c>
      <c r="GP39">
        <v>751539.01126377704</v>
      </c>
      <c r="GQ39">
        <v>723976.75071591302</v>
      </c>
      <c r="GR39">
        <v>59900</v>
      </c>
      <c r="GS39">
        <v>60227.750978177894</v>
      </c>
      <c r="GT39">
        <v>59383.900652826211</v>
      </c>
      <c r="GU39">
        <v>9640</v>
      </c>
      <c r="GV39">
        <v>9567.5577902082332</v>
      </c>
      <c r="GW39">
        <v>9118.3197116678166</v>
      </c>
      <c r="GX39">
        <v>32700</v>
      </c>
      <c r="GY39">
        <v>33488.630541176106</v>
      </c>
      <c r="GZ39">
        <v>32125.832071241271</v>
      </c>
      <c r="HA39">
        <v>6430</v>
      </c>
      <c r="HB39">
        <v>6872.7577387807769</v>
      </c>
      <c r="HC39">
        <v>6630.8146699589161</v>
      </c>
      <c r="HD39">
        <v>37900</v>
      </c>
      <c r="HE39">
        <v>38327.589488599631</v>
      </c>
      <c r="HF39">
        <v>36541.952078409573</v>
      </c>
      <c r="HG39">
        <v>10900</v>
      </c>
      <c r="HH39">
        <v>11173.456798819549</v>
      </c>
      <c r="HI39">
        <v>10790.507134946929</v>
      </c>
      <c r="HJ39">
        <v>5050</v>
      </c>
      <c r="HK39">
        <v>5147.3764338733854</v>
      </c>
      <c r="HL39">
        <v>4952.8200078163954</v>
      </c>
    </row>
    <row r="40" spans="1:220" x14ac:dyDescent="0.4">
      <c r="A40" s="73">
        <v>41424</v>
      </c>
      <c r="B40" s="8">
        <v>318000</v>
      </c>
      <c r="C40" s="8">
        <v>327777.21384241246</v>
      </c>
      <c r="D40" s="8">
        <v>318650.48876951786</v>
      </c>
      <c r="E40" s="8">
        <v>138000</v>
      </c>
      <c r="F40" s="8">
        <v>137800.64457485441</v>
      </c>
      <c r="G40" s="8">
        <v>134840.02141365258</v>
      </c>
      <c r="H40" s="8">
        <v>46600</v>
      </c>
      <c r="I40" s="8">
        <v>48305.834208985179</v>
      </c>
      <c r="J40" s="8">
        <v>45931.677320201721</v>
      </c>
      <c r="K40" s="8">
        <v>56900</v>
      </c>
      <c r="L40" s="8">
        <v>58952.121053549374</v>
      </c>
      <c r="M40" s="8">
        <v>56637.809314461767</v>
      </c>
      <c r="N40" s="8">
        <v>262500</v>
      </c>
      <c r="O40" s="8">
        <v>262417.66376383702</v>
      </c>
      <c r="P40" s="8">
        <v>256002.87570998041</v>
      </c>
      <c r="Q40" s="8">
        <v>85100</v>
      </c>
      <c r="R40" s="8">
        <v>84246.231482342933</v>
      </c>
      <c r="S40" s="8">
        <v>82012.597075587357</v>
      </c>
      <c r="T40" s="8">
        <v>17700</v>
      </c>
      <c r="U40" s="8">
        <v>18411.391666794745</v>
      </c>
      <c r="V40" s="8">
        <v>17720.42923657957</v>
      </c>
      <c r="W40" s="8">
        <v>16000</v>
      </c>
      <c r="X40" s="8">
        <v>16543.559961383406</v>
      </c>
      <c r="Y40" s="8">
        <v>15983.091688932685</v>
      </c>
      <c r="Z40" s="8">
        <v>20800</v>
      </c>
      <c r="AA40" s="8">
        <v>21473.678350861468</v>
      </c>
      <c r="AB40" s="8">
        <v>20596.25649038456</v>
      </c>
      <c r="AC40" s="8">
        <v>12850</v>
      </c>
      <c r="AD40" s="8">
        <v>13311.153921766459</v>
      </c>
      <c r="AE40" s="8">
        <v>12879.006757005147</v>
      </c>
      <c r="AF40" s="8">
        <v>38600</v>
      </c>
      <c r="AG40" s="8">
        <v>40090.42567206591</v>
      </c>
      <c r="AH40" s="8">
        <v>38279.274928850267</v>
      </c>
      <c r="AI40" s="8">
        <v>48250</v>
      </c>
      <c r="AJ40" s="8">
        <v>50182.937539410123</v>
      </c>
      <c r="AK40" s="8">
        <v>49000.372083660113</v>
      </c>
      <c r="AL40" s="8">
        <v>11550</v>
      </c>
      <c r="AM40" s="8">
        <v>12063.829276564054</v>
      </c>
      <c r="AN40" s="8">
        <v>11495.291947791442</v>
      </c>
      <c r="AO40" s="8">
        <v>18300</v>
      </c>
      <c r="AP40" s="8">
        <v>18834.755693145245</v>
      </c>
      <c r="AQ40" s="8">
        <v>18105.234845756018</v>
      </c>
      <c r="AR40" s="8">
        <v>27600</v>
      </c>
      <c r="AS40" s="8">
        <v>28833.806969838646</v>
      </c>
      <c r="AT40" s="8">
        <v>27872.382439754172</v>
      </c>
      <c r="AU40" s="8">
        <v>162500</v>
      </c>
      <c r="AV40" s="8">
        <v>166086.12905893003</v>
      </c>
      <c r="AW40" s="8">
        <v>160542.4388392386</v>
      </c>
      <c r="AX40" s="8">
        <v>643000</v>
      </c>
      <c r="AY40" s="8">
        <v>656415.30310566491</v>
      </c>
      <c r="AZ40" s="8">
        <v>639307.32467191515</v>
      </c>
      <c r="BA40" s="8">
        <v>197000</v>
      </c>
      <c r="BB40" s="8">
        <v>201390.24907249917</v>
      </c>
      <c r="BC40" s="8">
        <v>196874.72244965029</v>
      </c>
      <c r="BD40" s="8">
        <v>34350</v>
      </c>
      <c r="BE40" s="8">
        <v>34352.097600352034</v>
      </c>
      <c r="BF40" s="8">
        <v>32975.321897175229</v>
      </c>
      <c r="BG40" s="8">
        <v>34450</v>
      </c>
      <c r="BH40" s="8">
        <v>36185.614067235212</v>
      </c>
      <c r="BI40" s="8">
        <v>34834.306185411071</v>
      </c>
      <c r="BJ40" s="8">
        <v>73000</v>
      </c>
      <c r="BK40" s="8">
        <v>75408.04128572646</v>
      </c>
      <c r="BL40" s="8">
        <v>73357.096940639662</v>
      </c>
      <c r="BM40" s="8">
        <v>1075000</v>
      </c>
      <c r="BN40" s="8">
        <v>1116280.7878200745</v>
      </c>
      <c r="BO40" s="8">
        <v>1083809.0802891734</v>
      </c>
      <c r="BP40" s="8">
        <v>43200</v>
      </c>
      <c r="BQ40" s="8">
        <v>46215.340591217471</v>
      </c>
      <c r="BR40" s="8">
        <v>44105.00591400158</v>
      </c>
      <c r="BS40" s="8">
        <v>122000</v>
      </c>
      <c r="BT40" s="8">
        <v>126696.70731072885</v>
      </c>
      <c r="BU40" s="8">
        <v>122665.52990604471</v>
      </c>
      <c r="BV40" s="8">
        <v>38750</v>
      </c>
      <c r="BW40" s="8">
        <v>40072.117637009702</v>
      </c>
      <c r="BX40" s="8">
        <v>38645.868636429113</v>
      </c>
      <c r="BY40" s="8">
        <v>28200</v>
      </c>
      <c r="BZ40" s="8">
        <v>28955.127911099928</v>
      </c>
      <c r="CA40" s="8">
        <v>27516.112060565767</v>
      </c>
      <c r="CB40" s="8">
        <v>93000</v>
      </c>
      <c r="CC40" s="8">
        <v>94257.57495353953</v>
      </c>
      <c r="CD40" s="8">
        <v>91530.564008851827</v>
      </c>
      <c r="CE40" s="8">
        <v>18250</v>
      </c>
      <c r="CF40" s="8">
        <v>18921.526525978865</v>
      </c>
      <c r="CG40" s="8">
        <v>18387.604118271563</v>
      </c>
      <c r="CH40" s="8">
        <v>63000</v>
      </c>
      <c r="CI40" s="8">
        <v>64415.68727057377</v>
      </c>
      <c r="CJ40" s="8">
        <v>62378.879605300353</v>
      </c>
      <c r="CK40" s="8">
        <v>324500</v>
      </c>
      <c r="CL40" s="8">
        <v>326514.22650021588</v>
      </c>
      <c r="CM40" s="8">
        <v>321823.12444505619</v>
      </c>
      <c r="CN40" s="8">
        <v>104000</v>
      </c>
      <c r="CO40" s="8">
        <v>107825.99184008462</v>
      </c>
      <c r="CP40" s="8">
        <v>104967.38519506709</v>
      </c>
      <c r="CQ40" s="8">
        <v>86900</v>
      </c>
      <c r="CR40" s="8">
        <v>87937.323979387758</v>
      </c>
      <c r="CS40" s="8">
        <v>86433.029821767923</v>
      </c>
      <c r="CT40" s="8">
        <v>22700</v>
      </c>
      <c r="CU40" s="8">
        <v>23488.903471184403</v>
      </c>
      <c r="CV40" s="8">
        <v>22493.474075393457</v>
      </c>
      <c r="CW40" s="8">
        <v>141500</v>
      </c>
      <c r="CX40" s="8">
        <v>144253.64781581977</v>
      </c>
      <c r="CY40" s="8">
        <v>141701.1746290219</v>
      </c>
      <c r="CZ40" s="8">
        <v>24900</v>
      </c>
      <c r="DA40" s="8">
        <v>26266.826740161065</v>
      </c>
      <c r="DB40" s="8">
        <v>25298.168329298314</v>
      </c>
      <c r="DC40" s="8">
        <v>22884</v>
      </c>
      <c r="DD40" s="8">
        <v>23221.819853110446</v>
      </c>
      <c r="DE40" s="8">
        <v>22624.843557489374</v>
      </c>
      <c r="DF40" s="8">
        <v>59200</v>
      </c>
      <c r="DG40" s="8">
        <v>60207.55057895487</v>
      </c>
      <c r="DH40" s="8">
        <v>58692.355452305419</v>
      </c>
      <c r="DI40" s="8">
        <v>159500</v>
      </c>
      <c r="DJ40" s="8">
        <v>164852.70972455025</v>
      </c>
      <c r="DK40" s="8">
        <v>159956.56387353325</v>
      </c>
      <c r="DL40" s="8">
        <v>27600</v>
      </c>
      <c r="DM40" s="8">
        <v>28432.85926656727</v>
      </c>
      <c r="DN40" s="8">
        <v>27522.466633117696</v>
      </c>
      <c r="DO40" s="8">
        <v>25150</v>
      </c>
      <c r="DP40" s="8">
        <v>25516.669713645522</v>
      </c>
      <c r="DQ40" s="8">
        <v>24629.955599834786</v>
      </c>
      <c r="DR40" s="8">
        <v>5250</v>
      </c>
      <c r="DS40" s="8">
        <v>5142.218249986543</v>
      </c>
      <c r="DT40" s="8">
        <v>4980.0541494260715</v>
      </c>
      <c r="DU40" s="8">
        <v>187500</v>
      </c>
      <c r="DV40" s="8">
        <v>192478.72108879313</v>
      </c>
      <c r="DW40" s="8">
        <v>187052.27603888989</v>
      </c>
      <c r="DX40" s="8">
        <v>53700</v>
      </c>
      <c r="DY40" s="8">
        <v>55899.525798050119</v>
      </c>
      <c r="DZ40" s="8">
        <v>53690.468061535394</v>
      </c>
      <c r="EA40" s="8">
        <v>12600</v>
      </c>
      <c r="EB40" s="8">
        <v>12618.292098110687</v>
      </c>
      <c r="EC40" s="8">
        <v>12242.459761274538</v>
      </c>
      <c r="ED40" s="8">
        <v>1544000</v>
      </c>
      <c r="EE40" s="8">
        <v>1525776.5158226388</v>
      </c>
      <c r="EF40" s="8">
        <v>1491214.3818233253</v>
      </c>
      <c r="EG40" s="8">
        <v>117500</v>
      </c>
      <c r="EH40" s="8">
        <v>120449.94723652338</v>
      </c>
      <c r="EI40" s="8">
        <v>116205.87349013575</v>
      </c>
      <c r="EJ40" s="8">
        <v>307000</v>
      </c>
      <c r="EK40" s="8">
        <v>323138.11326353176</v>
      </c>
      <c r="EL40" s="8">
        <v>313419.96281839837</v>
      </c>
      <c r="EM40" s="8">
        <v>11800</v>
      </c>
      <c r="EN40" s="8">
        <v>12228.581838226264</v>
      </c>
      <c r="EO40" s="8">
        <v>11888.000094787843</v>
      </c>
      <c r="EP40" s="8">
        <v>64300</v>
      </c>
      <c r="EQ40" s="8">
        <v>65870.612979972735</v>
      </c>
      <c r="ER40" s="8">
        <v>63657.729194099724</v>
      </c>
      <c r="ES40" s="8">
        <v>12550</v>
      </c>
      <c r="ET40" s="8">
        <v>13465.050967527803</v>
      </c>
      <c r="EU40" s="8">
        <v>12921.212210447335</v>
      </c>
      <c r="EV40">
        <v>310000</v>
      </c>
      <c r="EW40">
        <v>318362.77888697287</v>
      </c>
      <c r="EX40">
        <v>304611.87060463062</v>
      </c>
      <c r="EY40">
        <v>31850</v>
      </c>
      <c r="EZ40">
        <v>32462.739012527225</v>
      </c>
      <c r="FA40">
        <v>31575.636426216206</v>
      </c>
      <c r="FB40">
        <v>2795</v>
      </c>
      <c r="FC40">
        <v>2848.4600651636051</v>
      </c>
      <c r="FD40">
        <v>2750.360548964024</v>
      </c>
      <c r="FE40">
        <v>61100</v>
      </c>
      <c r="FF40">
        <v>61208.98014134699</v>
      </c>
      <c r="FG40">
        <v>59957.47136932068</v>
      </c>
      <c r="FH40">
        <v>52900</v>
      </c>
      <c r="FI40">
        <v>55632.328440910853</v>
      </c>
      <c r="FJ40">
        <v>52769.187219657935</v>
      </c>
      <c r="FK40">
        <v>81000</v>
      </c>
      <c r="FL40">
        <v>83223.437029498935</v>
      </c>
      <c r="FM40">
        <v>81125.305575243794</v>
      </c>
      <c r="FN40">
        <v>36150</v>
      </c>
      <c r="FO40">
        <v>37546.178379699602</v>
      </c>
      <c r="FP40">
        <v>36383.148996649703</v>
      </c>
      <c r="FQ40">
        <v>30750</v>
      </c>
      <c r="FR40">
        <v>32344.047908131928</v>
      </c>
      <c r="FS40">
        <v>31080.700031420532</v>
      </c>
      <c r="FT40">
        <v>987000</v>
      </c>
      <c r="FU40">
        <v>956555.47642647452</v>
      </c>
      <c r="FV40">
        <v>928439.47066811821</v>
      </c>
      <c r="FW40">
        <v>18600</v>
      </c>
      <c r="FX40">
        <v>19476.133938070907</v>
      </c>
      <c r="FY40">
        <v>18762.30698345989</v>
      </c>
      <c r="FZ40">
        <v>30000</v>
      </c>
      <c r="GA40">
        <v>31009.351092835313</v>
      </c>
      <c r="GB40">
        <v>29826.803580224532</v>
      </c>
      <c r="GC40">
        <v>19450</v>
      </c>
      <c r="GD40">
        <v>20326.726451137845</v>
      </c>
      <c r="GE40">
        <v>19852.246023607495</v>
      </c>
      <c r="GF40">
        <v>168500</v>
      </c>
      <c r="GG40">
        <v>175339.94419344308</v>
      </c>
      <c r="GH40">
        <v>169534.37072624563</v>
      </c>
      <c r="GI40">
        <v>5760</v>
      </c>
      <c r="GJ40">
        <v>6100.1236324322908</v>
      </c>
      <c r="GK40">
        <v>5726.8530201229023</v>
      </c>
      <c r="GL40">
        <v>10650</v>
      </c>
      <c r="GM40">
        <v>11287.216845490255</v>
      </c>
      <c r="GN40">
        <v>10744.118946037266</v>
      </c>
      <c r="GO40">
        <v>740000</v>
      </c>
      <c r="GP40">
        <v>751539.01126377704</v>
      </c>
      <c r="GQ40">
        <v>723976.75071591302</v>
      </c>
      <c r="GR40">
        <v>59900</v>
      </c>
      <c r="GS40">
        <v>60629.939632456233</v>
      </c>
      <c r="GT40">
        <v>59780.454246501198</v>
      </c>
      <c r="GU40">
        <v>9330</v>
      </c>
      <c r="GV40">
        <v>10121.307115686524</v>
      </c>
      <c r="GW40">
        <v>9646.0681194170811</v>
      </c>
      <c r="GX40">
        <v>32700</v>
      </c>
      <c r="GY40">
        <v>34819.982825687737</v>
      </c>
      <c r="GZ40">
        <v>33403.005823309009</v>
      </c>
      <c r="HA40">
        <v>6740</v>
      </c>
      <c r="HB40">
        <v>6954.3334982915358</v>
      </c>
      <c r="HC40">
        <v>6709.5187016498312</v>
      </c>
      <c r="HD40">
        <v>37300</v>
      </c>
      <c r="HE40">
        <v>40382.688120696112</v>
      </c>
      <c r="HF40">
        <v>38501.306077251895</v>
      </c>
      <c r="HG40">
        <v>11000</v>
      </c>
      <c r="HH40">
        <v>11630.552758771257</v>
      </c>
      <c r="HI40">
        <v>11231.936972285666</v>
      </c>
      <c r="HJ40">
        <v>5060</v>
      </c>
      <c r="HK40">
        <v>5076.1676689779079</v>
      </c>
      <c r="HL40">
        <v>4884.3027349809954</v>
      </c>
    </row>
    <row r="41" spans="1:220" x14ac:dyDescent="0.4">
      <c r="A41" s="11">
        <v>41423</v>
      </c>
      <c r="B41" s="8">
        <v>322000</v>
      </c>
      <c r="C41" s="8">
        <v>330831.0388160994</v>
      </c>
      <c r="D41" s="8">
        <v>321619.28214314679</v>
      </c>
      <c r="E41" s="8">
        <v>136000</v>
      </c>
      <c r="F41" s="8">
        <v>131721.20437302277</v>
      </c>
      <c r="G41" s="8">
        <v>128891.196939521</v>
      </c>
      <c r="H41" s="8">
        <v>47500</v>
      </c>
      <c r="I41" s="8">
        <v>48305.834208985179</v>
      </c>
      <c r="J41" s="8">
        <v>45931.677320201721</v>
      </c>
      <c r="K41" s="8">
        <v>57700</v>
      </c>
      <c r="L41" s="8">
        <v>59973.821591739194</v>
      </c>
      <c r="M41" s="8">
        <v>57619.400463759252</v>
      </c>
      <c r="N41" s="8">
        <v>259000</v>
      </c>
      <c r="O41" s="8">
        <v>262417.66376383702</v>
      </c>
      <c r="P41" s="8">
        <v>256002.87570998041</v>
      </c>
      <c r="Q41" s="8">
        <v>82900</v>
      </c>
      <c r="R41" s="8">
        <v>84652.727171039427</v>
      </c>
      <c r="S41" s="8">
        <v>82408.315276193345</v>
      </c>
      <c r="T41" s="8">
        <v>18050</v>
      </c>
      <c r="U41" s="8">
        <v>19380.412280836568</v>
      </c>
      <c r="V41" s="8">
        <v>18653.083406925856</v>
      </c>
      <c r="W41" s="8">
        <v>16250</v>
      </c>
      <c r="X41" s="8">
        <v>16339.946915704842</v>
      </c>
      <c r="Y41" s="8">
        <v>15786.376714299669</v>
      </c>
      <c r="Z41" s="8">
        <v>21000</v>
      </c>
      <c r="AA41" s="8">
        <v>21678.189573250627</v>
      </c>
      <c r="AB41" s="8">
        <v>20792.411314102508</v>
      </c>
      <c r="AC41" s="8">
        <v>13150</v>
      </c>
      <c r="AD41" s="8">
        <v>13108.702911549482</v>
      </c>
      <c r="AE41" s="8">
        <v>12683.128327240815</v>
      </c>
      <c r="AF41" s="8">
        <v>39350</v>
      </c>
      <c r="AG41" s="8">
        <v>39886.662390378115</v>
      </c>
      <c r="AH41" s="8">
        <v>38084.716987661661</v>
      </c>
      <c r="AI41" s="8">
        <v>49500</v>
      </c>
      <c r="AJ41" s="8">
        <v>49777.418852222909</v>
      </c>
      <c r="AK41" s="8">
        <v>48604.409480963812</v>
      </c>
      <c r="AL41" s="8">
        <v>11700</v>
      </c>
      <c r="AM41" s="8">
        <v>12527.82271027804</v>
      </c>
      <c r="AN41" s="8">
        <v>11937.41856116802</v>
      </c>
      <c r="AO41" s="8">
        <v>18400</v>
      </c>
      <c r="AP41" s="8">
        <v>18988.299897165427</v>
      </c>
      <c r="AQ41" s="8">
        <v>18252.831868955094</v>
      </c>
      <c r="AR41" s="8">
        <v>28350</v>
      </c>
      <c r="AS41" s="8">
        <v>28071.007843652442</v>
      </c>
      <c r="AT41" s="8">
        <v>27135.017824945862</v>
      </c>
      <c r="AU41" s="8">
        <v>164000</v>
      </c>
      <c r="AV41" s="8">
        <v>166086.12905893003</v>
      </c>
      <c r="AW41" s="8">
        <v>160542.4388392386</v>
      </c>
      <c r="AX41" s="8">
        <v>648000</v>
      </c>
      <c r="AY41" s="8">
        <v>655402.31652679795</v>
      </c>
      <c r="AZ41" s="8">
        <v>638320.7392943349</v>
      </c>
      <c r="BA41" s="8">
        <v>199500</v>
      </c>
      <c r="BB41" s="8">
        <v>202399.72400519319</v>
      </c>
      <c r="BC41" s="8">
        <v>197861.56316368343</v>
      </c>
      <c r="BD41" s="8">
        <v>33550</v>
      </c>
      <c r="BE41" s="8">
        <v>34556.87910616638</v>
      </c>
      <c r="BF41" s="8">
        <v>33171.89609626423</v>
      </c>
      <c r="BG41" s="8">
        <v>35400</v>
      </c>
      <c r="BH41" s="8">
        <v>36543.381437956465</v>
      </c>
      <c r="BI41" s="8">
        <v>35178.713167470225</v>
      </c>
      <c r="BJ41" s="8">
        <v>74600</v>
      </c>
      <c r="BK41" s="8">
        <v>74700.459128889896</v>
      </c>
      <c r="BL41" s="8">
        <v>72668.759569882997</v>
      </c>
      <c r="BM41" s="8">
        <v>1101000</v>
      </c>
      <c r="BN41" s="8">
        <v>1126419.5779001827</v>
      </c>
      <c r="BO41" s="8">
        <v>1093652.9411455679</v>
      </c>
      <c r="BP41" s="8">
        <v>45000</v>
      </c>
      <c r="BQ41" s="8">
        <v>46626.143618694972</v>
      </c>
      <c r="BR41" s="8">
        <v>44497.050411014941</v>
      </c>
      <c r="BS41" s="8">
        <v>125000</v>
      </c>
      <c r="BT41" s="8">
        <v>126189.92048148595</v>
      </c>
      <c r="BU41" s="8">
        <v>122174.86778642055</v>
      </c>
      <c r="BV41" s="8">
        <v>39400</v>
      </c>
      <c r="BW41" s="8">
        <v>39868.705872354818</v>
      </c>
      <c r="BX41" s="8">
        <v>38449.696714416765</v>
      </c>
      <c r="BY41" s="8">
        <v>28050</v>
      </c>
      <c r="BZ41" s="8">
        <v>28903.514492363542</v>
      </c>
      <c r="CA41" s="8">
        <v>27467.063732472045</v>
      </c>
      <c r="CB41" s="8">
        <v>93000</v>
      </c>
      <c r="CC41" s="8">
        <v>90203.485708225955</v>
      </c>
      <c r="CD41" s="8">
        <v>87593.765556858154</v>
      </c>
      <c r="CE41" s="8">
        <v>18700</v>
      </c>
      <c r="CF41" s="8">
        <v>18668.564941406963</v>
      </c>
      <c r="CG41" s="8">
        <v>18141.780533802703</v>
      </c>
      <c r="CH41" s="8">
        <v>63200</v>
      </c>
      <c r="CI41" s="8">
        <v>66046.46416349971</v>
      </c>
      <c r="CJ41" s="8">
        <v>63958.091747206716</v>
      </c>
      <c r="CK41" s="8">
        <v>324500</v>
      </c>
      <c r="CL41" s="8">
        <v>326011.12291546987</v>
      </c>
      <c r="CM41" s="8">
        <v>321327.24906070333</v>
      </c>
      <c r="CN41" s="8">
        <v>106000</v>
      </c>
      <c r="CO41" s="8">
        <v>109351.8313472556</v>
      </c>
      <c r="CP41" s="8">
        <v>106452.77272141236</v>
      </c>
      <c r="CQ41" s="8">
        <v>87500</v>
      </c>
      <c r="CR41" s="8">
        <v>87836.824180554191</v>
      </c>
      <c r="CS41" s="8">
        <v>86334.249216257347</v>
      </c>
      <c r="CT41" s="8">
        <v>23050</v>
      </c>
      <c r="CU41" s="8">
        <v>23590.807607718845</v>
      </c>
      <c r="CV41" s="8">
        <v>22591.059646219477</v>
      </c>
      <c r="CW41" s="8">
        <v>143000</v>
      </c>
      <c r="CX41" s="8">
        <v>142236.11427993426</v>
      </c>
      <c r="CY41" s="8">
        <v>139719.34001882584</v>
      </c>
      <c r="CZ41" s="8">
        <v>25700</v>
      </c>
      <c r="DA41" s="8">
        <v>26011.312861365732</v>
      </c>
      <c r="DB41" s="8">
        <v>25052.07719769036</v>
      </c>
      <c r="DC41" s="8">
        <v>22857</v>
      </c>
      <c r="DD41" s="8">
        <v>22098.167022137895</v>
      </c>
      <c r="DE41" s="8">
        <v>21530.077097561003</v>
      </c>
      <c r="DF41" s="8">
        <v>59300</v>
      </c>
      <c r="DG41" s="8">
        <v>58583.063548156701</v>
      </c>
      <c r="DH41" s="8">
        <v>57108.750583440466</v>
      </c>
      <c r="DI41" s="8">
        <v>162000</v>
      </c>
      <c r="DJ41" s="8">
        <v>171467.17029991807</v>
      </c>
      <c r="DK41" s="8">
        <v>166374.57415240962</v>
      </c>
      <c r="DL41" s="8">
        <v>27900</v>
      </c>
      <c r="DM41" s="8">
        <v>27770.44498257912</v>
      </c>
      <c r="DN41" s="8">
        <v>26881.262213349699</v>
      </c>
      <c r="DO41" s="8">
        <v>25100</v>
      </c>
      <c r="DP41" s="8">
        <v>25516.669713645522</v>
      </c>
      <c r="DQ41" s="8">
        <v>24629.955599834786</v>
      </c>
      <c r="DR41" s="8">
        <v>5050</v>
      </c>
      <c r="DS41" s="8">
        <v>5030.2095356304053</v>
      </c>
      <c r="DT41" s="8">
        <v>4871.5777224088743</v>
      </c>
      <c r="DU41" s="8">
        <v>189500</v>
      </c>
      <c r="DV41" s="8">
        <v>189939.42397680384</v>
      </c>
      <c r="DW41" s="8">
        <v>184584.56791172782</v>
      </c>
      <c r="DX41" s="8">
        <v>54700</v>
      </c>
      <c r="DY41" s="8">
        <v>57023.647889052998</v>
      </c>
      <c r="DZ41" s="8">
        <v>54770.166688001416</v>
      </c>
      <c r="EA41" s="8">
        <v>12450</v>
      </c>
      <c r="EB41" s="8">
        <v>12618.292098110687</v>
      </c>
      <c r="EC41" s="8">
        <v>12242.459761274538</v>
      </c>
      <c r="ED41" s="8">
        <v>1512000</v>
      </c>
      <c r="EE41" s="8">
        <v>1497521.3951592571</v>
      </c>
      <c r="EF41" s="8">
        <v>1463599.3006784495</v>
      </c>
      <c r="EG41" s="8">
        <v>118500</v>
      </c>
      <c r="EH41" s="8">
        <v>119433.49198558222</v>
      </c>
      <c r="EI41" s="8">
        <v>115225.23320751853</v>
      </c>
      <c r="EJ41" s="8">
        <v>318000</v>
      </c>
      <c r="EK41" s="8">
        <v>320089.6404968946</v>
      </c>
      <c r="EL41" s="8">
        <v>310463.17071633798</v>
      </c>
      <c r="EM41" s="8">
        <v>12050</v>
      </c>
      <c r="EN41" s="8">
        <v>12228.581838226264</v>
      </c>
      <c r="EO41" s="8">
        <v>11888.000094787843</v>
      </c>
      <c r="EP41" s="8">
        <v>64500</v>
      </c>
      <c r="EQ41" s="8">
        <v>65564.23803587984</v>
      </c>
      <c r="ER41" s="8">
        <v>63361.646732731817</v>
      </c>
      <c r="ES41" s="8">
        <v>13200</v>
      </c>
      <c r="ET41" s="8">
        <v>13669.066891278211</v>
      </c>
      <c r="EU41" s="8">
        <v>13116.988153029859</v>
      </c>
      <c r="EV41">
        <v>312500</v>
      </c>
      <c r="EW41">
        <v>321928.44201050716</v>
      </c>
      <c r="EX41">
        <v>308023.5235554027</v>
      </c>
      <c r="EY41">
        <v>32000</v>
      </c>
      <c r="EZ41">
        <v>31854.062656042341</v>
      </c>
      <c r="FA41">
        <v>30983.593243224648</v>
      </c>
      <c r="FB41">
        <v>2800</v>
      </c>
      <c r="FC41">
        <v>2731.4697410586728</v>
      </c>
      <c r="FD41">
        <v>2637.3993121315743</v>
      </c>
      <c r="FE41">
        <v>60800</v>
      </c>
      <c r="FF41">
        <v>59799.562835460711</v>
      </c>
      <c r="FG41">
        <v>58576.871699632378</v>
      </c>
      <c r="FH41">
        <v>54100</v>
      </c>
      <c r="FI41">
        <v>55837.993241062104</v>
      </c>
      <c r="FJ41">
        <v>52964.267394222297</v>
      </c>
      <c r="FK41">
        <v>82300</v>
      </c>
      <c r="FL41">
        <v>82818.948878687297</v>
      </c>
      <c r="FM41">
        <v>80731.014904161231</v>
      </c>
      <c r="FN41">
        <v>37100</v>
      </c>
      <c r="FO41">
        <v>37040.165193989364</v>
      </c>
      <c r="FP41">
        <v>35892.810061384873</v>
      </c>
      <c r="FQ41">
        <v>31550</v>
      </c>
      <c r="FR41">
        <v>31780.205551571777</v>
      </c>
      <c r="FS41">
        <v>30538.881171918743</v>
      </c>
      <c r="FT41">
        <v>943000</v>
      </c>
      <c r="FU41">
        <v>950469.22737179801</v>
      </c>
      <c r="FV41">
        <v>922532.11454509629</v>
      </c>
      <c r="FW41">
        <v>19200</v>
      </c>
      <c r="FX41">
        <v>19628.291234462085</v>
      </c>
      <c r="FY41">
        <v>18908.887506768173</v>
      </c>
      <c r="FZ41">
        <v>30500</v>
      </c>
      <c r="GA41">
        <v>30602.67107850303</v>
      </c>
      <c r="GB41">
        <v>29435.632385729765</v>
      </c>
      <c r="GC41">
        <v>20150</v>
      </c>
      <c r="GD41">
        <v>20175.410869615695</v>
      </c>
      <c r="GE41">
        <v>19704.462554449095</v>
      </c>
      <c r="GF41">
        <v>172500</v>
      </c>
      <c r="GG41">
        <v>175848.17591574279</v>
      </c>
      <c r="GH41">
        <v>170025.77469936502</v>
      </c>
      <c r="GI41">
        <v>5870</v>
      </c>
      <c r="GJ41">
        <v>6287.1802344489597</v>
      </c>
      <c r="GK41">
        <v>5902.463504555978</v>
      </c>
      <c r="GL41">
        <v>11000</v>
      </c>
      <c r="GM41">
        <v>11389.827907721978</v>
      </c>
      <c r="GN41">
        <v>10841.792754637598</v>
      </c>
      <c r="GO41">
        <v>740000</v>
      </c>
      <c r="GP41">
        <v>734273.92586987978</v>
      </c>
      <c r="GQ41">
        <v>707344.85238865577</v>
      </c>
      <c r="GR41">
        <v>60300</v>
      </c>
      <c r="GS41">
        <v>60529.392468886675</v>
      </c>
      <c r="GT41">
        <v>59681.315848082479</v>
      </c>
      <c r="GU41">
        <v>9870</v>
      </c>
      <c r="GV41">
        <v>10090.543264271069</v>
      </c>
      <c r="GW41">
        <v>9616.7487634310146</v>
      </c>
      <c r="GX41">
        <v>34000</v>
      </c>
      <c r="GY41">
        <v>35024.806254074079</v>
      </c>
      <c r="GZ41">
        <v>33599.494092857829</v>
      </c>
      <c r="HA41">
        <v>6820</v>
      </c>
      <c r="HB41">
        <v>6933.9395584138438</v>
      </c>
      <c r="HC41">
        <v>6689.8426937270997</v>
      </c>
      <c r="HD41">
        <v>39300</v>
      </c>
      <c r="HE41">
        <v>39612.026133659914</v>
      </c>
      <c r="HF41">
        <v>37766.548327686003</v>
      </c>
      <c r="HG41">
        <v>11450</v>
      </c>
      <c r="HH41">
        <v>11681.341198765889</v>
      </c>
      <c r="HI41">
        <v>11280.984731989969</v>
      </c>
      <c r="HJ41">
        <v>4990</v>
      </c>
      <c r="HK41">
        <v>4898.1457567392044</v>
      </c>
      <c r="HL41">
        <v>4713.009552892483</v>
      </c>
    </row>
    <row r="42" spans="1:220" x14ac:dyDescent="0.4">
      <c r="A42" s="11">
        <v>41422</v>
      </c>
      <c r="B42" s="8">
        <v>325000</v>
      </c>
      <c r="C42" s="8">
        <v>314340.38395818957</v>
      </c>
      <c r="D42" s="8">
        <v>305587.79792555032</v>
      </c>
      <c r="E42" s="8">
        <v>130000</v>
      </c>
      <c r="F42" s="8">
        <v>131214.5843562033</v>
      </c>
      <c r="G42" s="8">
        <v>128395.46156667655</v>
      </c>
      <c r="H42" s="8">
        <v>47500</v>
      </c>
      <c r="I42" s="8">
        <v>48865.164920878684</v>
      </c>
      <c r="J42" s="8">
        <v>46463.517794435626</v>
      </c>
      <c r="K42" s="8">
        <v>58700</v>
      </c>
      <c r="L42" s="8">
        <v>56500.039761893931</v>
      </c>
      <c r="M42" s="8">
        <v>54281.990556147925</v>
      </c>
      <c r="N42" s="8">
        <v>259000</v>
      </c>
      <c r="O42" s="8">
        <v>259378.07692487389</v>
      </c>
      <c r="P42" s="8">
        <v>253037.59143534771</v>
      </c>
      <c r="Q42" s="8">
        <v>83300</v>
      </c>
      <c r="R42" s="8">
        <v>84347.855404517089</v>
      </c>
      <c r="S42" s="8">
        <v>82111.526625738872</v>
      </c>
      <c r="T42" s="8">
        <v>19000</v>
      </c>
      <c r="U42" s="8">
        <v>19125.40685608871</v>
      </c>
      <c r="V42" s="8">
        <v>18407.648098939986</v>
      </c>
      <c r="W42" s="8">
        <v>16050</v>
      </c>
      <c r="X42" s="8">
        <v>16085.430608606626</v>
      </c>
      <c r="Y42" s="8">
        <v>15540.482996008388</v>
      </c>
      <c r="Z42" s="8">
        <v>21200</v>
      </c>
      <c r="AA42" s="8">
        <v>21269.167128472334</v>
      </c>
      <c r="AB42" s="8">
        <v>20400.101666666633</v>
      </c>
      <c r="AC42" s="8">
        <v>12950</v>
      </c>
      <c r="AD42" s="8">
        <v>13058.09015899523</v>
      </c>
      <c r="AE42" s="8">
        <v>12634.158719799723</v>
      </c>
      <c r="AF42" s="8">
        <v>39150</v>
      </c>
      <c r="AG42" s="8">
        <v>40345.129774175577</v>
      </c>
      <c r="AH42" s="8">
        <v>38522.472355335951</v>
      </c>
      <c r="AI42" s="8">
        <v>49100</v>
      </c>
      <c r="AJ42" s="8">
        <v>49219.830657340644</v>
      </c>
      <c r="AK42" s="8">
        <v>48059.960902256542</v>
      </c>
      <c r="AL42" s="8">
        <v>12150</v>
      </c>
      <c r="AM42" s="8">
        <v>12321.603406405167</v>
      </c>
      <c r="AN42" s="8">
        <v>11740.917844111773</v>
      </c>
      <c r="AO42" s="8">
        <v>18550</v>
      </c>
      <c r="AP42" s="8">
        <v>19193.025502525699</v>
      </c>
      <c r="AQ42" s="8">
        <v>18449.627899887222</v>
      </c>
      <c r="AR42" s="8">
        <v>27600</v>
      </c>
      <c r="AS42" s="8">
        <v>27359.061992545299</v>
      </c>
      <c r="AT42" s="8">
        <v>26446.810851124759</v>
      </c>
      <c r="AU42" s="8">
        <v>164000</v>
      </c>
      <c r="AV42" s="8">
        <v>164060.68846065042</v>
      </c>
      <c r="AW42" s="8">
        <v>158584.60421924791</v>
      </c>
      <c r="AX42" s="8">
        <v>647000</v>
      </c>
      <c r="AY42" s="8">
        <v>651350.37021133106</v>
      </c>
      <c r="AZ42" s="8">
        <v>634374.39778401458</v>
      </c>
      <c r="BA42" s="8">
        <v>200500</v>
      </c>
      <c r="BB42" s="8">
        <v>202904.4614715403</v>
      </c>
      <c r="BC42" s="8">
        <v>198354.9835207001</v>
      </c>
      <c r="BD42" s="8">
        <v>33750</v>
      </c>
      <c r="BE42" s="8">
        <v>34659.269859073502</v>
      </c>
      <c r="BF42" s="8">
        <v>33270.183195808677</v>
      </c>
      <c r="BG42" s="8">
        <v>35750</v>
      </c>
      <c r="BH42" s="8">
        <v>36645.600686733997</v>
      </c>
      <c r="BI42" s="8">
        <v>35277.115162344293</v>
      </c>
      <c r="BJ42" s="8">
        <v>73900</v>
      </c>
      <c r="BK42" s="8">
        <v>74902.625459414558</v>
      </c>
      <c r="BL42" s="8">
        <v>72865.427390099125</v>
      </c>
      <c r="BM42" s="8">
        <v>1111000</v>
      </c>
      <c r="BN42" s="8">
        <v>1120336.3038521172</v>
      </c>
      <c r="BO42" s="8">
        <v>1087746.6246317308</v>
      </c>
      <c r="BP42" s="8">
        <v>45400</v>
      </c>
      <c r="BQ42" s="8">
        <v>46728.844375564324</v>
      </c>
      <c r="BR42" s="8">
        <v>44595.061535268251</v>
      </c>
      <c r="BS42" s="8">
        <v>124500</v>
      </c>
      <c r="BT42" s="8">
        <v>122642.41267678562</v>
      </c>
      <c r="BU42" s="8">
        <v>118740.23294905137</v>
      </c>
      <c r="BV42" s="8">
        <v>39200</v>
      </c>
      <c r="BW42" s="8">
        <v>38139.705872788414</v>
      </c>
      <c r="BX42" s="8">
        <v>36782.235377311961</v>
      </c>
      <c r="BY42" s="8">
        <v>28000</v>
      </c>
      <c r="BZ42" s="8">
        <v>28077.699792581723</v>
      </c>
      <c r="CA42" s="8">
        <v>26682.29048297284</v>
      </c>
      <c r="CB42" s="8">
        <v>89000</v>
      </c>
      <c r="CC42" s="8">
        <v>88683.202241233434</v>
      </c>
      <c r="CD42" s="8">
        <v>86117.466137360578</v>
      </c>
      <c r="CE42" s="8">
        <v>18450</v>
      </c>
      <c r="CF42" s="8">
        <v>18617.972624492588</v>
      </c>
      <c r="CG42" s="8">
        <v>18092.615816908936</v>
      </c>
      <c r="CH42" s="8">
        <v>64800</v>
      </c>
      <c r="CI42" s="8">
        <v>63702.222379918639</v>
      </c>
      <c r="CJ42" s="8">
        <v>61687.974293216292</v>
      </c>
      <c r="CK42" s="8">
        <v>324000</v>
      </c>
      <c r="CL42" s="8">
        <v>327017.33008496213</v>
      </c>
      <c r="CM42" s="8">
        <v>322318.99982940924</v>
      </c>
      <c r="CN42" s="8">
        <v>107500</v>
      </c>
      <c r="CO42" s="8">
        <v>105282.92599479959</v>
      </c>
      <c r="CP42" s="8">
        <v>102491.73931782493</v>
      </c>
      <c r="CQ42" s="8">
        <v>87400</v>
      </c>
      <c r="CR42" s="8">
        <v>87736.324381720522</v>
      </c>
      <c r="CS42" s="8">
        <v>86235.46861074667</v>
      </c>
      <c r="CT42" s="8">
        <v>23150</v>
      </c>
      <c r="CU42" s="8">
        <v>23081.286925046737</v>
      </c>
      <c r="CV42" s="8">
        <v>22103.131792089473</v>
      </c>
      <c r="CW42" s="8">
        <v>141000</v>
      </c>
      <c r="CX42" s="8">
        <v>141227.34751199136</v>
      </c>
      <c r="CY42" s="8">
        <v>138728.42271372772</v>
      </c>
      <c r="CZ42" s="8">
        <v>25450</v>
      </c>
      <c r="DA42" s="8">
        <v>25193.66844922064</v>
      </c>
      <c r="DB42" s="8">
        <v>24264.585576544887</v>
      </c>
      <c r="DC42" s="8">
        <v>21751</v>
      </c>
      <c r="DD42" s="8">
        <v>21857.384272643765</v>
      </c>
      <c r="DE42" s="8">
        <v>21295.484284719201</v>
      </c>
      <c r="DF42" s="8">
        <v>57700</v>
      </c>
      <c r="DG42" s="8">
        <v>59293.776624130922</v>
      </c>
      <c r="DH42" s="8">
        <v>57801.577713568899</v>
      </c>
      <c r="DI42" s="8">
        <v>168500</v>
      </c>
      <c r="DJ42" s="8">
        <v>172484.77961920536</v>
      </c>
      <c r="DK42" s="8">
        <v>167361.96034915981</v>
      </c>
      <c r="DL42" s="8">
        <v>27250</v>
      </c>
      <c r="DM42" s="8">
        <v>28025.219707189979</v>
      </c>
      <c r="DN42" s="8">
        <v>27127.879297875883</v>
      </c>
      <c r="DO42" s="8">
        <v>25100</v>
      </c>
      <c r="DP42" s="8">
        <v>25313.349636245959</v>
      </c>
      <c r="DQ42" s="8">
        <v>24433.700973541287</v>
      </c>
      <c r="DR42" s="8">
        <v>4940</v>
      </c>
      <c r="DS42" s="8">
        <v>4979.2964836503352</v>
      </c>
      <c r="DT42" s="8">
        <v>4822.2702555828691</v>
      </c>
      <c r="DU42" s="8">
        <v>187000</v>
      </c>
      <c r="DV42" s="8">
        <v>190955.14282159953</v>
      </c>
      <c r="DW42" s="8">
        <v>185571.65116259264</v>
      </c>
      <c r="DX42" s="8">
        <v>55800</v>
      </c>
      <c r="DY42" s="8">
        <v>54673.210789683428</v>
      </c>
      <c r="DZ42" s="8">
        <v>52512.615014481642</v>
      </c>
      <c r="EA42" s="8">
        <v>12450</v>
      </c>
      <c r="EB42" s="8">
        <v>12618.292098110687</v>
      </c>
      <c r="EC42" s="8">
        <v>12242.459761274538</v>
      </c>
      <c r="ED42" s="8">
        <v>1484000</v>
      </c>
      <c r="EE42" s="8">
        <v>1502566.9524205746</v>
      </c>
      <c r="EF42" s="8">
        <v>1468530.5651686052</v>
      </c>
      <c r="EG42" s="8">
        <v>117500</v>
      </c>
      <c r="EH42" s="8">
        <v>119941.71961105273</v>
      </c>
      <c r="EI42" s="8">
        <v>115715.55334882707</v>
      </c>
      <c r="EJ42" s="8">
        <v>315000</v>
      </c>
      <c r="EK42" s="8">
        <v>317041.16773025785</v>
      </c>
      <c r="EL42" s="8">
        <v>307506.37861427793</v>
      </c>
      <c r="EM42" s="8">
        <v>12050</v>
      </c>
      <c r="EN42" s="8">
        <v>12533.027859094962</v>
      </c>
      <c r="EO42" s="8">
        <v>12183.966902126955</v>
      </c>
      <c r="EP42" s="8">
        <v>64200</v>
      </c>
      <c r="EQ42" s="8">
        <v>65666.363017244119</v>
      </c>
      <c r="ER42" s="8">
        <v>63460.340886521102</v>
      </c>
      <c r="ES42" s="8">
        <v>13400</v>
      </c>
      <c r="ET42" s="8">
        <v>13312.039024714981</v>
      </c>
      <c r="EU42" s="8">
        <v>12774.380253510428</v>
      </c>
      <c r="EV42">
        <v>316000</v>
      </c>
      <c r="EW42">
        <v>315815.87665587704</v>
      </c>
      <c r="EX42">
        <v>302174.97563979356</v>
      </c>
      <c r="EY42">
        <v>31400</v>
      </c>
      <c r="EZ42">
        <v>31854.062656042341</v>
      </c>
      <c r="FA42">
        <v>30983.593243224648</v>
      </c>
      <c r="FB42">
        <v>2685</v>
      </c>
      <c r="FC42">
        <v>2655.1717035989313</v>
      </c>
      <c r="FD42">
        <v>2563.7289402843217</v>
      </c>
      <c r="FE42">
        <v>59400</v>
      </c>
      <c r="FF42">
        <v>59799.562835460711</v>
      </c>
      <c r="FG42">
        <v>58576.871699632378</v>
      </c>
      <c r="FH42">
        <v>54300</v>
      </c>
      <c r="FI42">
        <v>53678.512839474104</v>
      </c>
      <c r="FJ42">
        <v>50915.925561296608</v>
      </c>
      <c r="FK42">
        <v>81900</v>
      </c>
      <c r="FL42">
        <v>83425.681104904739</v>
      </c>
      <c r="FM42">
        <v>81322.450910785075</v>
      </c>
      <c r="FN42">
        <v>36600</v>
      </c>
      <c r="FO42">
        <v>36230.544096853031</v>
      </c>
      <c r="FP42">
        <v>35108.267764961209</v>
      </c>
      <c r="FQ42">
        <v>31000</v>
      </c>
      <c r="FR42">
        <v>31472.655175266227</v>
      </c>
      <c r="FS42">
        <v>30243.343612190482</v>
      </c>
      <c r="FT42">
        <v>937000</v>
      </c>
      <c r="FU42">
        <v>949454.85252935276</v>
      </c>
      <c r="FV42">
        <v>921547.55519126006</v>
      </c>
      <c r="FW42">
        <v>19350</v>
      </c>
      <c r="FX42">
        <v>19374.695740476785</v>
      </c>
      <c r="FY42">
        <v>18664.586634587704</v>
      </c>
      <c r="FZ42">
        <v>30100</v>
      </c>
      <c r="GA42">
        <v>29484.301039089303</v>
      </c>
      <c r="GB42">
        <v>28359.911600869214</v>
      </c>
      <c r="GC42">
        <v>20000</v>
      </c>
      <c r="GD42">
        <v>20377.164978311866</v>
      </c>
      <c r="GE42">
        <v>19901.507179993598</v>
      </c>
      <c r="GF42">
        <v>173000</v>
      </c>
      <c r="GG42">
        <v>169749.39524814475</v>
      </c>
      <c r="GH42">
        <v>164128.9270219304</v>
      </c>
      <c r="GI42">
        <v>6050</v>
      </c>
      <c r="GJ42">
        <v>6266.3961675582186</v>
      </c>
      <c r="GK42">
        <v>5882.9512285078581</v>
      </c>
      <c r="GL42">
        <v>11100</v>
      </c>
      <c r="GM42">
        <v>10876.772596563331</v>
      </c>
      <c r="GN42">
        <v>10353.423711635904</v>
      </c>
      <c r="GO42">
        <v>723000</v>
      </c>
      <c r="GP42">
        <v>715993.24721751641</v>
      </c>
      <c r="GQ42">
        <v>689734.60710097034</v>
      </c>
      <c r="GR42">
        <v>60200</v>
      </c>
      <c r="GS42">
        <v>60629.939632456233</v>
      </c>
      <c r="GT42">
        <v>59780.454246501198</v>
      </c>
      <c r="GU42">
        <v>9840</v>
      </c>
      <c r="GV42">
        <v>10111.052498548033</v>
      </c>
      <c r="GW42">
        <v>9636.2950007550535</v>
      </c>
      <c r="GX42">
        <v>34200</v>
      </c>
      <c r="GY42">
        <v>34666.36525439789</v>
      </c>
      <c r="GZ42">
        <v>33255.639621147304</v>
      </c>
      <c r="HA42">
        <v>6800</v>
      </c>
      <c r="HB42">
        <v>6730.0001596369675</v>
      </c>
      <c r="HC42">
        <v>6493.0826144998346</v>
      </c>
      <c r="HD42">
        <v>38550</v>
      </c>
      <c r="HE42">
        <v>39509.271202055112</v>
      </c>
      <c r="HF42">
        <v>37668.580627743911</v>
      </c>
      <c r="HG42">
        <v>11500</v>
      </c>
      <c r="HH42">
        <v>11630.552758771257</v>
      </c>
      <c r="HI42">
        <v>11231.936972285666</v>
      </c>
      <c r="HJ42">
        <v>4815</v>
      </c>
      <c r="HK42">
        <v>4908.3184374385582</v>
      </c>
      <c r="HL42">
        <v>4722.7977347261121</v>
      </c>
    </row>
    <row r="43" spans="1:220" x14ac:dyDescent="0.4">
      <c r="A43" s="11">
        <v>41421</v>
      </c>
      <c r="B43" s="8">
        <v>308800</v>
      </c>
      <c r="C43" s="8">
        <v>322687.50555293384</v>
      </c>
      <c r="D43" s="8">
        <v>313702.4998134693</v>
      </c>
      <c r="E43" s="8">
        <v>129500</v>
      </c>
      <c r="F43" s="8">
        <v>128681.48427210675</v>
      </c>
      <c r="G43" s="8">
        <v>125916.78470245503</v>
      </c>
      <c r="H43" s="8">
        <v>48050</v>
      </c>
      <c r="I43" s="8">
        <v>49932.978098129883</v>
      </c>
      <c r="J43" s="8">
        <v>47478.849608882141</v>
      </c>
      <c r="K43" s="8">
        <v>55300</v>
      </c>
      <c r="L43" s="8">
        <v>57419.570246264746</v>
      </c>
      <c r="M43" s="8">
        <v>55165.422590515642</v>
      </c>
      <c r="N43" s="8">
        <v>256000</v>
      </c>
      <c r="O43" s="8">
        <v>262924.26157033112</v>
      </c>
      <c r="P43" s="8">
        <v>256497.08975575282</v>
      </c>
      <c r="Q43" s="8">
        <v>83000</v>
      </c>
      <c r="R43" s="8">
        <v>85059.222859735863</v>
      </c>
      <c r="S43" s="8">
        <v>82804.03347679929</v>
      </c>
      <c r="T43" s="8">
        <v>18750</v>
      </c>
      <c r="U43" s="8">
        <v>18411.391666794745</v>
      </c>
      <c r="V43" s="8">
        <v>17720.42923657957</v>
      </c>
      <c r="W43" s="8">
        <v>15800</v>
      </c>
      <c r="X43" s="8">
        <v>15983.624085767351</v>
      </c>
      <c r="Y43" s="8">
        <v>15442.125508691886</v>
      </c>
      <c r="Z43" s="8">
        <v>20800</v>
      </c>
      <c r="AA43" s="8">
        <v>21473.678350861468</v>
      </c>
      <c r="AB43" s="8">
        <v>20596.25649038456</v>
      </c>
      <c r="AC43" s="8">
        <v>12900</v>
      </c>
      <c r="AD43" s="8">
        <v>13108.702911549482</v>
      </c>
      <c r="AE43" s="8">
        <v>12683.128327240815</v>
      </c>
      <c r="AF43" s="8">
        <v>39600</v>
      </c>
      <c r="AG43" s="8">
        <v>42026.176848099589</v>
      </c>
      <c r="AH43" s="8">
        <v>40127.57537014164</v>
      </c>
      <c r="AI43" s="8">
        <v>48550</v>
      </c>
      <c r="AJ43" s="8">
        <v>49726.729016324585</v>
      </c>
      <c r="AK43" s="8">
        <v>48554.914155626851</v>
      </c>
      <c r="AL43" s="8">
        <v>11950</v>
      </c>
      <c r="AM43" s="8">
        <v>12476.267884309835</v>
      </c>
      <c r="AN43" s="8">
        <v>11888.293381903972</v>
      </c>
      <c r="AO43" s="8">
        <v>18750</v>
      </c>
      <c r="AP43" s="8">
        <v>17811.127666343869</v>
      </c>
      <c r="AQ43" s="8">
        <v>17121.254691095364</v>
      </c>
      <c r="AR43" s="8">
        <v>26900</v>
      </c>
      <c r="AS43" s="8">
        <v>26799.675966675441</v>
      </c>
      <c r="AT43" s="8">
        <v>25906.076800265353</v>
      </c>
      <c r="AU43" s="8">
        <v>162000</v>
      </c>
      <c r="AV43" s="8">
        <v>166086.12905893003</v>
      </c>
      <c r="AW43" s="8">
        <v>160542.4388392386</v>
      </c>
      <c r="AX43" s="8">
        <v>643000</v>
      </c>
      <c r="AY43" s="8">
        <v>642233.4910015302</v>
      </c>
      <c r="AZ43" s="8">
        <v>625495.12938579358</v>
      </c>
      <c r="BA43" s="8">
        <v>201000</v>
      </c>
      <c r="BB43" s="8">
        <v>201894.98653884619</v>
      </c>
      <c r="BC43" s="8">
        <v>197368.14280666687</v>
      </c>
      <c r="BD43" s="8">
        <v>33850</v>
      </c>
      <c r="BE43" s="8">
        <v>34147.316094537695</v>
      </c>
      <c r="BF43" s="8">
        <v>32778.747698086234</v>
      </c>
      <c r="BG43" s="8">
        <v>35850</v>
      </c>
      <c r="BH43" s="8">
        <v>35367.860077015233</v>
      </c>
      <c r="BI43" s="8">
        <v>34047.090226418753</v>
      </c>
      <c r="BJ43" s="8">
        <v>74100</v>
      </c>
      <c r="BK43" s="8">
        <v>75408.04128572646</v>
      </c>
      <c r="BL43" s="8">
        <v>73357.096940639662</v>
      </c>
      <c r="BM43" s="8">
        <v>1105000</v>
      </c>
      <c r="BN43" s="8">
        <v>1070656.2324595801</v>
      </c>
      <c r="BO43" s="8">
        <v>1039511.7064353918</v>
      </c>
      <c r="BP43" s="8">
        <v>45500</v>
      </c>
      <c r="BQ43" s="8">
        <v>48628.808377647707</v>
      </c>
      <c r="BR43" s="8">
        <v>46408.267333954987</v>
      </c>
      <c r="BS43" s="8">
        <v>121000</v>
      </c>
      <c r="BT43" s="8">
        <v>125683.13365224322</v>
      </c>
      <c r="BU43" s="8">
        <v>121684.20566679655</v>
      </c>
      <c r="BV43" s="8">
        <v>37500</v>
      </c>
      <c r="BW43" s="8">
        <v>38393.970578607041</v>
      </c>
      <c r="BX43" s="8">
        <v>37027.450279827412</v>
      </c>
      <c r="BY43" s="8">
        <v>27200</v>
      </c>
      <c r="BZ43" s="8">
        <v>28077.699792581723</v>
      </c>
      <c r="CA43" s="8">
        <v>26682.29048297284</v>
      </c>
      <c r="CB43" s="8">
        <v>87500</v>
      </c>
      <c r="CC43" s="8">
        <v>92939.995948812648</v>
      </c>
      <c r="CD43" s="8">
        <v>90251.104511953905</v>
      </c>
      <c r="CE43" s="8">
        <v>18400</v>
      </c>
      <c r="CF43" s="8">
        <v>18617.972624492588</v>
      </c>
      <c r="CG43" s="8">
        <v>18092.615816908936</v>
      </c>
      <c r="CH43" s="8">
        <v>62500</v>
      </c>
      <c r="CI43" s="8">
        <v>64211.840158958075</v>
      </c>
      <c r="CJ43" s="8">
        <v>62181.478087562107</v>
      </c>
      <c r="CK43" s="8">
        <v>325000</v>
      </c>
      <c r="CL43" s="8">
        <v>328023.53725445468</v>
      </c>
      <c r="CM43" s="8">
        <v>323310.7505981155</v>
      </c>
      <c r="CN43" s="8">
        <v>103500</v>
      </c>
      <c r="CO43" s="8">
        <v>105791.53916385652</v>
      </c>
      <c r="CP43" s="8">
        <v>102986.86849327329</v>
      </c>
      <c r="CQ43" s="8">
        <v>87300</v>
      </c>
      <c r="CR43" s="8">
        <v>87736.324381720522</v>
      </c>
      <c r="CS43" s="8">
        <v>86235.46861074667</v>
      </c>
      <c r="CT43" s="8">
        <v>22650</v>
      </c>
      <c r="CU43" s="8">
        <v>23234.143129848355</v>
      </c>
      <c r="CV43" s="8">
        <v>22249.51014832846</v>
      </c>
      <c r="CW43" s="8">
        <v>140000</v>
      </c>
      <c r="CX43" s="8">
        <v>140218.58074404861</v>
      </c>
      <c r="CY43" s="8">
        <v>137737.50540862969</v>
      </c>
      <c r="CZ43" s="8">
        <v>24650</v>
      </c>
      <c r="DA43" s="8">
        <v>25142.565673461551</v>
      </c>
      <c r="DB43" s="8">
        <v>24215.367350223274</v>
      </c>
      <c r="DC43" s="8">
        <v>21514</v>
      </c>
      <c r="DD43" s="8">
        <v>21536.340606651607</v>
      </c>
      <c r="DE43" s="8">
        <v>20982.693867596809</v>
      </c>
      <c r="DF43" s="8">
        <v>58400</v>
      </c>
      <c r="DG43" s="8">
        <v>58583.063548156701</v>
      </c>
      <c r="DH43" s="8">
        <v>57108.750583440466</v>
      </c>
      <c r="DI43" s="8">
        <v>169500</v>
      </c>
      <c r="DJ43" s="8">
        <v>170449.56098063069</v>
      </c>
      <c r="DK43" s="8">
        <v>165387.18795565941</v>
      </c>
      <c r="DL43" s="8">
        <v>27500</v>
      </c>
      <c r="DM43" s="8">
        <v>26751.346084135872</v>
      </c>
      <c r="DN43" s="8">
        <v>25894.793875245145</v>
      </c>
      <c r="DO43" s="8">
        <v>24900</v>
      </c>
      <c r="DP43" s="8">
        <v>24601.729365347495</v>
      </c>
      <c r="DQ43" s="8">
        <v>23746.809781514035</v>
      </c>
      <c r="DR43" s="8">
        <v>4890</v>
      </c>
      <c r="DS43" s="8">
        <v>4938.5660420662871</v>
      </c>
      <c r="DT43" s="8">
        <v>4782.824282122072</v>
      </c>
      <c r="DU43" s="8">
        <v>188000</v>
      </c>
      <c r="DV43" s="8">
        <v>189939.42397680384</v>
      </c>
      <c r="DW43" s="8">
        <v>184584.56791172782</v>
      </c>
      <c r="DX43" s="8">
        <v>53500</v>
      </c>
      <c r="DY43" s="8">
        <v>55184.175376502884</v>
      </c>
      <c r="DZ43" s="8">
        <v>53003.387117420709</v>
      </c>
      <c r="EA43" s="8">
        <v>12450</v>
      </c>
      <c r="EB43" s="8">
        <v>12567.616226230721</v>
      </c>
      <c r="EC43" s="8">
        <v>12193.293256209176</v>
      </c>
      <c r="ED43" s="8">
        <v>1489000</v>
      </c>
      <c r="EE43" s="8">
        <v>1499539.6180637833</v>
      </c>
      <c r="EF43" s="8">
        <v>1465571.8064745108</v>
      </c>
      <c r="EG43" s="8">
        <v>118000</v>
      </c>
      <c r="EH43" s="8">
        <v>120449.94723652338</v>
      </c>
      <c r="EI43" s="8">
        <v>116205.87349013575</v>
      </c>
      <c r="EJ43" s="8">
        <v>312000</v>
      </c>
      <c r="EK43" s="8">
        <v>318057.32531913673</v>
      </c>
      <c r="EL43" s="8">
        <v>308491.97598163126</v>
      </c>
      <c r="EM43" s="8">
        <v>12350</v>
      </c>
      <c r="EN43" s="8">
        <v>12482.286855616838</v>
      </c>
      <c r="EO43" s="8">
        <v>12134.639100903762</v>
      </c>
      <c r="EP43" s="8">
        <v>64300</v>
      </c>
      <c r="EQ43" s="8">
        <v>64645.113203601068</v>
      </c>
      <c r="ER43" s="8">
        <v>62473.399348628016</v>
      </c>
      <c r="ES43" s="8">
        <v>13050</v>
      </c>
      <c r="ET43" s="8">
        <v>13159.027081902159</v>
      </c>
      <c r="EU43" s="8">
        <v>12627.548296573521</v>
      </c>
      <c r="EV43">
        <v>310000</v>
      </c>
      <c r="EW43">
        <v>315815.87665587704</v>
      </c>
      <c r="EX43">
        <v>302174.97563979356</v>
      </c>
      <c r="EY43">
        <v>31400</v>
      </c>
      <c r="EZ43">
        <v>31854.062656042341</v>
      </c>
      <c r="FA43">
        <v>30983.593243224648</v>
      </c>
      <c r="FB43">
        <v>2610</v>
      </c>
      <c r="FC43">
        <v>2604.3063452924393</v>
      </c>
      <c r="FD43">
        <v>2514.615359052822</v>
      </c>
      <c r="FE43">
        <v>59400</v>
      </c>
      <c r="FF43">
        <v>59900.235500166884</v>
      </c>
      <c r="FG43">
        <v>58675.485961752973</v>
      </c>
      <c r="FH43">
        <v>52200</v>
      </c>
      <c r="FI43">
        <v>54604.00444015472</v>
      </c>
      <c r="FJ43">
        <v>51793.786346836227</v>
      </c>
      <c r="FK43">
        <v>82500</v>
      </c>
      <c r="FL43">
        <v>80897.6301623318</v>
      </c>
      <c r="FM43">
        <v>78858.134216518796</v>
      </c>
      <c r="FN43">
        <v>35800</v>
      </c>
      <c r="FO43">
        <v>35775.132229713789</v>
      </c>
      <c r="FP43">
        <v>34666.962723222845</v>
      </c>
      <c r="FQ43">
        <v>30700</v>
      </c>
      <c r="FR43">
        <v>31472.655175266227</v>
      </c>
      <c r="FS43">
        <v>30243.343612190482</v>
      </c>
      <c r="FT43">
        <v>936000</v>
      </c>
      <c r="FU43">
        <v>950469.22737179801</v>
      </c>
      <c r="FV43">
        <v>922532.11454509629</v>
      </c>
      <c r="FW43">
        <v>19100</v>
      </c>
      <c r="FX43">
        <v>18968.942950100296</v>
      </c>
      <c r="FY43">
        <v>18273.705239098945</v>
      </c>
      <c r="FZ43">
        <v>29000</v>
      </c>
      <c r="GA43">
        <v>29535.13604088085</v>
      </c>
      <c r="GB43">
        <v>28408.808000181074</v>
      </c>
      <c r="GC43">
        <v>20200</v>
      </c>
      <c r="GD43">
        <v>20175.410869615695</v>
      </c>
      <c r="GE43">
        <v>19704.462554449095</v>
      </c>
      <c r="GF43">
        <v>167000</v>
      </c>
      <c r="GG43">
        <v>169749.39524814475</v>
      </c>
      <c r="GH43">
        <v>164128.9270219304</v>
      </c>
      <c r="GI43">
        <v>6030</v>
      </c>
      <c r="GJ43">
        <v>6183.2598999952525</v>
      </c>
      <c r="GK43">
        <v>5804.9021243153784</v>
      </c>
      <c r="GL43">
        <v>10600</v>
      </c>
      <c r="GM43">
        <v>11030.689189910941</v>
      </c>
      <c r="GN43">
        <v>10499.934424536428</v>
      </c>
      <c r="GO43">
        <v>705000</v>
      </c>
      <c r="GP43">
        <v>708884.09440826485</v>
      </c>
      <c r="GQ43">
        <v>682886.17837798235</v>
      </c>
      <c r="GR43">
        <v>60300</v>
      </c>
      <c r="GS43">
        <v>61434.316941012927</v>
      </c>
      <c r="GT43">
        <v>60573.561433851188</v>
      </c>
      <c r="GU43">
        <v>9860</v>
      </c>
      <c r="GV43">
        <v>9311.1923617460725</v>
      </c>
      <c r="GW43">
        <v>8873.9917451172423</v>
      </c>
      <c r="GX43">
        <v>33850</v>
      </c>
      <c r="GY43">
        <v>32771.748541823734</v>
      </c>
      <c r="GZ43">
        <v>31438.123127820221</v>
      </c>
      <c r="HA43">
        <v>6600</v>
      </c>
      <c r="HB43">
        <v>6495.4698510435528</v>
      </c>
      <c r="HC43">
        <v>6266.8085233884703</v>
      </c>
      <c r="HD43">
        <v>38450</v>
      </c>
      <c r="HE43">
        <v>40588.197983905804</v>
      </c>
      <c r="HF43">
        <v>38697.241477136165</v>
      </c>
      <c r="HG43">
        <v>11450</v>
      </c>
      <c r="HH43">
        <v>11579.764318776623</v>
      </c>
      <c r="HI43">
        <v>11182.889212581362</v>
      </c>
      <c r="HJ43">
        <v>4825</v>
      </c>
      <c r="HK43">
        <v>4908.3184374385582</v>
      </c>
      <c r="HL43">
        <v>4722.7977347261121</v>
      </c>
    </row>
    <row r="44" spans="1:220" x14ac:dyDescent="0.4">
      <c r="A44" s="11">
        <v>41418</v>
      </c>
      <c r="B44" s="10">
        <v>317000</v>
      </c>
      <c r="C44" s="10">
        <v>324214.41803977737</v>
      </c>
      <c r="D44" s="10">
        <v>315186.89650028385</v>
      </c>
      <c r="E44" s="10">
        <v>127000</v>
      </c>
      <c r="F44" s="10">
        <v>128174.86425528745</v>
      </c>
      <c r="G44" s="10">
        <v>125421.04932961073</v>
      </c>
      <c r="H44" s="10">
        <v>49100</v>
      </c>
      <c r="I44" s="10">
        <v>50034.67459120143</v>
      </c>
      <c r="J44" s="10">
        <v>47575.547876924669</v>
      </c>
      <c r="K44" s="10">
        <v>56200</v>
      </c>
      <c r="L44" s="10">
        <v>57521.740300083751</v>
      </c>
      <c r="M44" s="10">
        <v>55263.581705445409</v>
      </c>
      <c r="N44" s="10">
        <v>259500</v>
      </c>
      <c r="O44" s="10">
        <v>269003.43524825771</v>
      </c>
      <c r="P44" s="10">
        <v>262427.65830501862</v>
      </c>
      <c r="Q44" s="10">
        <v>83700</v>
      </c>
      <c r="R44" s="10">
        <v>84957.598937561823</v>
      </c>
      <c r="S44" s="10">
        <v>82705.103926647862</v>
      </c>
      <c r="T44" s="10">
        <v>18050</v>
      </c>
      <c r="U44" s="10">
        <v>18156.386242046901</v>
      </c>
      <c r="V44" s="10">
        <v>17474.993928593711</v>
      </c>
      <c r="W44" s="10">
        <v>15700</v>
      </c>
      <c r="X44" s="10">
        <v>15474.591471570946</v>
      </c>
      <c r="Y44" s="10">
        <v>14950.338072109349</v>
      </c>
      <c r="Z44" s="10">
        <v>21000</v>
      </c>
      <c r="AA44" s="10">
        <v>21371.422739666912</v>
      </c>
      <c r="AB44" s="10">
        <v>20498.179078525605</v>
      </c>
      <c r="AC44" s="10">
        <v>12950</v>
      </c>
      <c r="AD44" s="10">
        <v>13361.76667432071</v>
      </c>
      <c r="AE44" s="10">
        <v>12927.976364446238</v>
      </c>
      <c r="AF44" s="10">
        <v>41250</v>
      </c>
      <c r="AG44" s="10">
        <v>41058.301260082706</v>
      </c>
      <c r="AH44" s="10">
        <v>39203.42514949591</v>
      </c>
      <c r="AI44" s="10">
        <v>49050</v>
      </c>
      <c r="AJ44" s="10">
        <v>49473.279836832575</v>
      </c>
      <c r="AK44" s="10">
        <v>48307.437528941664</v>
      </c>
      <c r="AL44" s="10">
        <v>12100</v>
      </c>
      <c r="AM44" s="10">
        <v>12682.487188182706</v>
      </c>
      <c r="AN44" s="10">
        <v>12084.794098960218</v>
      </c>
      <c r="AO44" s="10">
        <v>17400</v>
      </c>
      <c r="AP44" s="10">
        <v>16480.411231502087</v>
      </c>
      <c r="AQ44" s="10">
        <v>15842.080490036515</v>
      </c>
      <c r="AR44" s="10">
        <v>26350</v>
      </c>
      <c r="AS44" s="10">
        <v>26494.556316200931</v>
      </c>
      <c r="AT44" s="10">
        <v>25611.130954342003</v>
      </c>
      <c r="AU44" s="10">
        <v>164000</v>
      </c>
      <c r="AV44" s="10">
        <v>171149.73055462938</v>
      </c>
      <c r="AW44" s="10">
        <v>165437.02538921562</v>
      </c>
      <c r="AX44" s="10">
        <v>634000</v>
      </c>
      <c r="AY44" s="10">
        <v>648311.41047473077</v>
      </c>
      <c r="AZ44" s="10">
        <v>631414.64165127429</v>
      </c>
      <c r="BA44" s="10">
        <v>200000</v>
      </c>
      <c r="BB44" s="10">
        <v>202904.4614715403</v>
      </c>
      <c r="BC44" s="10">
        <v>198354.9835207001</v>
      </c>
      <c r="BD44" s="10">
        <v>33350</v>
      </c>
      <c r="BE44" s="10">
        <v>33993.729965176957</v>
      </c>
      <c r="BF44" s="10">
        <v>32631.317048769506</v>
      </c>
      <c r="BG44" s="10">
        <v>34600</v>
      </c>
      <c r="BH44" s="10">
        <v>35265.640828237767</v>
      </c>
      <c r="BI44" s="10">
        <v>33948.688231544744</v>
      </c>
      <c r="BJ44" s="10">
        <v>74600</v>
      </c>
      <c r="BK44" s="10">
        <v>76014.54027730065</v>
      </c>
      <c r="BL44" s="10">
        <v>73947.100401288219</v>
      </c>
      <c r="BM44" s="10">
        <v>1056000</v>
      </c>
      <c r="BN44" s="10">
        <v>1082822.7805557111</v>
      </c>
      <c r="BO44" s="10">
        <v>1051324.3394630661</v>
      </c>
      <c r="BP44" s="10">
        <v>47350</v>
      </c>
      <c r="BQ44" s="10">
        <v>48218.005350170264</v>
      </c>
      <c r="BR44" s="10">
        <v>46016.222836941684</v>
      </c>
      <c r="BS44" s="10">
        <v>124000</v>
      </c>
      <c r="BT44" s="10">
        <v>125176.34682300031</v>
      </c>
      <c r="BU44" s="10">
        <v>121193.54354717236</v>
      </c>
      <c r="BV44" s="10">
        <v>37750</v>
      </c>
      <c r="BW44" s="10">
        <v>39563.588225372507</v>
      </c>
      <c r="BX44" s="10">
        <v>38155.438831398264</v>
      </c>
      <c r="BY44" s="10">
        <v>27200</v>
      </c>
      <c r="BZ44" s="10">
        <v>27561.565605218082</v>
      </c>
      <c r="CA44" s="10">
        <v>26191.80720203583</v>
      </c>
      <c r="CB44" s="10">
        <v>91700</v>
      </c>
      <c r="CC44" s="10">
        <v>97804.903043188824</v>
      </c>
      <c r="CD44" s="10">
        <v>94975.26265434621</v>
      </c>
      <c r="CE44" s="10">
        <v>18400</v>
      </c>
      <c r="CF44" s="10">
        <v>18010.864821519997</v>
      </c>
      <c r="CG44" s="10">
        <v>17502.63921418364</v>
      </c>
      <c r="CH44" s="10">
        <v>63000</v>
      </c>
      <c r="CI44" s="10">
        <v>64007.993047342323</v>
      </c>
      <c r="CJ44" s="10">
        <v>61984.076569823796</v>
      </c>
      <c r="CK44" s="10">
        <v>326000</v>
      </c>
      <c r="CL44" s="10">
        <v>327017.33008496213</v>
      </c>
      <c r="CM44" s="10">
        <v>322318.99982940924</v>
      </c>
      <c r="CN44" s="10">
        <v>104000</v>
      </c>
      <c r="CO44" s="10">
        <v>107317.37867102765</v>
      </c>
      <c r="CP44" s="10">
        <v>104472.2560196187</v>
      </c>
      <c r="CQ44" s="10">
        <v>87300</v>
      </c>
      <c r="CR44" s="10">
        <v>88138.323577054878</v>
      </c>
      <c r="CS44" s="10">
        <v>86630.59103278906</v>
      </c>
      <c r="CT44" s="10">
        <v>22800</v>
      </c>
      <c r="CU44" s="10">
        <v>23030.334856779529</v>
      </c>
      <c r="CV44" s="10">
        <v>22054.339006676477</v>
      </c>
      <c r="CW44" s="10">
        <v>139000</v>
      </c>
      <c r="CX44" s="10">
        <v>139209.81397610577</v>
      </c>
      <c r="CY44" s="10">
        <v>136746.5881035316</v>
      </c>
      <c r="CZ44" s="10">
        <v>24600</v>
      </c>
      <c r="DA44" s="10">
        <v>25551.387879534115</v>
      </c>
      <c r="DB44" s="10">
        <v>24609.113160796027</v>
      </c>
      <c r="DC44" s="10">
        <v>21198</v>
      </c>
      <c r="DD44" s="10">
        <v>20867.838289490694</v>
      </c>
      <c r="DE44" s="10">
        <v>20331.377112955852</v>
      </c>
      <c r="DF44" s="10">
        <v>57700</v>
      </c>
      <c r="DG44" s="10">
        <v>58176.941790457182</v>
      </c>
      <c r="DH44" s="10">
        <v>56712.849366224247</v>
      </c>
      <c r="DI44" s="10">
        <v>167500</v>
      </c>
      <c r="DJ44" s="10">
        <v>168923.14700169981</v>
      </c>
      <c r="DK44" s="10">
        <v>163906.10866053423</v>
      </c>
      <c r="DL44" s="10">
        <v>26250</v>
      </c>
      <c r="DM44" s="10">
        <v>25885.112020459099</v>
      </c>
      <c r="DN44" s="10">
        <v>25056.295787856259</v>
      </c>
      <c r="DO44" s="10">
        <v>24200</v>
      </c>
      <c r="DP44" s="10">
        <v>25262.519616896054</v>
      </c>
      <c r="DQ44" s="10">
        <v>24384.637316967895</v>
      </c>
      <c r="DR44" s="10">
        <v>4850</v>
      </c>
      <c r="DS44" s="10">
        <v>4913.1095160762543</v>
      </c>
      <c r="DT44" s="10">
        <v>4758.1705487090712</v>
      </c>
      <c r="DU44" s="10">
        <v>187000</v>
      </c>
      <c r="DV44" s="10">
        <v>188923.70513200795</v>
      </c>
      <c r="DW44" s="10">
        <v>183597.48466086286</v>
      </c>
      <c r="DX44" s="10">
        <v>54000</v>
      </c>
      <c r="DY44" s="10">
        <v>58045.577062691918</v>
      </c>
      <c r="DZ44" s="10">
        <v>55751.710893879557</v>
      </c>
      <c r="EA44" s="10">
        <v>12400</v>
      </c>
      <c r="EB44" s="10">
        <v>12364.912738710869</v>
      </c>
      <c r="EC44" s="10">
        <v>11996.627235947737</v>
      </c>
      <c r="ED44" s="10">
        <v>1486000</v>
      </c>
      <c r="EE44" s="10">
        <v>1497521.3951592571</v>
      </c>
      <c r="EF44" s="10">
        <v>1463599.3006784495</v>
      </c>
      <c r="EG44" s="10">
        <v>118500</v>
      </c>
      <c r="EH44" s="10">
        <v>117400.58148369993</v>
      </c>
      <c r="EI44" s="10">
        <v>113263.95264228414</v>
      </c>
      <c r="EJ44" s="10">
        <v>313000</v>
      </c>
      <c r="EK44" s="10">
        <v>313992.69496362028</v>
      </c>
      <c r="EL44" s="10">
        <v>304549.58651221712</v>
      </c>
      <c r="EM44" s="10">
        <v>12300</v>
      </c>
      <c r="EN44" s="10">
        <v>12583.768862573081</v>
      </c>
      <c r="EO44" s="10">
        <v>12233.294703350142</v>
      </c>
      <c r="EP44" s="10">
        <v>63300</v>
      </c>
      <c r="EQ44" s="10">
        <v>64747.238184965434</v>
      </c>
      <c r="ER44" s="10">
        <v>62572.093502417389</v>
      </c>
      <c r="ES44" s="10">
        <v>12900</v>
      </c>
      <c r="ET44" s="10">
        <v>13108.023100964559</v>
      </c>
      <c r="EU44" s="10">
        <v>12578.604310927893</v>
      </c>
      <c r="EV44">
        <v>310000</v>
      </c>
      <c r="EW44">
        <v>315815.87665587704</v>
      </c>
      <c r="EX44">
        <v>302174.97563979356</v>
      </c>
      <c r="EY44">
        <v>31400</v>
      </c>
      <c r="EZ44">
        <v>31854.062656042341</v>
      </c>
      <c r="FA44">
        <v>30983.593243224648</v>
      </c>
      <c r="FB44">
        <v>2560</v>
      </c>
      <c r="FC44">
        <v>2675.5178469215307</v>
      </c>
      <c r="FD44">
        <v>2583.3743727769238</v>
      </c>
      <c r="FE44">
        <v>59500</v>
      </c>
      <c r="FF44">
        <v>59497.544841342227</v>
      </c>
      <c r="FG44">
        <v>58281.028913270595</v>
      </c>
      <c r="FH44">
        <v>53100</v>
      </c>
      <c r="FI44">
        <v>54501.172040079095</v>
      </c>
      <c r="FJ44">
        <v>51696.246259554042</v>
      </c>
      <c r="FK44">
        <v>80000</v>
      </c>
      <c r="FL44">
        <v>81302.118313143568</v>
      </c>
      <c r="FM44">
        <v>79252.42488760149</v>
      </c>
      <c r="FN44">
        <v>35350</v>
      </c>
      <c r="FO44">
        <v>36382.348052566071</v>
      </c>
      <c r="FP44">
        <v>35255.369445540629</v>
      </c>
      <c r="FQ44">
        <v>30700</v>
      </c>
      <c r="FR44">
        <v>30755.037630553321</v>
      </c>
      <c r="FS44">
        <v>29553.75597282458</v>
      </c>
      <c r="FT44">
        <v>937000</v>
      </c>
      <c r="FU44">
        <v>959598.60095381096</v>
      </c>
      <c r="FV44">
        <v>931393.14872962749</v>
      </c>
      <c r="FW44">
        <v>18700</v>
      </c>
      <c r="FX44">
        <v>18715.347456115007</v>
      </c>
      <c r="FY44">
        <v>18029.404366918487</v>
      </c>
      <c r="FZ44">
        <v>29050</v>
      </c>
      <c r="GA44">
        <v>29535.13604088085</v>
      </c>
      <c r="GB44">
        <v>28408.808000181074</v>
      </c>
      <c r="GC44">
        <v>20000</v>
      </c>
      <c r="GD44">
        <v>20629.357614182063</v>
      </c>
      <c r="GE44">
        <v>20147.812961924214</v>
      </c>
      <c r="GF44">
        <v>167000</v>
      </c>
      <c r="GG44">
        <v>166191.77319204615</v>
      </c>
      <c r="GH44">
        <v>160689.09921009376</v>
      </c>
      <c r="GI44">
        <v>5950</v>
      </c>
      <c r="GJ44">
        <v>6058.5554986508123</v>
      </c>
      <c r="GK44">
        <v>5687.8284680266661</v>
      </c>
      <c r="GL44">
        <v>10750</v>
      </c>
      <c r="GM44">
        <v>11133.300252142659</v>
      </c>
      <c r="GN44">
        <v>10597.608233136754</v>
      </c>
      <c r="GO44">
        <v>698000</v>
      </c>
      <c r="GP44">
        <v>718024.4337344456</v>
      </c>
      <c r="GQ44">
        <v>691691.30102182424</v>
      </c>
      <c r="GR44">
        <v>61100</v>
      </c>
      <c r="GS44">
        <v>62339.241413139142</v>
      </c>
      <c r="GT44">
        <v>61465.807019619861</v>
      </c>
      <c r="GU44">
        <v>9080</v>
      </c>
      <c r="GV44">
        <v>9024.0630818684422</v>
      </c>
      <c r="GW44">
        <v>8600.3444225805888</v>
      </c>
      <c r="GX44">
        <v>32000</v>
      </c>
      <c r="GY44">
        <v>31952.454828278125</v>
      </c>
      <c r="GZ44">
        <v>30652.170049624699</v>
      </c>
      <c r="HA44">
        <v>6370</v>
      </c>
      <c r="HB44">
        <v>6495.4698510435528</v>
      </c>
      <c r="HC44">
        <v>6266.8085233884703</v>
      </c>
      <c r="HD44">
        <v>39500</v>
      </c>
      <c r="HE44">
        <v>37916.569762180348</v>
      </c>
      <c r="HF44">
        <v>36150.081278641119</v>
      </c>
      <c r="HG44">
        <v>11400</v>
      </c>
      <c r="HH44">
        <v>10919.514598846388</v>
      </c>
      <c r="HI44">
        <v>10545.268336425419</v>
      </c>
      <c r="HJ44">
        <v>4825</v>
      </c>
      <c r="HK44">
        <v>4725.2101848501743</v>
      </c>
      <c r="HL44">
        <v>4546.6104617207839</v>
      </c>
    </row>
    <row r="45" spans="1:220" x14ac:dyDescent="0.4">
      <c r="A45" s="73">
        <v>41417</v>
      </c>
      <c r="B45" s="8">
        <v>318500</v>
      </c>
      <c r="C45" s="8">
        <v>322178.53472398623</v>
      </c>
      <c r="D45" s="8">
        <v>313207.70091786468</v>
      </c>
      <c r="E45" s="8">
        <v>126500</v>
      </c>
      <c r="F45" s="8">
        <v>130201.34432256487</v>
      </c>
      <c r="G45" s="8">
        <v>127403.99082098811</v>
      </c>
      <c r="H45" s="8">
        <v>49200</v>
      </c>
      <c r="I45" s="8">
        <v>49983.8263446657</v>
      </c>
      <c r="J45" s="8">
        <v>47527.198742903449</v>
      </c>
      <c r="K45" s="8">
        <v>56300</v>
      </c>
      <c r="L45" s="8">
        <v>59360.801268825235</v>
      </c>
      <c r="M45" s="8">
        <v>57030.445774180705</v>
      </c>
      <c r="N45" s="8">
        <v>265500</v>
      </c>
      <c r="O45" s="8">
        <v>279135.39137813565</v>
      </c>
      <c r="P45" s="8">
        <v>272311.93922046194</v>
      </c>
      <c r="Q45" s="8">
        <v>83600</v>
      </c>
      <c r="R45" s="8">
        <v>84347.855404517089</v>
      </c>
      <c r="S45" s="8">
        <v>82111.526625738872</v>
      </c>
      <c r="T45" s="8">
        <v>17800</v>
      </c>
      <c r="U45" s="8">
        <v>17646.375392551196</v>
      </c>
      <c r="V45" s="8">
        <v>16984.12331262197</v>
      </c>
      <c r="W45" s="8">
        <v>15200</v>
      </c>
      <c r="X45" s="8">
        <v>15830.914301508416</v>
      </c>
      <c r="Y45" s="8">
        <v>15294.58927771711</v>
      </c>
      <c r="Z45" s="8">
        <v>20900</v>
      </c>
      <c r="AA45" s="8">
        <v>22087.212018028971</v>
      </c>
      <c r="AB45" s="8">
        <v>21184.720961538434</v>
      </c>
      <c r="AC45" s="8">
        <v>13200</v>
      </c>
      <c r="AD45" s="8">
        <v>14070.345210080142</v>
      </c>
      <c r="AE45" s="8">
        <v>13613.550868621418</v>
      </c>
      <c r="AF45" s="8">
        <v>40300</v>
      </c>
      <c r="AG45" s="8">
        <v>41465.827823458254</v>
      </c>
      <c r="AH45" s="8">
        <v>39592.541031873079</v>
      </c>
      <c r="AI45" s="8">
        <v>48800</v>
      </c>
      <c r="AJ45" s="8">
        <v>48966.381477848641</v>
      </c>
      <c r="AK45" s="8">
        <v>47812.484275571362</v>
      </c>
      <c r="AL45" s="8">
        <v>12300</v>
      </c>
      <c r="AM45" s="8">
        <v>12063.829276564054</v>
      </c>
      <c r="AN45" s="8">
        <v>11495.291947791442</v>
      </c>
      <c r="AO45" s="8">
        <v>16100</v>
      </c>
      <c r="AP45" s="8">
        <v>16941.0438435627</v>
      </c>
      <c r="AQ45" s="8">
        <v>16284.871559633806</v>
      </c>
      <c r="AR45" s="8">
        <v>26050</v>
      </c>
      <c r="AS45" s="8">
        <v>27206.502167308074</v>
      </c>
      <c r="AT45" s="8">
        <v>26299.33792816311</v>
      </c>
      <c r="AU45" s="8">
        <v>169000</v>
      </c>
      <c r="AV45" s="8">
        <v>178745.1327981778</v>
      </c>
      <c r="AW45" s="8">
        <v>172778.90521418062</v>
      </c>
      <c r="AX45" s="8">
        <v>640000</v>
      </c>
      <c r="AY45" s="8">
        <v>643246.47758039762</v>
      </c>
      <c r="AZ45" s="8">
        <v>626481.71476337442</v>
      </c>
      <c r="BA45" s="8">
        <v>201000</v>
      </c>
      <c r="BB45" s="8">
        <v>208961.31106770583</v>
      </c>
      <c r="BC45" s="8">
        <v>204276.02780490022</v>
      </c>
      <c r="BD45" s="8">
        <v>33200</v>
      </c>
      <c r="BE45" s="8">
        <v>33021.017812558974</v>
      </c>
      <c r="BF45" s="8">
        <v>31697.58960309692</v>
      </c>
      <c r="BG45" s="8">
        <v>34500</v>
      </c>
      <c r="BH45" s="8">
        <v>34447.886838017737</v>
      </c>
      <c r="BI45" s="8">
        <v>33161.472272552382</v>
      </c>
      <c r="BJ45" s="8">
        <v>75200</v>
      </c>
      <c r="BK45" s="8">
        <v>77732.954086760918</v>
      </c>
      <c r="BL45" s="8">
        <v>75618.776873125869</v>
      </c>
      <c r="BM45" s="8">
        <v>1068000</v>
      </c>
      <c r="BN45" s="8">
        <v>1101072.6026999098</v>
      </c>
      <c r="BO45" s="8">
        <v>1069043.2890045799</v>
      </c>
      <c r="BP45" s="8">
        <v>46950</v>
      </c>
      <c r="BQ45" s="8">
        <v>48269.355728604962</v>
      </c>
      <c r="BR45" s="8">
        <v>46065.228399068357</v>
      </c>
      <c r="BS45" s="8">
        <v>123500</v>
      </c>
      <c r="BT45" s="8">
        <v>124162.77316451426</v>
      </c>
      <c r="BU45" s="8">
        <v>120212.21930792381</v>
      </c>
      <c r="BV45" s="8">
        <v>38900</v>
      </c>
      <c r="BW45" s="8">
        <v>37885.441166969867</v>
      </c>
      <c r="BX45" s="8">
        <v>36537.020474796591</v>
      </c>
      <c r="BY45" s="8">
        <v>26700</v>
      </c>
      <c r="BZ45" s="8">
        <v>28284.153467527172</v>
      </c>
      <c r="CA45" s="8">
        <v>26878.483795347634</v>
      </c>
      <c r="CB45" s="8">
        <v>96500</v>
      </c>
      <c r="CC45" s="8">
        <v>99223.83427904862</v>
      </c>
      <c r="CD45" s="8">
        <v>96353.142112544039</v>
      </c>
      <c r="CE45" s="8">
        <v>17800</v>
      </c>
      <c r="CF45" s="8">
        <v>18466.195673749418</v>
      </c>
      <c r="CG45" s="8">
        <v>17945.121666227591</v>
      </c>
      <c r="CH45" s="8">
        <v>62800</v>
      </c>
      <c r="CI45" s="8">
        <v>63702.222379918639</v>
      </c>
      <c r="CJ45" s="8">
        <v>61687.974293216292</v>
      </c>
      <c r="CK45" s="8">
        <v>325000</v>
      </c>
      <c r="CL45" s="8">
        <v>328023.53725445468</v>
      </c>
      <c r="CM45" s="8">
        <v>323310.7505981155</v>
      </c>
      <c r="CN45" s="8">
        <v>105500</v>
      </c>
      <c r="CO45" s="8">
        <v>108843.21817819861</v>
      </c>
      <c r="CP45" s="8">
        <v>105957.64354596393</v>
      </c>
      <c r="CQ45" s="8">
        <v>87700</v>
      </c>
      <c r="CR45" s="8">
        <v>89344.321163058004</v>
      </c>
      <c r="CS45" s="8">
        <v>87815.958298916245</v>
      </c>
      <c r="CT45" s="8">
        <v>22600</v>
      </c>
      <c r="CU45" s="8">
        <v>23692.711744253258</v>
      </c>
      <c r="CV45" s="8">
        <v>22688.645217045472</v>
      </c>
      <c r="CW45" s="8">
        <v>138000</v>
      </c>
      <c r="CX45" s="8">
        <v>138201.04720816319</v>
      </c>
      <c r="CY45" s="8">
        <v>135755.67079843374</v>
      </c>
      <c r="CZ45" s="8">
        <v>25000</v>
      </c>
      <c r="DA45" s="8">
        <v>25551.387879534115</v>
      </c>
      <c r="DB45" s="8">
        <v>24609.113160796027</v>
      </c>
      <c r="DC45" s="8">
        <v>20540</v>
      </c>
      <c r="DD45" s="8">
        <v>20921.684220812167</v>
      </c>
      <c r="DE45" s="8">
        <v>20383.838796840308</v>
      </c>
      <c r="DF45" s="8">
        <v>57300</v>
      </c>
      <c r="DG45" s="8">
        <v>57973.880911607419</v>
      </c>
      <c r="DH45" s="8">
        <v>56514.898757616131</v>
      </c>
      <c r="DI45" s="8">
        <v>166000</v>
      </c>
      <c r="DJ45" s="8">
        <v>176555.21689635501</v>
      </c>
      <c r="DK45" s="8">
        <v>171311.50513616085</v>
      </c>
      <c r="DL45" s="8">
        <v>25400</v>
      </c>
      <c r="DM45" s="8">
        <v>25681.292240770421</v>
      </c>
      <c r="DN45" s="8">
        <v>24859.002120235324</v>
      </c>
      <c r="DO45" s="8">
        <v>24850</v>
      </c>
      <c r="DP45" s="8">
        <v>26024.969907144419</v>
      </c>
      <c r="DQ45" s="8">
        <v>25120.592165568531</v>
      </c>
      <c r="DR45" s="8">
        <v>4825</v>
      </c>
      <c r="DS45" s="8">
        <v>4928.3834316702714</v>
      </c>
      <c r="DT45" s="8">
        <v>4772.9627887568695</v>
      </c>
      <c r="DU45" s="8">
        <v>186000</v>
      </c>
      <c r="DV45" s="8">
        <v>191463.00224399724</v>
      </c>
      <c r="DW45" s="8">
        <v>186065.1927880249</v>
      </c>
      <c r="DX45" s="8">
        <v>56800</v>
      </c>
      <c r="DY45" s="8">
        <v>58658.73456687529</v>
      </c>
      <c r="DZ45" s="8">
        <v>56340.637417406455</v>
      </c>
      <c r="EA45" s="8">
        <v>12200</v>
      </c>
      <c r="EB45" s="8">
        <v>12668.967969990648</v>
      </c>
      <c r="EC45" s="8">
        <v>12291.626266339896</v>
      </c>
      <c r="ED45" s="8">
        <v>1484000</v>
      </c>
      <c r="EE45" s="8">
        <v>1522749.1814658477</v>
      </c>
      <c r="EF45" s="8">
        <v>1488255.6231292312</v>
      </c>
      <c r="EG45" s="8">
        <v>115500</v>
      </c>
      <c r="EH45" s="8">
        <v>121466.40248746451</v>
      </c>
      <c r="EI45" s="8">
        <v>117186.51377275294</v>
      </c>
      <c r="EJ45" s="8">
        <v>309000</v>
      </c>
      <c r="EK45" s="8">
        <v>322121.95567465259</v>
      </c>
      <c r="EL45" s="8">
        <v>312434.36545104481</v>
      </c>
      <c r="EM45" s="8">
        <v>12400</v>
      </c>
      <c r="EN45" s="8">
        <v>11924.135817357563</v>
      </c>
      <c r="EO45" s="8">
        <v>11592.03328744873</v>
      </c>
      <c r="EP45" s="8">
        <v>63400</v>
      </c>
      <c r="EQ45" s="8">
        <v>64338.73825950826</v>
      </c>
      <c r="ER45" s="8">
        <v>62177.316887260204</v>
      </c>
      <c r="ES45" s="8">
        <v>12850</v>
      </c>
      <c r="ET45" s="8">
        <v>13057.019120026947</v>
      </c>
      <c r="EU45" s="8">
        <v>12529.660325282253</v>
      </c>
      <c r="EV45">
        <v>310000</v>
      </c>
      <c r="EW45">
        <v>325494.10513404082</v>
      </c>
      <c r="EX45">
        <v>311435.17650617415</v>
      </c>
      <c r="EY45">
        <v>31400</v>
      </c>
      <c r="EZ45">
        <v>31752.616596628162</v>
      </c>
      <c r="FA45">
        <v>30884.919379392697</v>
      </c>
      <c r="FB45">
        <v>2630</v>
      </c>
      <c r="FC45">
        <v>2756.902420211919</v>
      </c>
      <c r="FD45">
        <v>2661.9561027473242</v>
      </c>
      <c r="FE45">
        <v>59100</v>
      </c>
      <c r="FF45">
        <v>61309.652806053149</v>
      </c>
      <c r="FG45">
        <v>60056.085631441267</v>
      </c>
      <c r="FH45">
        <v>53000</v>
      </c>
      <c r="FI45">
        <v>56866.317241818339</v>
      </c>
      <c r="FJ45">
        <v>53939.668267044093</v>
      </c>
      <c r="FK45">
        <v>80400</v>
      </c>
      <c r="FL45">
        <v>84335.779444230939</v>
      </c>
      <c r="FM45">
        <v>82209.604920720871</v>
      </c>
      <c r="FN45">
        <v>35950</v>
      </c>
      <c r="FO45">
        <v>37444.975742557552</v>
      </c>
      <c r="FP45">
        <v>36285.081209596734</v>
      </c>
      <c r="FQ45">
        <v>30000</v>
      </c>
      <c r="FR45">
        <v>32087.755927877268</v>
      </c>
      <c r="FS45">
        <v>30834.418731646947</v>
      </c>
      <c r="FT45">
        <v>946000</v>
      </c>
      <c r="FU45">
        <v>974814.22359049961</v>
      </c>
      <c r="FV45">
        <v>946161.53903718002</v>
      </c>
      <c r="FW45">
        <v>18450</v>
      </c>
      <c r="FX45">
        <v>19476.133938070907</v>
      </c>
      <c r="FY45">
        <v>18762.30698345989</v>
      </c>
      <c r="FZ45">
        <v>29050</v>
      </c>
      <c r="GA45">
        <v>30704.341082086081</v>
      </c>
      <c r="GB45">
        <v>29533.425184353437</v>
      </c>
      <c r="GC45">
        <v>20450</v>
      </c>
      <c r="GD45">
        <v>20679.796141356117</v>
      </c>
      <c r="GE45">
        <v>20197.074118310353</v>
      </c>
      <c r="GF45">
        <v>163500</v>
      </c>
      <c r="GG45">
        <v>167716.4683589456</v>
      </c>
      <c r="GH45">
        <v>162163.31112945237</v>
      </c>
      <c r="GI45">
        <v>5830</v>
      </c>
      <c r="GJ45">
        <v>5944.2431307517354</v>
      </c>
      <c r="GK45">
        <v>5580.5109497620078</v>
      </c>
      <c r="GL45">
        <v>10850</v>
      </c>
      <c r="GM45">
        <v>11235.911314374387</v>
      </c>
      <c r="GN45">
        <v>10695.282041737093</v>
      </c>
      <c r="GO45">
        <v>707000</v>
      </c>
      <c r="GP45">
        <v>731227.14609448554</v>
      </c>
      <c r="GQ45">
        <v>704409.81150737451</v>
      </c>
      <c r="GR45">
        <v>62000</v>
      </c>
      <c r="GS45">
        <v>63646.354539543565</v>
      </c>
      <c r="GT45">
        <v>62754.606199063404</v>
      </c>
      <c r="GU45">
        <v>8800</v>
      </c>
      <c r="GV45">
        <v>8829.2253562371843</v>
      </c>
      <c r="GW45">
        <v>8414.6551680021366</v>
      </c>
      <c r="GX45">
        <v>31200</v>
      </c>
      <c r="GY45">
        <v>33744.659826659132</v>
      </c>
      <c r="GZ45">
        <v>32371.442408177387</v>
      </c>
      <c r="HA45">
        <v>6370</v>
      </c>
      <c r="HB45">
        <v>6577.0456105543044</v>
      </c>
      <c r="HC45">
        <v>6345.5125550793782</v>
      </c>
      <c r="HD45">
        <v>36900</v>
      </c>
      <c r="HE45">
        <v>41924.01209476847</v>
      </c>
      <c r="HF45">
        <v>39970.821576383634</v>
      </c>
      <c r="HG45">
        <v>10750</v>
      </c>
      <c r="HH45">
        <v>11224.245238814196</v>
      </c>
      <c r="HI45">
        <v>10839.554894651244</v>
      </c>
      <c r="HJ45">
        <v>4645</v>
      </c>
      <c r="HK45">
        <v>4781.159928696622</v>
      </c>
      <c r="HL45">
        <v>4600.4454618057425</v>
      </c>
    </row>
    <row r="46" spans="1:220" x14ac:dyDescent="0.4">
      <c r="A46" s="11">
        <v>41416</v>
      </c>
      <c r="B46" s="8">
        <v>316500</v>
      </c>
      <c r="C46" s="8">
        <v>327675.41967662284</v>
      </c>
      <c r="D46" s="8">
        <v>318551.52899039688</v>
      </c>
      <c r="E46" s="8">
        <v>128500</v>
      </c>
      <c r="F46" s="8">
        <v>130201.34432256487</v>
      </c>
      <c r="G46" s="8">
        <v>127403.99082098811</v>
      </c>
      <c r="H46" s="8">
        <v>49150</v>
      </c>
      <c r="I46" s="8">
        <v>50390.612316951912</v>
      </c>
      <c r="J46" s="8">
        <v>47913.99181507359</v>
      </c>
      <c r="K46" s="8">
        <v>58100</v>
      </c>
      <c r="L46" s="8">
        <v>59667.311430282251</v>
      </c>
      <c r="M46" s="8">
        <v>57324.923118970008</v>
      </c>
      <c r="N46" s="8">
        <v>275500</v>
      </c>
      <c r="O46" s="8">
        <v>280655.18479761755</v>
      </c>
      <c r="P46" s="8">
        <v>273794.58135777863</v>
      </c>
      <c r="Q46" s="8">
        <v>83000</v>
      </c>
      <c r="R46" s="8">
        <v>84347.855404517089</v>
      </c>
      <c r="S46" s="8">
        <v>82111.526625738872</v>
      </c>
      <c r="T46" s="8">
        <v>17300</v>
      </c>
      <c r="U46" s="8">
        <v>17034.362373156357</v>
      </c>
      <c r="V46" s="8">
        <v>16395.078573455892</v>
      </c>
      <c r="W46" s="8">
        <v>15550</v>
      </c>
      <c r="X46" s="8">
        <v>15423.688210151311</v>
      </c>
      <c r="Y46" s="8">
        <v>14901.1593284511</v>
      </c>
      <c r="Z46" s="8">
        <v>21600</v>
      </c>
      <c r="AA46" s="8">
        <v>21984.956406834357</v>
      </c>
      <c r="AB46" s="8">
        <v>21086.643549679426</v>
      </c>
      <c r="AC46" s="8">
        <v>13900</v>
      </c>
      <c r="AD46" s="8">
        <v>14019.732457525888</v>
      </c>
      <c r="AE46" s="8">
        <v>13564.581261180323</v>
      </c>
      <c r="AF46" s="8">
        <v>40700</v>
      </c>
      <c r="AG46" s="8">
        <v>41363.946182614352</v>
      </c>
      <c r="AH46" s="8">
        <v>39495.262061278772</v>
      </c>
      <c r="AI46" s="8">
        <v>48300</v>
      </c>
      <c r="AJ46" s="8">
        <v>47901.894923982356</v>
      </c>
      <c r="AK46" s="8">
        <v>46773.082443493709</v>
      </c>
      <c r="AL46" s="8">
        <v>11700</v>
      </c>
      <c r="AM46" s="8">
        <v>12321.603406405167</v>
      </c>
      <c r="AN46" s="8">
        <v>11740.917844111773</v>
      </c>
      <c r="AO46" s="8">
        <v>16550</v>
      </c>
      <c r="AP46" s="8">
        <v>16889.862442222613</v>
      </c>
      <c r="AQ46" s="8">
        <v>16235.672551900754</v>
      </c>
      <c r="AR46" s="8">
        <v>26750</v>
      </c>
      <c r="AS46" s="8">
        <v>26901.382516833597</v>
      </c>
      <c r="AT46" s="8">
        <v>26004.392082239792</v>
      </c>
      <c r="AU46" s="8">
        <v>176500</v>
      </c>
      <c r="AV46" s="8">
        <v>178238.77264860802</v>
      </c>
      <c r="AW46" s="8">
        <v>172289.44655918307</v>
      </c>
      <c r="AX46" s="8">
        <v>635000</v>
      </c>
      <c r="AY46" s="8">
        <v>640207.51784379641</v>
      </c>
      <c r="AZ46" s="8">
        <v>623521.95863063307</v>
      </c>
      <c r="BA46" s="8">
        <v>207000</v>
      </c>
      <c r="BB46" s="8">
        <v>207951.83613501149</v>
      </c>
      <c r="BC46" s="8">
        <v>203289.18709086679</v>
      </c>
      <c r="BD46" s="8">
        <v>32250</v>
      </c>
      <c r="BE46" s="8">
        <v>32560.259424476764</v>
      </c>
      <c r="BF46" s="8">
        <v>31255.297655146736</v>
      </c>
      <c r="BG46" s="8">
        <v>33700</v>
      </c>
      <c r="BH46" s="8">
        <v>35112.311955071455</v>
      </c>
      <c r="BI46" s="8">
        <v>33801.085239233624</v>
      </c>
      <c r="BJ46" s="8">
        <v>76900</v>
      </c>
      <c r="BK46" s="8">
        <v>76418.872938350207</v>
      </c>
      <c r="BL46" s="8">
        <v>74340.436041720677</v>
      </c>
      <c r="BM46" s="8">
        <v>1086000</v>
      </c>
      <c r="BN46" s="8">
        <v>1108169.7557559852</v>
      </c>
      <c r="BO46" s="8">
        <v>1075933.9916040555</v>
      </c>
      <c r="BP46" s="8">
        <v>47000</v>
      </c>
      <c r="BQ46" s="8">
        <v>53404.393572073517</v>
      </c>
      <c r="BR46" s="8">
        <v>50965.784611735151</v>
      </c>
      <c r="BS46" s="8">
        <v>122500</v>
      </c>
      <c r="BT46" s="8">
        <v>133791.72292012969</v>
      </c>
      <c r="BU46" s="8">
        <v>129534.79958078325</v>
      </c>
      <c r="BV46" s="8">
        <v>37250</v>
      </c>
      <c r="BW46" s="8">
        <v>38699.088225589359</v>
      </c>
      <c r="BX46" s="8">
        <v>37321.70816284592</v>
      </c>
      <c r="BY46" s="8">
        <v>27400</v>
      </c>
      <c r="BZ46" s="8">
        <v>27716.405861427171</v>
      </c>
      <c r="CA46" s="8">
        <v>26338.952186316932</v>
      </c>
      <c r="CB46" s="8">
        <v>97900</v>
      </c>
      <c r="CC46" s="8">
        <v>94967.040571469421</v>
      </c>
      <c r="CD46" s="8">
        <v>92219.503737950727</v>
      </c>
      <c r="CE46" s="8">
        <v>18250</v>
      </c>
      <c r="CF46" s="8">
        <v>18617.972624492588</v>
      </c>
      <c r="CG46" s="8">
        <v>18092.615816908936</v>
      </c>
      <c r="CH46" s="8">
        <v>62500</v>
      </c>
      <c r="CI46" s="8">
        <v>62886.833933455724</v>
      </c>
      <c r="CJ46" s="8">
        <v>60898.368222263161</v>
      </c>
      <c r="CK46" s="8">
        <v>326000</v>
      </c>
      <c r="CL46" s="8">
        <v>322992.50140699337</v>
      </c>
      <c r="CM46" s="8">
        <v>318351.99675458577</v>
      </c>
      <c r="CN46" s="8">
        <v>107000</v>
      </c>
      <c r="CO46" s="8">
        <v>107317.37867102765</v>
      </c>
      <c r="CP46" s="8">
        <v>104472.2560196187</v>
      </c>
      <c r="CQ46" s="8">
        <v>88900</v>
      </c>
      <c r="CR46" s="8">
        <v>89545.320760725124</v>
      </c>
      <c r="CS46" s="8">
        <v>88013.519509937381</v>
      </c>
      <c r="CT46" s="8">
        <v>23250</v>
      </c>
      <c r="CU46" s="8">
        <v>23692.711744253258</v>
      </c>
      <c r="CV46" s="8">
        <v>22688.645217045472</v>
      </c>
      <c r="CW46" s="8">
        <v>137000</v>
      </c>
      <c r="CX46" s="8">
        <v>138705.43059213448</v>
      </c>
      <c r="CY46" s="8">
        <v>136251.12945098267</v>
      </c>
      <c r="CZ46" s="8">
        <v>25000</v>
      </c>
      <c r="DA46" s="8">
        <v>25909.107309847612</v>
      </c>
      <c r="DB46" s="8">
        <v>24953.640745047189</v>
      </c>
      <c r="DC46" s="8">
        <v>20593</v>
      </c>
      <c r="DD46" s="8">
        <v>20761.162387816101</v>
      </c>
      <c r="DE46" s="8">
        <v>20227.443588279126</v>
      </c>
      <c r="DF46" s="8">
        <v>57100</v>
      </c>
      <c r="DG46" s="8">
        <v>55435.619925985367</v>
      </c>
      <c r="DH46" s="8">
        <v>54040.516150014715</v>
      </c>
      <c r="DI46" s="8">
        <v>173500</v>
      </c>
      <c r="DJ46" s="8">
        <v>181643.26349279165</v>
      </c>
      <c r="DK46" s="8">
        <v>176248.43611991181</v>
      </c>
      <c r="DL46" s="8">
        <v>25200</v>
      </c>
      <c r="DM46" s="8">
        <v>25681.292240770421</v>
      </c>
      <c r="DN46" s="8">
        <v>24859.002120235324</v>
      </c>
      <c r="DO46" s="8">
        <v>25600</v>
      </c>
      <c r="DP46" s="8">
        <v>26228.28998454399</v>
      </c>
      <c r="DQ46" s="8">
        <v>25316.846791862037</v>
      </c>
      <c r="DR46" s="8">
        <v>4840</v>
      </c>
      <c r="DS46" s="8">
        <v>4928.3834316702714</v>
      </c>
      <c r="DT46" s="8">
        <v>4772.9627887568695</v>
      </c>
      <c r="DU46" s="8">
        <v>188500</v>
      </c>
      <c r="DV46" s="8">
        <v>183845.11090802908</v>
      </c>
      <c r="DW46" s="8">
        <v>178662.0684065384</v>
      </c>
      <c r="DX46" s="8">
        <v>57400</v>
      </c>
      <c r="DY46" s="8">
        <v>59169.699153694761</v>
      </c>
      <c r="DZ46" s="8">
        <v>56831.409520345536</v>
      </c>
      <c r="EA46" s="8">
        <v>12500</v>
      </c>
      <c r="EB46" s="8">
        <v>12567.616226230721</v>
      </c>
      <c r="EC46" s="8">
        <v>12193.293256209176</v>
      </c>
      <c r="ED46" s="8">
        <v>1509000</v>
      </c>
      <c r="EE46" s="8">
        <v>1505594.2867773646</v>
      </c>
      <c r="EF46" s="8">
        <v>1471489.3238626982</v>
      </c>
      <c r="EG46" s="8">
        <v>119500</v>
      </c>
      <c r="EH46" s="8">
        <v>120958.17486199405</v>
      </c>
      <c r="EI46" s="8">
        <v>116696.19363144445</v>
      </c>
      <c r="EJ46" s="8">
        <v>317000</v>
      </c>
      <c r="EK46" s="8">
        <v>324154.27085241099</v>
      </c>
      <c r="EL46" s="8">
        <v>314405.56018575199</v>
      </c>
      <c r="EM46" s="8">
        <v>11750</v>
      </c>
      <c r="EN46" s="8">
        <v>11924.135817357563</v>
      </c>
      <c r="EO46" s="8">
        <v>11592.03328744873</v>
      </c>
      <c r="EP46" s="8">
        <v>63000</v>
      </c>
      <c r="EQ46" s="8">
        <v>64645.113203601068</v>
      </c>
      <c r="ER46" s="8">
        <v>62473.399348628016</v>
      </c>
      <c r="ES46" s="8">
        <v>12800</v>
      </c>
      <c r="ET46" s="8">
        <v>13261.03504377737</v>
      </c>
      <c r="EU46" s="8">
        <v>12725.436267864789</v>
      </c>
      <c r="EV46">
        <v>319500</v>
      </c>
      <c r="EW46">
        <v>328550.38781135582</v>
      </c>
      <c r="EX46">
        <v>314359.45046397863</v>
      </c>
      <c r="EY46">
        <v>31300</v>
      </c>
      <c r="EZ46">
        <v>31042.494180729165</v>
      </c>
      <c r="FA46">
        <v>30194.20233256925</v>
      </c>
      <c r="FB46">
        <v>2710</v>
      </c>
      <c r="FC46">
        <v>2741.6428127199692</v>
      </c>
      <c r="FD46">
        <v>2647.2220283778724</v>
      </c>
      <c r="FE46">
        <v>60900</v>
      </c>
      <c r="FF46">
        <v>61208.98014134699</v>
      </c>
      <c r="FG46">
        <v>59957.47136932068</v>
      </c>
      <c r="FH46">
        <v>55300</v>
      </c>
      <c r="FI46">
        <v>57380.479242196474</v>
      </c>
      <c r="FJ46">
        <v>54427.368703455009</v>
      </c>
      <c r="FK46">
        <v>83400</v>
      </c>
      <c r="FL46">
        <v>84234.657406528044</v>
      </c>
      <c r="FM46">
        <v>82111.032252950245</v>
      </c>
      <c r="FN46">
        <v>37000</v>
      </c>
      <c r="FO46">
        <v>37242.570468273516</v>
      </c>
      <c r="FP46">
        <v>36088.945635490862</v>
      </c>
      <c r="FQ46">
        <v>31300</v>
      </c>
      <c r="FR46">
        <v>29729.86970953488</v>
      </c>
      <c r="FS46">
        <v>28568.630773730427</v>
      </c>
      <c r="FT46">
        <v>961000</v>
      </c>
      <c r="FU46">
        <v>984957.97201495874</v>
      </c>
      <c r="FV46">
        <v>956007.13257554849</v>
      </c>
      <c r="FW46">
        <v>19200</v>
      </c>
      <c r="FX46">
        <v>19729.72943205621</v>
      </c>
      <c r="FY46">
        <v>19006.607855640366</v>
      </c>
      <c r="FZ46">
        <v>30200</v>
      </c>
      <c r="GA46">
        <v>30297.661067753816</v>
      </c>
      <c r="GB46">
        <v>29142.253989858695</v>
      </c>
      <c r="GC46">
        <v>20500</v>
      </c>
      <c r="GD46">
        <v>20629.357614182063</v>
      </c>
      <c r="GE46">
        <v>20147.812961924214</v>
      </c>
      <c r="GF46">
        <v>165000</v>
      </c>
      <c r="GG46">
        <v>169241.16352584501</v>
      </c>
      <c r="GH46">
        <v>163637.52304881095</v>
      </c>
      <c r="GI46">
        <v>5720</v>
      </c>
      <c r="GJ46">
        <v>5933.851097306373</v>
      </c>
      <c r="GK46">
        <v>5570.7548117379556</v>
      </c>
      <c r="GL46">
        <v>10950</v>
      </c>
      <c r="GM46">
        <v>11030.689189910941</v>
      </c>
      <c r="GN46">
        <v>10499.934424536428</v>
      </c>
      <c r="GO46">
        <v>720000</v>
      </c>
      <c r="GP46">
        <v>763726.13036535215</v>
      </c>
      <c r="GQ46">
        <v>735716.91424103628</v>
      </c>
      <c r="GR46">
        <v>63300</v>
      </c>
      <c r="GS46">
        <v>63947.996030252398</v>
      </c>
      <c r="GT46">
        <v>63052.021394319723</v>
      </c>
      <c r="GU46">
        <v>8610</v>
      </c>
      <c r="GV46">
        <v>8839.4799733756718</v>
      </c>
      <c r="GW46">
        <v>8424.4282866641606</v>
      </c>
      <c r="GX46">
        <v>32950</v>
      </c>
      <c r="GY46">
        <v>34256.718397625111</v>
      </c>
      <c r="GZ46">
        <v>32862.663082049563</v>
      </c>
      <c r="HA46">
        <v>6450</v>
      </c>
      <c r="HB46">
        <v>6546.4547007377732</v>
      </c>
      <c r="HC46">
        <v>6315.9985431952882</v>
      </c>
      <c r="HD46">
        <v>40800</v>
      </c>
      <c r="HE46">
        <v>41821.257163163675</v>
      </c>
      <c r="HF46">
        <v>39872.85387644155</v>
      </c>
      <c r="HG46">
        <v>11050</v>
      </c>
      <c r="HH46">
        <v>11224.245238814196</v>
      </c>
      <c r="HI46">
        <v>10839.554894651244</v>
      </c>
      <c r="HJ46">
        <v>4700</v>
      </c>
      <c r="HK46">
        <v>4770.987247997271</v>
      </c>
      <c r="HL46">
        <v>4590.6572799721162</v>
      </c>
    </row>
    <row r="47" spans="1:220" x14ac:dyDescent="0.4">
      <c r="A47" s="11">
        <v>41415</v>
      </c>
      <c r="B47" s="8">
        <v>321900</v>
      </c>
      <c r="C47" s="8">
        <v>337345.86542663199</v>
      </c>
      <c r="D47" s="8">
        <v>327952.70800688892</v>
      </c>
      <c r="E47" s="8">
        <v>128500</v>
      </c>
      <c r="F47" s="8">
        <v>130201.34432256487</v>
      </c>
      <c r="G47" s="8">
        <v>127403.99082098811</v>
      </c>
      <c r="H47" s="8">
        <v>49550</v>
      </c>
      <c r="I47" s="8">
        <v>50644.853549630767</v>
      </c>
      <c r="J47" s="8">
        <v>48155.737485179896</v>
      </c>
      <c r="K47" s="8">
        <v>58400</v>
      </c>
      <c r="L47" s="8">
        <v>57419.570246264746</v>
      </c>
      <c r="M47" s="8">
        <v>55165.422590515642</v>
      </c>
      <c r="N47" s="8">
        <v>277000</v>
      </c>
      <c r="O47" s="8">
        <v>281668.38041060499</v>
      </c>
      <c r="P47" s="8">
        <v>274783.00944932265</v>
      </c>
      <c r="Q47" s="8">
        <v>83000</v>
      </c>
      <c r="R47" s="8">
        <v>85059.222859735863</v>
      </c>
      <c r="S47" s="8">
        <v>82804.03347679929</v>
      </c>
      <c r="T47" s="8">
        <v>16700</v>
      </c>
      <c r="U47" s="8">
        <v>17340.368882853789</v>
      </c>
      <c r="V47" s="8">
        <v>16689.600943038946</v>
      </c>
      <c r="W47" s="8">
        <v>15150</v>
      </c>
      <c r="X47" s="8">
        <v>15830.914301508416</v>
      </c>
      <c r="Y47" s="8">
        <v>15294.58927771711</v>
      </c>
      <c r="Z47" s="8">
        <v>21500</v>
      </c>
      <c r="AA47" s="8">
        <v>22342.851046015403</v>
      </c>
      <c r="AB47" s="8">
        <v>21429.914491185857</v>
      </c>
      <c r="AC47" s="8">
        <v>13850</v>
      </c>
      <c r="AD47" s="8">
        <v>14070.345210080142</v>
      </c>
      <c r="AE47" s="8">
        <v>13613.550868621418</v>
      </c>
      <c r="AF47" s="8">
        <v>40600</v>
      </c>
      <c r="AG47" s="8">
        <v>39581.01746784649</v>
      </c>
      <c r="AH47" s="8">
        <v>37792.880075878827</v>
      </c>
      <c r="AI47" s="8">
        <v>47250</v>
      </c>
      <c r="AJ47" s="8">
        <v>48053.964431677588</v>
      </c>
      <c r="AK47" s="8">
        <v>46921.568419504852</v>
      </c>
      <c r="AL47" s="8">
        <v>11950</v>
      </c>
      <c r="AM47" s="8">
        <v>12012.274450595834</v>
      </c>
      <c r="AN47" s="8">
        <v>11446.166768527379</v>
      </c>
      <c r="AO47" s="8">
        <v>16500</v>
      </c>
      <c r="AP47" s="8">
        <v>16429.229830162014</v>
      </c>
      <c r="AQ47" s="8">
        <v>15792.881482303477</v>
      </c>
      <c r="AR47" s="8">
        <v>26450</v>
      </c>
      <c r="AS47" s="8">
        <v>26341.996490963706</v>
      </c>
      <c r="AT47" s="8">
        <v>25463.658031380357</v>
      </c>
      <c r="AU47" s="8">
        <v>176000</v>
      </c>
      <c r="AV47" s="8">
        <v>179251.49294774787</v>
      </c>
      <c r="AW47" s="8">
        <v>173268.36386917843</v>
      </c>
      <c r="AX47" s="8">
        <v>632000</v>
      </c>
      <c r="AY47" s="8">
        <v>635142.58494946256</v>
      </c>
      <c r="AZ47" s="8">
        <v>618589.03174273251</v>
      </c>
      <c r="BA47" s="8">
        <v>206000</v>
      </c>
      <c r="BB47" s="8">
        <v>206942.36120231729</v>
      </c>
      <c r="BC47" s="8">
        <v>202302.34637683348</v>
      </c>
      <c r="BD47" s="8">
        <v>31800</v>
      </c>
      <c r="BE47" s="8">
        <v>32765.040930291074</v>
      </c>
      <c r="BF47" s="8">
        <v>31451.871854235702</v>
      </c>
      <c r="BG47" s="8">
        <v>34350</v>
      </c>
      <c r="BH47" s="8">
        <v>35214.531203849001</v>
      </c>
      <c r="BI47" s="8">
        <v>33899.487234107706</v>
      </c>
      <c r="BJ47" s="8">
        <v>75600</v>
      </c>
      <c r="BK47" s="8">
        <v>76418.872938350207</v>
      </c>
      <c r="BL47" s="8">
        <v>74340.436041720677</v>
      </c>
      <c r="BM47" s="8">
        <v>1093000</v>
      </c>
      <c r="BN47" s="8">
        <v>1079781.1435316785</v>
      </c>
      <c r="BO47" s="8">
        <v>1048371.1812061475</v>
      </c>
      <c r="BP47" s="8">
        <v>52000</v>
      </c>
      <c r="BQ47" s="8">
        <v>49347.713675733365</v>
      </c>
      <c r="BR47" s="8">
        <v>47094.345203728393</v>
      </c>
      <c r="BS47" s="8">
        <v>132000</v>
      </c>
      <c r="BT47" s="8">
        <v>138859.59121255903</v>
      </c>
      <c r="BU47" s="8">
        <v>134441.42077702523</v>
      </c>
      <c r="BV47" s="8">
        <v>38050</v>
      </c>
      <c r="BW47" s="8">
        <v>39512.735284208793</v>
      </c>
      <c r="BX47" s="8">
        <v>38106.395850895191</v>
      </c>
      <c r="BY47" s="8">
        <v>26850</v>
      </c>
      <c r="BZ47" s="8">
        <v>28180.92663005444</v>
      </c>
      <c r="CA47" s="8">
        <v>26780.38713916023</v>
      </c>
      <c r="CB47" s="8">
        <v>93700</v>
      </c>
      <c r="CC47" s="8">
        <v>95676.506189399268</v>
      </c>
      <c r="CD47" s="8">
        <v>92908.443467049598</v>
      </c>
      <c r="CE47" s="8">
        <v>18400</v>
      </c>
      <c r="CF47" s="8">
        <v>18567.380307578191</v>
      </c>
      <c r="CG47" s="8">
        <v>18043.451100015147</v>
      </c>
      <c r="CH47" s="8">
        <v>61700</v>
      </c>
      <c r="CI47" s="8">
        <v>62173.369042800688</v>
      </c>
      <c r="CJ47" s="8">
        <v>60207.462910179194</v>
      </c>
      <c r="CK47" s="8">
        <v>321000</v>
      </c>
      <c r="CL47" s="8">
        <v>325004.91574597807</v>
      </c>
      <c r="CM47" s="8">
        <v>320335.49829199782</v>
      </c>
      <c r="CN47" s="8">
        <v>105500</v>
      </c>
      <c r="CO47" s="8">
        <v>108334.60500914158</v>
      </c>
      <c r="CP47" s="8">
        <v>105462.51437051548</v>
      </c>
      <c r="CQ47" s="8">
        <v>89100</v>
      </c>
      <c r="CR47" s="8">
        <v>89444.820961891499</v>
      </c>
      <c r="CS47" s="8">
        <v>87914.738904426747</v>
      </c>
      <c r="CT47" s="8">
        <v>23250</v>
      </c>
      <c r="CU47" s="8">
        <v>23386.999334649983</v>
      </c>
      <c r="CV47" s="8">
        <v>22395.888504567458</v>
      </c>
      <c r="CW47" s="8">
        <v>137500</v>
      </c>
      <c r="CX47" s="8">
        <v>139714.19736007735</v>
      </c>
      <c r="CY47" s="8">
        <v>137242.04675608082</v>
      </c>
      <c r="CZ47" s="8">
        <v>25350</v>
      </c>
      <c r="DA47" s="8">
        <v>25755.798982570377</v>
      </c>
      <c r="DB47" s="8">
        <v>24805.986066082387</v>
      </c>
      <c r="DC47" s="8">
        <v>20435</v>
      </c>
      <c r="DD47" s="8">
        <v>20466.533707000501</v>
      </c>
      <c r="DE47" s="8">
        <v>19940.389091552868</v>
      </c>
      <c r="DF47" s="8">
        <v>54600</v>
      </c>
      <c r="DG47" s="8">
        <v>55740.211244260048</v>
      </c>
      <c r="DH47" s="8">
        <v>54337.442062926915</v>
      </c>
      <c r="DI47" s="8">
        <v>178500</v>
      </c>
      <c r="DJ47" s="8">
        <v>180625.65417350424</v>
      </c>
      <c r="DK47" s="8">
        <v>175261.04992316154</v>
      </c>
      <c r="DL47" s="8">
        <v>25200</v>
      </c>
      <c r="DM47" s="8">
        <v>25732.247185692613</v>
      </c>
      <c r="DN47" s="8">
        <v>24908.325537140579</v>
      </c>
      <c r="DO47" s="8">
        <v>25800</v>
      </c>
      <c r="DP47" s="8">
        <v>26177.459965194103</v>
      </c>
      <c r="DQ47" s="8">
        <v>25267.783135288664</v>
      </c>
      <c r="DR47" s="8">
        <v>4840</v>
      </c>
      <c r="DS47" s="8">
        <v>4948.7486524622991</v>
      </c>
      <c r="DT47" s="8">
        <v>4792.6857754872708</v>
      </c>
      <c r="DU47" s="8">
        <v>181000</v>
      </c>
      <c r="DV47" s="8">
        <v>181305.8137960399</v>
      </c>
      <c r="DW47" s="8">
        <v>176194.36027937644</v>
      </c>
      <c r="DX47" s="8">
        <v>57900</v>
      </c>
      <c r="DY47" s="8">
        <v>60396.01416206154</v>
      </c>
      <c r="DZ47" s="8">
        <v>58009.262567399375</v>
      </c>
      <c r="EA47" s="8">
        <v>12400</v>
      </c>
      <c r="EB47" s="8">
        <v>12466.264482470788</v>
      </c>
      <c r="EC47" s="8">
        <v>12094.960246078448</v>
      </c>
      <c r="ED47" s="8">
        <v>1492000</v>
      </c>
      <c r="EE47" s="8">
        <v>1510639.8440386839</v>
      </c>
      <c r="EF47" s="8">
        <v>1476420.5883528558</v>
      </c>
      <c r="EG47" s="8">
        <v>119000</v>
      </c>
      <c r="EH47" s="8">
        <v>118925.26436011169</v>
      </c>
      <c r="EI47" s="8">
        <v>114734.91306620998</v>
      </c>
      <c r="EJ47" s="8">
        <v>319000</v>
      </c>
      <c r="EK47" s="8">
        <v>318057.32531913673</v>
      </c>
      <c r="EL47" s="8">
        <v>308491.97598163126</v>
      </c>
      <c r="EM47" s="8">
        <v>11750</v>
      </c>
      <c r="EN47" s="8">
        <v>12127.099831270036</v>
      </c>
      <c r="EO47" s="8">
        <v>11789.344492341479</v>
      </c>
      <c r="EP47" s="8">
        <v>63300</v>
      </c>
      <c r="EQ47" s="8">
        <v>57189.989564007323</v>
      </c>
      <c r="ER47" s="8">
        <v>55268.726122009044</v>
      </c>
      <c r="ES47" s="8">
        <v>13000</v>
      </c>
      <c r="ET47" s="8">
        <v>13159.027081902159</v>
      </c>
      <c r="EU47" s="8">
        <v>12627.548296573521</v>
      </c>
      <c r="EV47">
        <v>322500</v>
      </c>
      <c r="EW47">
        <v>326512.86602647946</v>
      </c>
      <c r="EX47">
        <v>312409.93449210929</v>
      </c>
      <c r="EY47">
        <v>30600</v>
      </c>
      <c r="EZ47">
        <v>31143.940240143307</v>
      </c>
      <c r="FA47">
        <v>30292.876196401168</v>
      </c>
      <c r="FB47">
        <v>2695</v>
      </c>
      <c r="FC47">
        <v>2685.6909185828281</v>
      </c>
      <c r="FD47">
        <v>2593.1970890232228</v>
      </c>
      <c r="FE47">
        <v>60800</v>
      </c>
      <c r="FF47">
        <v>61309.652806053149</v>
      </c>
      <c r="FG47">
        <v>60056.085631441267</v>
      </c>
      <c r="FH47">
        <v>55800</v>
      </c>
      <c r="FI47">
        <v>54089.842439776578</v>
      </c>
      <c r="FJ47">
        <v>51306.08591042531</v>
      </c>
      <c r="FK47">
        <v>83300</v>
      </c>
      <c r="FL47">
        <v>85751.487972071729</v>
      </c>
      <c r="FM47">
        <v>83589.622269509942</v>
      </c>
      <c r="FN47">
        <v>36800</v>
      </c>
      <c r="FO47">
        <v>37141.367831131436</v>
      </c>
      <c r="FP47">
        <v>35990.877848437864</v>
      </c>
      <c r="FQ47">
        <v>29000</v>
      </c>
      <c r="FR47">
        <v>26500.590758326754</v>
      </c>
      <c r="FS47">
        <v>25465.486396583823</v>
      </c>
      <c r="FT47">
        <v>971000</v>
      </c>
      <c r="FU47">
        <v>990029.84622718743</v>
      </c>
      <c r="FV47">
        <v>960929.92934473185</v>
      </c>
      <c r="FW47">
        <v>19450</v>
      </c>
      <c r="FX47">
        <v>18968.942950100296</v>
      </c>
      <c r="FY47">
        <v>18273.705239098945</v>
      </c>
      <c r="FZ47">
        <v>29800</v>
      </c>
      <c r="GA47">
        <v>29941.816055213072</v>
      </c>
      <c r="GB47">
        <v>28799.979194675776</v>
      </c>
      <c r="GC47">
        <v>20450</v>
      </c>
      <c r="GD47">
        <v>20679.796141356117</v>
      </c>
      <c r="GE47">
        <v>20197.074118310353</v>
      </c>
      <c r="GF47">
        <v>166500</v>
      </c>
      <c r="GG47">
        <v>166700.00491434574</v>
      </c>
      <c r="GH47">
        <v>161180.50318321309</v>
      </c>
      <c r="GI47">
        <v>5710</v>
      </c>
      <c r="GJ47">
        <v>5663.6582277267462</v>
      </c>
      <c r="GK47">
        <v>5317.0952231124074</v>
      </c>
      <c r="GL47">
        <v>10750</v>
      </c>
      <c r="GM47">
        <v>11133.300252142659</v>
      </c>
      <c r="GN47">
        <v>10597.608233136754</v>
      </c>
      <c r="GO47">
        <v>752000</v>
      </c>
      <c r="GP47">
        <v>724117.99328523409</v>
      </c>
      <c r="GQ47">
        <v>697561.38278438663</v>
      </c>
      <c r="GR47">
        <v>63600</v>
      </c>
      <c r="GS47">
        <v>63143.618721695741</v>
      </c>
      <c r="GT47">
        <v>62258.914206969763</v>
      </c>
      <c r="GU47">
        <v>8620</v>
      </c>
      <c r="GV47">
        <v>8419.0406706977155</v>
      </c>
      <c r="GW47">
        <v>8023.7304215212071</v>
      </c>
      <c r="GX47">
        <v>33450</v>
      </c>
      <c r="GY47">
        <v>31952.454828278125</v>
      </c>
      <c r="GZ47">
        <v>30652.170049624699</v>
      </c>
      <c r="HA47">
        <v>6420</v>
      </c>
      <c r="HB47">
        <v>6515.8637909212512</v>
      </c>
      <c r="HC47">
        <v>6286.4845313112082</v>
      </c>
      <c r="HD47">
        <v>40700</v>
      </c>
      <c r="HE47">
        <v>37043.152843539348</v>
      </c>
      <c r="HF47">
        <v>35317.355829133136</v>
      </c>
      <c r="HG47">
        <v>11050</v>
      </c>
      <c r="HH47">
        <v>11528.975878781988</v>
      </c>
      <c r="HI47">
        <v>11133.841452877057</v>
      </c>
      <c r="HJ47">
        <v>4690</v>
      </c>
      <c r="HK47">
        <v>4562.4472936605034</v>
      </c>
      <c r="HL47">
        <v>4389.9995523827165</v>
      </c>
    </row>
    <row r="48" spans="1:220" x14ac:dyDescent="0.4">
      <c r="A48" s="11">
        <v>41414</v>
      </c>
      <c r="B48" s="8">
        <v>331400</v>
      </c>
      <c r="C48" s="8">
        <v>348746.81199506344</v>
      </c>
      <c r="D48" s="8">
        <v>339036.20326843712</v>
      </c>
      <c r="E48" s="8">
        <v>128500</v>
      </c>
      <c r="F48" s="8">
        <v>128681.48427210675</v>
      </c>
      <c r="G48" s="8">
        <v>125916.78470245503</v>
      </c>
      <c r="H48" s="8">
        <v>49800</v>
      </c>
      <c r="I48" s="8">
        <v>50034.67459120143</v>
      </c>
      <c r="J48" s="8">
        <v>47575.547876924669</v>
      </c>
      <c r="K48" s="8">
        <v>56200</v>
      </c>
      <c r="L48" s="8">
        <v>58339.100730635517</v>
      </c>
      <c r="M48" s="8">
        <v>56048.854624883308</v>
      </c>
      <c r="N48" s="8">
        <v>278000</v>
      </c>
      <c r="O48" s="8">
        <v>278628.79357164179</v>
      </c>
      <c r="P48" s="8">
        <v>271817.72517468984</v>
      </c>
      <c r="Q48" s="8">
        <v>83700</v>
      </c>
      <c r="R48" s="8">
        <v>84855.975015387594</v>
      </c>
      <c r="S48" s="8">
        <v>82606.174376496259</v>
      </c>
      <c r="T48" s="8">
        <v>17000</v>
      </c>
      <c r="U48" s="8">
        <v>17136.364543055504</v>
      </c>
      <c r="V48" s="8">
        <v>16493.252696650245</v>
      </c>
      <c r="W48" s="8">
        <v>15550</v>
      </c>
      <c r="X48" s="8">
        <v>15780.011040088795</v>
      </c>
      <c r="Y48" s="8">
        <v>15245.410534058876</v>
      </c>
      <c r="Z48" s="8">
        <v>21850</v>
      </c>
      <c r="AA48" s="8">
        <v>21575.933962056057</v>
      </c>
      <c r="AB48" s="8">
        <v>20694.333902243543</v>
      </c>
      <c r="AC48" s="8">
        <v>13900</v>
      </c>
      <c r="AD48" s="8">
        <v>14171.570715188631</v>
      </c>
      <c r="AE48" s="8">
        <v>13711.490083503584</v>
      </c>
      <c r="AF48" s="8">
        <v>38850</v>
      </c>
      <c r="AG48" s="8">
        <v>40141.366492487825</v>
      </c>
      <c r="AH48" s="8">
        <v>38327.914414147388</v>
      </c>
      <c r="AI48" s="8">
        <v>47400</v>
      </c>
      <c r="AJ48" s="8">
        <v>46837.4083701161</v>
      </c>
      <c r="AK48" s="8">
        <v>45733.680611416094</v>
      </c>
      <c r="AL48" s="8">
        <v>11650</v>
      </c>
      <c r="AM48" s="8">
        <v>12270.048580436935</v>
      </c>
      <c r="AN48" s="8">
        <v>11691.792664847697</v>
      </c>
      <c r="AO48" s="8">
        <v>16050</v>
      </c>
      <c r="AP48" s="8">
        <v>16173.322823461662</v>
      </c>
      <c r="AQ48" s="8">
        <v>15546.886443638305</v>
      </c>
      <c r="AR48" s="8">
        <v>25900</v>
      </c>
      <c r="AS48" s="8">
        <v>27003.089066991761</v>
      </c>
      <c r="AT48" s="8">
        <v>26102.707364214235</v>
      </c>
      <c r="AU48" s="8">
        <v>177000</v>
      </c>
      <c r="AV48" s="8">
        <v>180264.21324688755</v>
      </c>
      <c r="AW48" s="8">
        <v>174247.28117917367</v>
      </c>
      <c r="AX48" s="8">
        <v>627000</v>
      </c>
      <c r="AY48" s="8">
        <v>648311.41047473077</v>
      </c>
      <c r="AZ48" s="8">
        <v>631414.64165127429</v>
      </c>
      <c r="BA48" s="8">
        <v>205000</v>
      </c>
      <c r="BB48" s="8">
        <v>206942.36120231729</v>
      </c>
      <c r="BC48" s="8">
        <v>202302.34637683348</v>
      </c>
      <c r="BD48" s="8">
        <v>32000</v>
      </c>
      <c r="BE48" s="8">
        <v>32765.040930291074</v>
      </c>
      <c r="BF48" s="8">
        <v>31451.871854235702</v>
      </c>
      <c r="BG48" s="8">
        <v>34450</v>
      </c>
      <c r="BH48" s="8">
        <v>35572.298574570254</v>
      </c>
      <c r="BI48" s="8">
        <v>34243.89421616686</v>
      </c>
      <c r="BJ48" s="8">
        <v>75600</v>
      </c>
      <c r="BK48" s="8">
        <v>76317.789773087818</v>
      </c>
      <c r="BL48" s="8">
        <v>74242.102131612555</v>
      </c>
      <c r="BM48" s="8">
        <v>1065000</v>
      </c>
      <c r="BN48" s="8">
        <v>1116280.7878200745</v>
      </c>
      <c r="BO48" s="8">
        <v>1083809.0802891734</v>
      </c>
      <c r="BP48" s="8">
        <v>48050</v>
      </c>
      <c r="BQ48" s="8">
        <v>44674.829238176892</v>
      </c>
      <c r="BR48" s="8">
        <v>42634.839050201532</v>
      </c>
      <c r="BS48" s="8">
        <v>137000</v>
      </c>
      <c r="BT48" s="8">
        <v>138352.80438331608</v>
      </c>
      <c r="BU48" s="8">
        <v>133950.75865740099</v>
      </c>
      <c r="BV48" s="8">
        <v>38850</v>
      </c>
      <c r="BW48" s="8">
        <v>39411.029401881373</v>
      </c>
      <c r="BX48" s="8">
        <v>38008.309889889046</v>
      </c>
      <c r="BY48" s="8">
        <v>27300</v>
      </c>
      <c r="BZ48" s="8">
        <v>27148.658255327173</v>
      </c>
      <c r="CA48" s="8">
        <v>25799.420577286233</v>
      </c>
      <c r="CB48" s="8">
        <v>94400</v>
      </c>
      <c r="CC48" s="8">
        <v>96385.971807329086</v>
      </c>
      <c r="CD48" s="8">
        <v>93597.383196148425</v>
      </c>
      <c r="CE48" s="8">
        <v>18350</v>
      </c>
      <c r="CF48" s="8">
        <v>18466.195673749418</v>
      </c>
      <c r="CG48" s="8">
        <v>17945.121666227591</v>
      </c>
      <c r="CH48" s="8">
        <v>61000</v>
      </c>
      <c r="CI48" s="8">
        <v>59829.127259219684</v>
      </c>
      <c r="CJ48" s="8">
        <v>57937.345456188828</v>
      </c>
      <c r="CK48" s="8">
        <v>323000</v>
      </c>
      <c r="CL48" s="8">
        <v>323998.70857648569</v>
      </c>
      <c r="CM48" s="8">
        <v>319343.74752329173</v>
      </c>
      <c r="CN48" s="8">
        <v>106500</v>
      </c>
      <c r="CO48" s="8">
        <v>110369.05768536967</v>
      </c>
      <c r="CP48" s="8">
        <v>107443.03107230928</v>
      </c>
      <c r="CQ48" s="8">
        <v>89000</v>
      </c>
      <c r="CR48" s="8">
        <v>88640.82257122283</v>
      </c>
      <c r="CS48" s="8">
        <v>87124.494060342025</v>
      </c>
      <c r="CT48" s="8">
        <v>22950</v>
      </c>
      <c r="CU48" s="8">
        <v>23896.520017322087</v>
      </c>
      <c r="CV48" s="8">
        <v>22883.816358697459</v>
      </c>
      <c r="CW48" s="8">
        <v>138500</v>
      </c>
      <c r="CX48" s="8">
        <v>140218.58074404861</v>
      </c>
      <c r="CY48" s="8">
        <v>137737.50540862969</v>
      </c>
      <c r="CZ48" s="8">
        <v>25200</v>
      </c>
      <c r="DA48" s="8">
        <v>24529.332364352736</v>
      </c>
      <c r="DB48" s="8">
        <v>23624.748634364172</v>
      </c>
      <c r="DC48" s="8">
        <v>20145</v>
      </c>
      <c r="DD48" s="8">
        <v>20761.162387816101</v>
      </c>
      <c r="DE48" s="8">
        <v>20227.443588279126</v>
      </c>
      <c r="DF48" s="8">
        <v>54900</v>
      </c>
      <c r="DG48" s="8">
        <v>55435.619925985367</v>
      </c>
      <c r="DH48" s="8">
        <v>54040.516150014715</v>
      </c>
      <c r="DI48" s="8">
        <v>177500</v>
      </c>
      <c r="DJ48" s="8">
        <v>177572.82621564216</v>
      </c>
      <c r="DK48" s="8">
        <v>172298.89133291086</v>
      </c>
      <c r="DL48" s="8">
        <v>25250</v>
      </c>
      <c r="DM48" s="8">
        <v>26241.796634914223</v>
      </c>
      <c r="DN48" s="8">
        <v>25401.559706192842</v>
      </c>
      <c r="DO48" s="8">
        <v>25750</v>
      </c>
      <c r="DP48" s="8">
        <v>26024.969907144419</v>
      </c>
      <c r="DQ48" s="8">
        <v>25120.592165568531</v>
      </c>
      <c r="DR48" s="8">
        <v>4860</v>
      </c>
      <c r="DS48" s="8">
        <v>4948.7486524622991</v>
      </c>
      <c r="DT48" s="8">
        <v>4792.6857754872708</v>
      </c>
      <c r="DU48" s="8">
        <v>178500</v>
      </c>
      <c r="DV48" s="8">
        <v>184860.82975282488</v>
      </c>
      <c r="DW48" s="8">
        <v>179649.15165740333</v>
      </c>
      <c r="DX48" s="8">
        <v>59100</v>
      </c>
      <c r="DY48" s="8">
        <v>58760.927484239226</v>
      </c>
      <c r="DZ48" s="8">
        <v>56438.791837994315</v>
      </c>
      <c r="EA48" s="8">
        <v>12300</v>
      </c>
      <c r="EB48" s="8">
        <v>12212.885123070988</v>
      </c>
      <c r="EC48" s="8">
        <v>11849.127720751663</v>
      </c>
      <c r="ED48" s="8">
        <v>1497000</v>
      </c>
      <c r="EE48" s="8">
        <v>1521740.0700135839</v>
      </c>
      <c r="EF48" s="8">
        <v>1487269.3702311998</v>
      </c>
      <c r="EG48" s="8">
        <v>117000</v>
      </c>
      <c r="EH48" s="8">
        <v>120449.94723652338</v>
      </c>
      <c r="EI48" s="8">
        <v>116205.87349013575</v>
      </c>
      <c r="EJ48" s="8">
        <v>313000</v>
      </c>
      <c r="EK48" s="8">
        <v>320089.6404968946</v>
      </c>
      <c r="EL48" s="8">
        <v>310463.17071633798</v>
      </c>
      <c r="EM48" s="8">
        <v>11950</v>
      </c>
      <c r="EN48" s="8">
        <v>12380.804848660611</v>
      </c>
      <c r="EO48" s="8">
        <v>12035.983498457397</v>
      </c>
      <c r="EP48" s="8">
        <v>56000</v>
      </c>
      <c r="EQ48" s="8">
        <v>54841.114992628427</v>
      </c>
      <c r="ER48" s="8">
        <v>52998.760584855081</v>
      </c>
      <c r="ES48" s="8">
        <v>12900</v>
      </c>
      <c r="ET48" s="8">
        <v>13057.019120026947</v>
      </c>
      <c r="EU48" s="8">
        <v>12529.660325282253</v>
      </c>
      <c r="EV48">
        <v>320500</v>
      </c>
      <c r="EW48">
        <v>340266.13807439629</v>
      </c>
      <c r="EX48">
        <v>325569.16730222892</v>
      </c>
      <c r="EY48">
        <v>30700</v>
      </c>
      <c r="EZ48">
        <v>30484.540853951352</v>
      </c>
      <c r="FA48">
        <v>29651.496081493657</v>
      </c>
      <c r="FB48">
        <v>2640</v>
      </c>
      <c r="FC48">
        <v>2711.1235977360739</v>
      </c>
      <c r="FD48">
        <v>2617.7538796389726</v>
      </c>
      <c r="FE48">
        <v>60900</v>
      </c>
      <c r="FF48">
        <v>61309.652806053149</v>
      </c>
      <c r="FG48">
        <v>60056.085631441267</v>
      </c>
      <c r="FH48">
        <v>52600</v>
      </c>
      <c r="FI48">
        <v>53061.518439020358</v>
      </c>
      <c r="FJ48">
        <v>50330.685037603522</v>
      </c>
      <c r="FK48">
        <v>84800</v>
      </c>
      <c r="FL48">
        <v>87066.074462209595</v>
      </c>
      <c r="FM48">
        <v>84871.066950528344</v>
      </c>
      <c r="FN48">
        <v>36700</v>
      </c>
      <c r="FO48">
        <v>37293.171786844483</v>
      </c>
      <c r="FP48">
        <v>36137.979529017291</v>
      </c>
      <c r="FQ48">
        <v>25850</v>
      </c>
      <c r="FR48">
        <v>25065.355668900967</v>
      </c>
      <c r="FS48">
        <v>24086.311117852041</v>
      </c>
      <c r="FT48">
        <v>976000</v>
      </c>
      <c r="FU48">
        <v>949454.85252935276</v>
      </c>
      <c r="FV48">
        <v>921547.55519126006</v>
      </c>
      <c r="FW48">
        <v>18700</v>
      </c>
      <c r="FX48">
        <v>19171.819345288553</v>
      </c>
      <c r="FY48">
        <v>18469.145936843335</v>
      </c>
      <c r="FZ48">
        <v>29450</v>
      </c>
      <c r="GA48">
        <v>30094.321060587699</v>
      </c>
      <c r="GB48">
        <v>28946.668392611333</v>
      </c>
      <c r="GC48">
        <v>20500</v>
      </c>
      <c r="GD48">
        <v>20528.480559833984</v>
      </c>
      <c r="GE48">
        <v>20049.290649151968</v>
      </c>
      <c r="GF48">
        <v>164000</v>
      </c>
      <c r="GG48">
        <v>170765.85869274448</v>
      </c>
      <c r="GH48">
        <v>165111.73496816956</v>
      </c>
      <c r="GI48">
        <v>5450</v>
      </c>
      <c r="GJ48">
        <v>4925.8238531054612</v>
      </c>
      <c r="GK48">
        <v>4624.4094234041841</v>
      </c>
      <c r="GL48">
        <v>10850</v>
      </c>
      <c r="GM48">
        <v>11081.994721026804</v>
      </c>
      <c r="GN48">
        <v>10548.771328836596</v>
      </c>
      <c r="GO48">
        <v>713000</v>
      </c>
      <c r="GP48">
        <v>791147.14834389521</v>
      </c>
      <c r="GQ48">
        <v>762132.28217256267</v>
      </c>
      <c r="GR48">
        <v>62800</v>
      </c>
      <c r="GS48">
        <v>62037.599922430345</v>
      </c>
      <c r="GT48">
        <v>61168.391824363578</v>
      </c>
      <c r="GU48">
        <v>8210</v>
      </c>
      <c r="GV48">
        <v>8583.114544913502</v>
      </c>
      <c r="GW48">
        <v>8180.1003201135782</v>
      </c>
      <c r="GX48">
        <v>31200</v>
      </c>
      <c r="GY48">
        <v>29801.808830220947</v>
      </c>
      <c r="GZ48">
        <v>28589.043219361505</v>
      </c>
      <c r="HA48">
        <v>6390</v>
      </c>
      <c r="HB48">
        <v>6434.2880314104932</v>
      </c>
      <c r="HC48">
        <v>6207.780499620294</v>
      </c>
      <c r="HD48">
        <v>36050</v>
      </c>
      <c r="HE48">
        <v>33909.127429592147</v>
      </c>
      <c r="HF48">
        <v>32329.340980898531</v>
      </c>
      <c r="HG48">
        <v>11350</v>
      </c>
      <c r="HH48">
        <v>11478.187438787365</v>
      </c>
      <c r="HI48">
        <v>11084.793693172764</v>
      </c>
      <c r="HJ48">
        <v>4485</v>
      </c>
      <c r="HK48">
        <v>4679.4331217030822</v>
      </c>
      <c r="HL48">
        <v>4502.5636434694552</v>
      </c>
    </row>
    <row r="49" spans="1:220" x14ac:dyDescent="0.4">
      <c r="A49" s="11">
        <v>41410</v>
      </c>
      <c r="B49" s="10">
        <v>342600</v>
      </c>
      <c r="C49" s="10">
        <v>338567.39541610674</v>
      </c>
      <c r="D49" s="10">
        <v>329140.22535634047</v>
      </c>
      <c r="E49" s="10">
        <v>127000</v>
      </c>
      <c r="F49" s="10">
        <v>127668.24423846824</v>
      </c>
      <c r="G49" s="10">
        <v>124925.31395676653</v>
      </c>
      <c r="H49" s="10">
        <v>49200</v>
      </c>
      <c r="I49" s="10">
        <v>49577.040372379481</v>
      </c>
      <c r="J49" s="10">
        <v>47140.4056707333</v>
      </c>
      <c r="K49" s="10">
        <v>57100</v>
      </c>
      <c r="L49" s="10">
        <v>58236.930676816592</v>
      </c>
      <c r="M49" s="10">
        <v>55950.695509953621</v>
      </c>
      <c r="N49" s="10">
        <v>275000</v>
      </c>
      <c r="O49" s="10">
        <v>276602.40234566637</v>
      </c>
      <c r="P49" s="10">
        <v>269840.86899160134</v>
      </c>
      <c r="Q49" s="10">
        <v>83500</v>
      </c>
      <c r="R49" s="10">
        <v>82620.248727557089</v>
      </c>
      <c r="S49" s="10">
        <v>80429.724273163491</v>
      </c>
      <c r="T49" s="10">
        <v>16800</v>
      </c>
      <c r="U49" s="10">
        <v>17289.367797904208</v>
      </c>
      <c r="V49" s="10">
        <v>16640.513881441759</v>
      </c>
      <c r="W49" s="10">
        <v>15500</v>
      </c>
      <c r="X49" s="10">
        <v>15321.881687312014</v>
      </c>
      <c r="Y49" s="10">
        <v>14802.801841134578</v>
      </c>
      <c r="Z49" s="10">
        <v>21100</v>
      </c>
      <c r="AA49" s="10">
        <v>20911.272489291299</v>
      </c>
      <c r="AB49" s="10">
        <v>20056.830725160213</v>
      </c>
      <c r="AC49" s="10">
        <v>14000</v>
      </c>
      <c r="AD49" s="10">
        <v>13918.506952417416</v>
      </c>
      <c r="AE49" s="10">
        <v>13466.642046298171</v>
      </c>
      <c r="AF49" s="10">
        <v>39400</v>
      </c>
      <c r="AG49" s="10">
        <v>40243.248133331741</v>
      </c>
      <c r="AH49" s="10">
        <v>38425.193384741709</v>
      </c>
      <c r="AI49" s="10">
        <v>46200</v>
      </c>
      <c r="AJ49" s="10">
        <v>47040.167713709649</v>
      </c>
      <c r="AK49" s="10">
        <v>45931.66191276419</v>
      </c>
      <c r="AL49" s="10">
        <v>11900</v>
      </c>
      <c r="AM49" s="10">
        <v>12991.816143992044</v>
      </c>
      <c r="AN49" s="10">
        <v>12379.545174544617</v>
      </c>
      <c r="AO49" s="10">
        <v>15800</v>
      </c>
      <c r="AP49" s="10">
        <v>16070.960020781531</v>
      </c>
      <c r="AQ49" s="10">
        <v>15448.488428172246</v>
      </c>
      <c r="AR49" s="10">
        <v>26550</v>
      </c>
      <c r="AS49" s="10">
        <v>27053.942342070844</v>
      </c>
      <c r="AT49" s="10">
        <v>26151.86500520146</v>
      </c>
      <c r="AU49" s="10">
        <v>178000</v>
      </c>
      <c r="AV49" s="10">
        <v>182796.01399473703</v>
      </c>
      <c r="AW49" s="10">
        <v>176694.57445416201</v>
      </c>
      <c r="AX49" s="10">
        <v>640000</v>
      </c>
      <c r="AY49" s="10">
        <v>633116.61179172969</v>
      </c>
      <c r="AZ49" s="10">
        <v>616615.86098757305</v>
      </c>
      <c r="BA49" s="10">
        <v>205000</v>
      </c>
      <c r="BB49" s="10">
        <v>206942.36120231729</v>
      </c>
      <c r="BC49" s="10">
        <v>202302.34637683348</v>
      </c>
      <c r="BD49" s="10">
        <v>32000</v>
      </c>
      <c r="BE49" s="10">
        <v>31741.133401219493</v>
      </c>
      <c r="BF49" s="10">
        <v>30469.000858790849</v>
      </c>
      <c r="BG49" s="10">
        <v>34800</v>
      </c>
      <c r="BH49" s="10">
        <v>34447.886838017737</v>
      </c>
      <c r="BI49" s="10">
        <v>33161.472272552382</v>
      </c>
      <c r="BJ49" s="10">
        <v>75500</v>
      </c>
      <c r="BK49" s="10">
        <v>76519.956103612523</v>
      </c>
      <c r="BL49" s="10">
        <v>74438.769951828726</v>
      </c>
      <c r="BM49" s="10">
        <v>1101000</v>
      </c>
      <c r="BN49" s="10">
        <v>1130475.0939322284</v>
      </c>
      <c r="BO49" s="10">
        <v>1097590.4854881279</v>
      </c>
      <c r="BP49" s="10">
        <v>43500</v>
      </c>
      <c r="BQ49" s="10">
        <v>41080.30274774885</v>
      </c>
      <c r="BR49" s="10">
        <v>39204.449701334721</v>
      </c>
      <c r="BS49" s="10">
        <v>136500</v>
      </c>
      <c r="BT49" s="10">
        <v>135818.87023710148</v>
      </c>
      <c r="BU49" s="10">
        <v>131497.44805928008</v>
      </c>
      <c r="BV49" s="10">
        <v>38750</v>
      </c>
      <c r="BW49" s="10">
        <v>40224.676460500901</v>
      </c>
      <c r="BX49" s="10">
        <v>38792.997577938404</v>
      </c>
      <c r="BY49" s="10">
        <v>26300</v>
      </c>
      <c r="BZ49" s="10">
        <v>26632.524067963532</v>
      </c>
      <c r="CA49" s="10">
        <v>25308.937296349224</v>
      </c>
      <c r="CB49" s="10">
        <v>95100</v>
      </c>
      <c r="CC49" s="10">
        <v>96183.267345063432</v>
      </c>
      <c r="CD49" s="10">
        <v>93400.54327354877</v>
      </c>
      <c r="CE49" s="10">
        <v>18250</v>
      </c>
      <c r="CF49" s="10">
        <v>18213.234089177531</v>
      </c>
      <c r="CG49" s="10">
        <v>17699.298081758738</v>
      </c>
      <c r="CH49" s="10">
        <v>58700</v>
      </c>
      <c r="CI49" s="10">
        <v>58504.121033717325</v>
      </c>
      <c r="CJ49" s="10">
        <v>56654.235590889883</v>
      </c>
      <c r="CK49" s="10">
        <v>322000</v>
      </c>
      <c r="CL49" s="10">
        <v>320476.98348326288</v>
      </c>
      <c r="CM49" s="10">
        <v>315872.61983282107</v>
      </c>
      <c r="CN49" s="10">
        <v>108500</v>
      </c>
      <c r="CO49" s="10">
        <v>106808.76550197061</v>
      </c>
      <c r="CP49" s="10">
        <v>103977.12684417023</v>
      </c>
      <c r="CQ49" s="10">
        <v>88200</v>
      </c>
      <c r="CR49" s="10">
        <v>88238.823375888562</v>
      </c>
      <c r="CS49" s="10">
        <v>86729.371638299752</v>
      </c>
      <c r="CT49" s="10">
        <v>23450</v>
      </c>
      <c r="CU49" s="10">
        <v>23845.567949054912</v>
      </c>
      <c r="CV49" s="10">
        <v>22835.023573284492</v>
      </c>
      <c r="CW49" s="10">
        <v>139000</v>
      </c>
      <c r="CX49" s="10">
        <v>136183.51367227759</v>
      </c>
      <c r="CY49" s="10">
        <v>133773.83618823765</v>
      </c>
      <c r="CZ49" s="10">
        <v>24000</v>
      </c>
      <c r="DA49" s="10">
        <v>23302.86574613511</v>
      </c>
      <c r="DB49" s="10">
        <v>22443.511202645976</v>
      </c>
      <c r="DC49" s="10">
        <v>20435</v>
      </c>
      <c r="DD49" s="10">
        <v>20359.857805325883</v>
      </c>
      <c r="DE49" s="10">
        <v>19836.455566876117</v>
      </c>
      <c r="DF49" s="10">
        <v>54600</v>
      </c>
      <c r="DG49" s="10">
        <v>55537.150365410234</v>
      </c>
      <c r="DH49" s="10">
        <v>54139.491454318762</v>
      </c>
      <c r="DI49" s="10">
        <v>174500</v>
      </c>
      <c r="DJ49" s="10">
        <v>180116.84951386065</v>
      </c>
      <c r="DK49" s="10">
        <v>174767.35682478652</v>
      </c>
      <c r="DL49" s="10">
        <v>25750</v>
      </c>
      <c r="DM49" s="10">
        <v>26649.436194291535</v>
      </c>
      <c r="DN49" s="10">
        <v>25796.147041434673</v>
      </c>
      <c r="DO49" s="10">
        <v>25600</v>
      </c>
      <c r="DP49" s="10">
        <v>29074.771068137932</v>
      </c>
      <c r="DQ49" s="10">
        <v>28064.411559971115</v>
      </c>
      <c r="DR49" s="10">
        <v>4860</v>
      </c>
      <c r="DS49" s="10">
        <v>4918.200821274263</v>
      </c>
      <c r="DT49" s="10">
        <v>4763.1012953916734</v>
      </c>
      <c r="DU49" s="10">
        <v>182000</v>
      </c>
      <c r="DV49" s="10">
        <v>175719.36014966315</v>
      </c>
      <c r="DW49" s="10">
        <v>170765.40239961958</v>
      </c>
      <c r="DX49" s="10">
        <v>57500</v>
      </c>
      <c r="DY49" s="10">
        <v>58249.962897419762</v>
      </c>
      <c r="DZ49" s="10">
        <v>55948.019735055241</v>
      </c>
      <c r="EA49" s="10">
        <v>12050</v>
      </c>
      <c r="EB49" s="10">
        <v>12111.533379311069</v>
      </c>
      <c r="EC49" s="10">
        <v>11750.79471062095</v>
      </c>
      <c r="ED49" s="10">
        <v>1508000</v>
      </c>
      <c r="EE49" s="10">
        <v>1513667.1783954755</v>
      </c>
      <c r="EF49" s="10">
        <v>1479379.3470469501</v>
      </c>
      <c r="EG49" s="10">
        <v>118500</v>
      </c>
      <c r="EH49" s="10">
        <v>122991.08536387621</v>
      </c>
      <c r="EI49" s="10">
        <v>118657.4741966787</v>
      </c>
      <c r="EJ49" s="10">
        <v>315000</v>
      </c>
      <c r="EK49" s="10">
        <v>297734.17354155576</v>
      </c>
      <c r="EL49" s="10">
        <v>288780.02863456187</v>
      </c>
      <c r="EM49" s="10">
        <v>12200</v>
      </c>
      <c r="EN49" s="10">
        <v>12127.099831270036</v>
      </c>
      <c r="EO49" s="10">
        <v>11789.344492341479</v>
      </c>
      <c r="EP49" s="10">
        <v>53700</v>
      </c>
      <c r="EQ49" s="10">
        <v>51573.115588970919</v>
      </c>
      <c r="ER49" s="10">
        <v>49840.547663597477</v>
      </c>
      <c r="ES49" s="10">
        <v>12800</v>
      </c>
      <c r="ET49" s="10">
        <v>12955.011158151752</v>
      </c>
      <c r="EU49" s="10">
        <v>12431.772353990998</v>
      </c>
      <c r="EV49">
        <v>334000</v>
      </c>
      <c r="EW49">
        <v>339247.37718195817</v>
      </c>
      <c r="EX49">
        <v>324594.4093162943</v>
      </c>
      <c r="EY49">
        <v>30050</v>
      </c>
      <c r="EZ49">
        <v>30180.202675708922</v>
      </c>
      <c r="FA49">
        <v>29355.47448999789</v>
      </c>
      <c r="FB49">
        <v>2665</v>
      </c>
      <c r="FC49">
        <v>2726.3832052280227</v>
      </c>
      <c r="FD49">
        <v>2632.4879540084235</v>
      </c>
      <c r="FE49">
        <v>60900</v>
      </c>
      <c r="FF49">
        <v>60906.962147228456</v>
      </c>
      <c r="FG49">
        <v>59661.628582958852</v>
      </c>
      <c r="FH49">
        <v>51600</v>
      </c>
      <c r="FI49">
        <v>54192.67483985224</v>
      </c>
      <c r="FJ49">
        <v>51403.625997707524</v>
      </c>
      <c r="FK49">
        <v>86100</v>
      </c>
      <c r="FL49">
        <v>86459.342235992182</v>
      </c>
      <c r="FM49">
        <v>84279.630943904529</v>
      </c>
      <c r="FN49">
        <v>36850</v>
      </c>
      <c r="FO49">
        <v>36736.557282563255</v>
      </c>
      <c r="FP49">
        <v>35598.606700226017</v>
      </c>
      <c r="FQ49">
        <v>24450</v>
      </c>
      <c r="FR49">
        <v>24450.254916289879</v>
      </c>
      <c r="FS49">
        <v>23495.235998395528</v>
      </c>
      <c r="FT49">
        <v>936000</v>
      </c>
      <c r="FU49">
        <v>925109.85631065059</v>
      </c>
      <c r="FV49">
        <v>897918.13069917564</v>
      </c>
      <c r="FW49">
        <v>18900</v>
      </c>
      <c r="FX49">
        <v>19425.414839273821</v>
      </c>
      <c r="FY49">
        <v>18713.446809023775</v>
      </c>
      <c r="FZ49">
        <v>29600</v>
      </c>
      <c r="GA49">
        <v>29484.301039089303</v>
      </c>
      <c r="GB49">
        <v>28359.911600869214</v>
      </c>
      <c r="GC49">
        <v>20350</v>
      </c>
      <c r="GD49">
        <v>20427.603505485924</v>
      </c>
      <c r="GE49">
        <v>19950.768336379741</v>
      </c>
      <c r="GF49">
        <v>168000</v>
      </c>
      <c r="GG49">
        <v>172290.55385964396</v>
      </c>
      <c r="GH49">
        <v>166585.9468875282</v>
      </c>
      <c r="GI49">
        <v>4740</v>
      </c>
      <c r="GJ49">
        <v>5019.352154113798</v>
      </c>
      <c r="GK49">
        <v>4712.2146656207233</v>
      </c>
      <c r="GL49">
        <v>10800</v>
      </c>
      <c r="GM49">
        <v>10979.383658795059</v>
      </c>
      <c r="GN49">
        <v>10451.097520236241</v>
      </c>
      <c r="GO49">
        <v>779000</v>
      </c>
      <c r="GP49">
        <v>802318.67418700492</v>
      </c>
      <c r="GQ49">
        <v>772894.09873725811</v>
      </c>
      <c r="GR49">
        <v>61700</v>
      </c>
      <c r="GS49">
        <v>61233.222613873753</v>
      </c>
      <c r="GT49">
        <v>60375.28463701369</v>
      </c>
      <c r="GU49">
        <v>8370</v>
      </c>
      <c r="GV49">
        <v>8480.5683735286239</v>
      </c>
      <c r="GW49">
        <v>8082.3691334933355</v>
      </c>
      <c r="GX49">
        <v>29100</v>
      </c>
      <c r="GY49">
        <v>28675.279974095763</v>
      </c>
      <c r="GZ49">
        <v>27508.357736842692</v>
      </c>
      <c r="HA49">
        <v>6310</v>
      </c>
      <c r="HB49">
        <v>6281.3334823278356</v>
      </c>
      <c r="HC49">
        <v>6060.210440199844</v>
      </c>
      <c r="HD49">
        <v>33000</v>
      </c>
      <c r="HE49">
        <v>31288.876673669154</v>
      </c>
      <c r="HF49">
        <v>29831.164632374588</v>
      </c>
      <c r="HG49">
        <v>11300</v>
      </c>
      <c r="HH49">
        <v>11782.918078755156</v>
      </c>
      <c r="HI49">
        <v>11379.080251398575</v>
      </c>
      <c r="HJ49">
        <v>4600</v>
      </c>
      <c r="HK49">
        <v>4725.2101848501743</v>
      </c>
      <c r="HL49">
        <v>4546.6104617207839</v>
      </c>
    </row>
    <row r="50" spans="1:220" x14ac:dyDescent="0.4">
      <c r="A50" s="73">
        <v>41409</v>
      </c>
      <c r="B50" s="8">
        <v>332600</v>
      </c>
      <c r="C50" s="8">
        <v>342944.54454505839</v>
      </c>
      <c r="D50" s="8">
        <v>333395.49585854233</v>
      </c>
      <c r="E50" s="8">
        <v>126000</v>
      </c>
      <c r="F50" s="8">
        <v>128174.86425528745</v>
      </c>
      <c r="G50" s="8">
        <v>125421.04932961073</v>
      </c>
      <c r="H50" s="8">
        <v>48750</v>
      </c>
      <c r="I50" s="8">
        <v>48916.013167414414</v>
      </c>
      <c r="J50" s="8">
        <v>46511.866928456853</v>
      </c>
      <c r="K50" s="8">
        <v>57000</v>
      </c>
      <c r="L50" s="8">
        <v>55171.829062247249</v>
      </c>
      <c r="M50" s="8">
        <v>53005.922062061276</v>
      </c>
      <c r="N50" s="8">
        <v>273000</v>
      </c>
      <c r="O50" s="8">
        <v>275082.60892618459</v>
      </c>
      <c r="P50" s="8">
        <v>268358.2268542847</v>
      </c>
      <c r="Q50" s="8">
        <v>81300</v>
      </c>
      <c r="R50" s="8">
        <v>83128.368338427681</v>
      </c>
      <c r="S50" s="8">
        <v>80924.372023920965</v>
      </c>
      <c r="T50" s="8">
        <v>16950</v>
      </c>
      <c r="U50" s="8">
        <v>16830.358033358065</v>
      </c>
      <c r="V50" s="8">
        <v>16198.730327067187</v>
      </c>
      <c r="W50" s="8">
        <v>15050</v>
      </c>
      <c r="X50" s="8">
        <v>15372.784948731647</v>
      </c>
      <c r="Y50" s="8">
        <v>14851.980584792826</v>
      </c>
      <c r="Z50" s="8">
        <v>20450</v>
      </c>
      <c r="AA50" s="8">
        <v>21218.039322875036</v>
      </c>
      <c r="AB50" s="8">
        <v>20351.062960737137</v>
      </c>
      <c r="AC50" s="8">
        <v>13750</v>
      </c>
      <c r="AD50" s="8">
        <v>13716.055942200432</v>
      </c>
      <c r="AE50" s="8">
        <v>13270.763616533832</v>
      </c>
      <c r="AF50" s="8">
        <v>39500</v>
      </c>
      <c r="AG50" s="8">
        <v>40447.011415019508</v>
      </c>
      <c r="AH50" s="8">
        <v>38619.75132593028</v>
      </c>
      <c r="AI50" s="8">
        <v>46400</v>
      </c>
      <c r="AJ50" s="8">
        <v>47141.547385506456</v>
      </c>
      <c r="AK50" s="8">
        <v>46030.652563438271</v>
      </c>
      <c r="AL50" s="8">
        <v>12600</v>
      </c>
      <c r="AM50" s="8">
        <v>13043.370969960279</v>
      </c>
      <c r="AN50" s="8">
        <v>12428.670353808695</v>
      </c>
      <c r="AO50" s="8">
        <v>15700</v>
      </c>
      <c r="AP50" s="8">
        <v>15917.415816761313</v>
      </c>
      <c r="AQ50" s="8">
        <v>15300.891404973136</v>
      </c>
      <c r="AR50" s="8">
        <v>26600</v>
      </c>
      <c r="AS50" s="8">
        <v>26850.529241754517</v>
      </c>
      <c r="AT50" s="8">
        <v>25955.234441252571</v>
      </c>
      <c r="AU50" s="8">
        <v>180500</v>
      </c>
      <c r="AV50" s="8">
        <v>183302.37414430693</v>
      </c>
      <c r="AW50" s="8">
        <v>177184.03310915967</v>
      </c>
      <c r="AX50" s="8">
        <v>625000</v>
      </c>
      <c r="AY50" s="8">
        <v>629064.66547626234</v>
      </c>
      <c r="AZ50" s="8">
        <v>612669.51947725227</v>
      </c>
      <c r="BA50" s="8">
        <v>205000</v>
      </c>
      <c r="BB50" s="8">
        <v>202904.4614715403</v>
      </c>
      <c r="BC50" s="8">
        <v>198354.9835207001</v>
      </c>
      <c r="BD50" s="8">
        <v>31000</v>
      </c>
      <c r="BE50" s="8">
        <v>31741.133401219493</v>
      </c>
      <c r="BF50" s="8">
        <v>30469.000858790849</v>
      </c>
      <c r="BG50" s="8">
        <v>33700</v>
      </c>
      <c r="BH50" s="8">
        <v>34294.557964851469</v>
      </c>
      <c r="BI50" s="8">
        <v>33013.869280241299</v>
      </c>
      <c r="BJ50" s="8">
        <v>75700</v>
      </c>
      <c r="BK50" s="8">
        <v>76115.623442562995</v>
      </c>
      <c r="BL50" s="8">
        <v>74045.434311396297</v>
      </c>
      <c r="BM50" s="8">
        <v>1115000</v>
      </c>
      <c r="BN50" s="8">
        <v>1116280.7878200745</v>
      </c>
      <c r="BO50" s="8">
        <v>1083809.0802891734</v>
      </c>
      <c r="BP50" s="8">
        <v>40000</v>
      </c>
      <c r="BQ50" s="8">
        <v>39283.039502534841</v>
      </c>
      <c r="BR50" s="8">
        <v>37489.255026901337</v>
      </c>
      <c r="BS50" s="8">
        <v>134000</v>
      </c>
      <c r="BT50" s="8">
        <v>137339.23072483015</v>
      </c>
      <c r="BU50" s="8">
        <v>132969.43441815255</v>
      </c>
      <c r="BV50" s="8">
        <v>39550</v>
      </c>
      <c r="BW50" s="8">
        <v>41190.882342611476</v>
      </c>
      <c r="BX50" s="8">
        <v>39724.814207496907</v>
      </c>
      <c r="BY50" s="8">
        <v>25800</v>
      </c>
      <c r="BZ50" s="8">
        <v>25600.255693236275</v>
      </c>
      <c r="CA50" s="8">
        <v>24327.970734475231</v>
      </c>
      <c r="CB50" s="8">
        <v>94900</v>
      </c>
      <c r="CC50" s="8">
        <v>95271.09726486796</v>
      </c>
      <c r="CD50" s="8">
        <v>92514.763621850274</v>
      </c>
      <c r="CE50" s="8">
        <v>18000</v>
      </c>
      <c r="CF50" s="8">
        <v>18263.826406091903</v>
      </c>
      <c r="CG50" s="8">
        <v>17748.462798652505</v>
      </c>
      <c r="CH50" s="8">
        <v>57400</v>
      </c>
      <c r="CI50" s="8">
        <v>58096.426810485893</v>
      </c>
      <c r="CJ50" s="8">
        <v>56259.432555413347</v>
      </c>
      <c r="CK50" s="8">
        <v>318500</v>
      </c>
      <c r="CL50" s="8">
        <v>324501.81216123165</v>
      </c>
      <c r="CM50" s="8">
        <v>319839.6229076446</v>
      </c>
      <c r="CN50" s="8">
        <v>105000</v>
      </c>
      <c r="CO50" s="8">
        <v>106808.76550197061</v>
      </c>
      <c r="CP50" s="8">
        <v>103977.12684417023</v>
      </c>
      <c r="CQ50" s="8">
        <v>87800</v>
      </c>
      <c r="CR50" s="8">
        <v>88540.322772389336</v>
      </c>
      <c r="CS50" s="8">
        <v>87025.713454831537</v>
      </c>
      <c r="CT50" s="8">
        <v>23400</v>
      </c>
      <c r="CU50" s="8">
        <v>23896.520017322087</v>
      </c>
      <c r="CV50" s="8">
        <v>22883.816358697459</v>
      </c>
      <c r="CW50" s="8">
        <v>135000</v>
      </c>
      <c r="CX50" s="8">
        <v>133661.59675242042</v>
      </c>
      <c r="CY50" s="8">
        <v>131296.54292549231</v>
      </c>
      <c r="CZ50" s="8">
        <v>22800</v>
      </c>
      <c r="DA50" s="8">
        <v>23864.996279484876</v>
      </c>
      <c r="DB50" s="8">
        <v>22984.911692183501</v>
      </c>
      <c r="DC50" s="8">
        <v>20040</v>
      </c>
      <c r="DD50" s="8">
        <v>20359.857805325883</v>
      </c>
      <c r="DE50" s="8">
        <v>19836.455566876117</v>
      </c>
      <c r="DF50" s="8">
        <v>54700</v>
      </c>
      <c r="DG50" s="8">
        <v>55334.089486560471</v>
      </c>
      <c r="DH50" s="8">
        <v>53941.540845710646</v>
      </c>
      <c r="DI50" s="8">
        <v>177000</v>
      </c>
      <c r="DJ50" s="8">
        <v>174519.99825778021</v>
      </c>
      <c r="DK50" s="8">
        <v>169336.73274266036</v>
      </c>
      <c r="DL50" s="8">
        <v>26150</v>
      </c>
      <c r="DM50" s="8">
        <v>26700.391139213709</v>
      </c>
      <c r="DN50" s="8">
        <v>25845.470458339914</v>
      </c>
      <c r="DO50" s="8">
        <v>28600</v>
      </c>
      <c r="DP50" s="8">
        <v>28871.450990738351</v>
      </c>
      <c r="DQ50" s="8">
        <v>27868.156933677597</v>
      </c>
      <c r="DR50" s="8">
        <v>4830</v>
      </c>
      <c r="DS50" s="8">
        <v>4918.200821274263</v>
      </c>
      <c r="DT50" s="8">
        <v>4763.1012953916734</v>
      </c>
      <c r="DU50" s="8">
        <v>173000</v>
      </c>
      <c r="DV50" s="8">
        <v>176227.21957206127</v>
      </c>
      <c r="DW50" s="8">
        <v>171258.94402505225</v>
      </c>
      <c r="DX50" s="8">
        <v>57000</v>
      </c>
      <c r="DY50" s="8">
        <v>58556.54164951139</v>
      </c>
      <c r="DZ50" s="8">
        <v>56242.482996818639</v>
      </c>
      <c r="EA50" s="8">
        <v>11950</v>
      </c>
      <c r="EB50" s="8">
        <v>12111.533379311069</v>
      </c>
      <c r="EC50" s="8">
        <v>11750.79471062095</v>
      </c>
      <c r="ED50" s="8">
        <v>1500000</v>
      </c>
      <c r="EE50" s="8">
        <v>1513667.1783954755</v>
      </c>
      <c r="EF50" s="8">
        <v>1479379.3470469501</v>
      </c>
      <c r="EG50" s="8">
        <v>121000</v>
      </c>
      <c r="EH50" s="8">
        <v>119433.49198558222</v>
      </c>
      <c r="EI50" s="8">
        <v>115225.23320751853</v>
      </c>
      <c r="EJ50" s="8">
        <v>293000</v>
      </c>
      <c r="EK50" s="8">
        <v>293669.5431860399</v>
      </c>
      <c r="EL50" s="8">
        <v>284837.63916514826</v>
      </c>
      <c r="EM50" s="8">
        <v>11950</v>
      </c>
      <c r="EN50" s="8">
        <v>12177.840834748138</v>
      </c>
      <c r="EO50" s="8">
        <v>11838.672293564648</v>
      </c>
      <c r="EP50" s="8">
        <v>50500</v>
      </c>
      <c r="EQ50" s="8">
        <v>51368.865626242259</v>
      </c>
      <c r="ER50" s="8">
        <v>49643.159356018812</v>
      </c>
      <c r="ES50" s="8">
        <v>12700</v>
      </c>
      <c r="ET50" s="8">
        <v>13669.066891278211</v>
      </c>
      <c r="EU50" s="8">
        <v>13116.988153029859</v>
      </c>
      <c r="EV50">
        <v>333000</v>
      </c>
      <c r="EW50">
        <v>348416.22521390312</v>
      </c>
      <c r="EX50">
        <v>333367.23118970782</v>
      </c>
      <c r="EY50">
        <v>29750</v>
      </c>
      <c r="EZ50">
        <v>29926.587527173557</v>
      </c>
      <c r="FA50">
        <v>29108.789830418082</v>
      </c>
      <c r="FB50">
        <v>2680</v>
      </c>
      <c r="FC50">
        <v>2756.902420211919</v>
      </c>
      <c r="FD50">
        <v>2661.9561027473242</v>
      </c>
      <c r="FE50">
        <v>60500</v>
      </c>
      <c r="FF50">
        <v>61108.307476640766</v>
      </c>
      <c r="FG50">
        <v>59858.857107200027</v>
      </c>
      <c r="FH50">
        <v>52700</v>
      </c>
      <c r="FI50">
        <v>54192.67483985224</v>
      </c>
      <c r="FJ50">
        <v>51403.625997707524</v>
      </c>
      <c r="FK50">
        <v>85500</v>
      </c>
      <c r="FL50">
        <v>86459.342235992182</v>
      </c>
      <c r="FM50">
        <v>84279.630943904529</v>
      </c>
      <c r="FN50">
        <v>36300</v>
      </c>
      <c r="FO50">
        <v>36736.557282563255</v>
      </c>
      <c r="FP50">
        <v>35598.606700226017</v>
      </c>
      <c r="FQ50">
        <v>23850</v>
      </c>
      <c r="FR50">
        <v>23271.311807118669</v>
      </c>
      <c r="FS50">
        <v>22362.342019437256</v>
      </c>
      <c r="FT50">
        <v>912000</v>
      </c>
      <c r="FU50">
        <v>926124.23115309724</v>
      </c>
      <c r="FV50">
        <v>898902.69005301327</v>
      </c>
      <c r="FW50">
        <v>19150</v>
      </c>
      <c r="FX50">
        <v>19374.695740476785</v>
      </c>
      <c r="FY50">
        <v>18664.586634587704</v>
      </c>
      <c r="FZ50">
        <v>29000</v>
      </c>
      <c r="GA50">
        <v>29077.621024757034</v>
      </c>
      <c r="GB50">
        <v>27968.740406374465</v>
      </c>
      <c r="GC50">
        <v>20250</v>
      </c>
      <c r="GD50">
        <v>20175.410869615695</v>
      </c>
      <c r="GE50">
        <v>19704.462554449095</v>
      </c>
      <c r="GF50">
        <v>169500</v>
      </c>
      <c r="GG50">
        <v>171782.32213734434</v>
      </c>
      <c r="GH50">
        <v>166094.54291440884</v>
      </c>
      <c r="GI50">
        <v>4830</v>
      </c>
      <c r="GJ50">
        <v>4879.0597026012938</v>
      </c>
      <c r="GK50">
        <v>4580.506802295914</v>
      </c>
      <c r="GL50">
        <v>10700</v>
      </c>
      <c r="GM50">
        <v>11030.689189910941</v>
      </c>
      <c r="GN50">
        <v>10499.934424536428</v>
      </c>
      <c r="GO50">
        <v>790000</v>
      </c>
      <c r="GP50">
        <v>788100.36856850109</v>
      </c>
      <c r="GQ50">
        <v>759197.24129128142</v>
      </c>
      <c r="GR50">
        <v>60900</v>
      </c>
      <c r="GS50">
        <v>60428.845305317111</v>
      </c>
      <c r="GT50">
        <v>59582.177449663752</v>
      </c>
      <c r="GU50">
        <v>8270</v>
      </c>
      <c r="GV50">
        <v>8624.1330134674517</v>
      </c>
      <c r="GW50">
        <v>8219.1927947616732</v>
      </c>
      <c r="GX50">
        <v>28000</v>
      </c>
      <c r="GY50">
        <v>27395.133546680776</v>
      </c>
      <c r="GZ50">
        <v>26280.306052162214</v>
      </c>
      <c r="HA50">
        <v>6160</v>
      </c>
      <c r="HB50">
        <v>5710.3031657525835</v>
      </c>
      <c r="HC50">
        <v>5509.2822183634999</v>
      </c>
      <c r="HD50">
        <v>30450</v>
      </c>
      <c r="HE50">
        <v>29850.307631201616</v>
      </c>
      <c r="HF50">
        <v>28459.616833184962</v>
      </c>
      <c r="HG50">
        <v>11600</v>
      </c>
      <c r="HH50">
        <v>11224.245238814196</v>
      </c>
      <c r="HI50">
        <v>10839.554894651244</v>
      </c>
      <c r="HJ50">
        <v>4645</v>
      </c>
      <c r="HK50">
        <v>4674.3467813534025</v>
      </c>
      <c r="HL50">
        <v>4497.6695525526384</v>
      </c>
    </row>
    <row r="51" spans="1:220" x14ac:dyDescent="0.4">
      <c r="A51" s="11">
        <v>41408</v>
      </c>
      <c r="B51" s="8">
        <v>336900</v>
      </c>
      <c r="C51" s="8">
        <v>344064.28036874376</v>
      </c>
      <c r="D51" s="8">
        <v>334484.05342887301</v>
      </c>
      <c r="E51" s="8">
        <v>126500</v>
      </c>
      <c r="F51" s="8">
        <v>128174.86425528745</v>
      </c>
      <c r="G51" s="8">
        <v>125421.04932961073</v>
      </c>
      <c r="H51" s="8">
        <v>48100</v>
      </c>
      <c r="I51" s="8">
        <v>49729.58511198686</v>
      </c>
      <c r="J51" s="8">
        <v>47285.453072797151</v>
      </c>
      <c r="K51" s="8">
        <v>54000</v>
      </c>
      <c r="L51" s="8">
        <v>57521.740300083751</v>
      </c>
      <c r="M51" s="8">
        <v>55263.581705445409</v>
      </c>
      <c r="N51" s="8">
        <v>271500</v>
      </c>
      <c r="O51" s="8">
        <v>270016.63086124562</v>
      </c>
      <c r="P51" s="8">
        <v>263416.0863965631</v>
      </c>
      <c r="Q51" s="8">
        <v>81800</v>
      </c>
      <c r="R51" s="8">
        <v>83839.735793646512</v>
      </c>
      <c r="S51" s="8">
        <v>81616.878874981427</v>
      </c>
      <c r="T51" s="8">
        <v>16500</v>
      </c>
      <c r="U51" s="8">
        <v>17952.381902248602</v>
      </c>
      <c r="V51" s="8">
        <v>17278.645682204999</v>
      </c>
      <c r="W51" s="8">
        <v>15100</v>
      </c>
      <c r="X51" s="8">
        <v>14558.332766017396</v>
      </c>
      <c r="Y51" s="8">
        <v>14065.120686260763</v>
      </c>
      <c r="Z51" s="8">
        <v>20750</v>
      </c>
      <c r="AA51" s="8">
        <v>22649.617879599144</v>
      </c>
      <c r="AB51" s="8">
        <v>21724.146726762785</v>
      </c>
      <c r="AC51" s="8">
        <v>13550</v>
      </c>
      <c r="AD51" s="8">
        <v>13513.604931983438</v>
      </c>
      <c r="AE51" s="8">
        <v>13074.885186769483</v>
      </c>
      <c r="AF51" s="8">
        <v>39700</v>
      </c>
      <c r="AG51" s="8">
        <v>39886.662390378115</v>
      </c>
      <c r="AH51" s="8">
        <v>38084.716987661661</v>
      </c>
      <c r="AI51" s="8">
        <v>46500</v>
      </c>
      <c r="AJ51" s="8">
        <v>46837.4083701161</v>
      </c>
      <c r="AK51" s="8">
        <v>45733.680611416094</v>
      </c>
      <c r="AL51" s="8">
        <v>12650</v>
      </c>
      <c r="AM51" s="8">
        <v>12682.487188182706</v>
      </c>
      <c r="AN51" s="8">
        <v>12084.794098960218</v>
      </c>
      <c r="AO51" s="8">
        <v>15550</v>
      </c>
      <c r="AP51" s="8">
        <v>15507.96460604079</v>
      </c>
      <c r="AQ51" s="8">
        <v>14907.2993431089</v>
      </c>
      <c r="AR51" s="8">
        <v>26400</v>
      </c>
      <c r="AS51" s="8">
        <v>26952.235791912677</v>
      </c>
      <c r="AT51" s="8">
        <v>26053.54972322701</v>
      </c>
      <c r="AU51" s="8">
        <v>181000</v>
      </c>
      <c r="AV51" s="8">
        <v>178745.1327981778</v>
      </c>
      <c r="AW51" s="8">
        <v>172778.90521418062</v>
      </c>
      <c r="AX51" s="8">
        <v>621000</v>
      </c>
      <c r="AY51" s="8">
        <v>633116.61179172969</v>
      </c>
      <c r="AZ51" s="8">
        <v>616615.86098757305</v>
      </c>
      <c r="BA51" s="8">
        <v>201000</v>
      </c>
      <c r="BB51" s="8">
        <v>201390.24907249917</v>
      </c>
      <c r="BC51" s="8">
        <v>196874.72244965029</v>
      </c>
      <c r="BD51" s="8">
        <v>31000</v>
      </c>
      <c r="BE51" s="8">
        <v>30563.639742787127</v>
      </c>
      <c r="BF51" s="8">
        <v>29338.699214029224</v>
      </c>
      <c r="BG51" s="8">
        <v>33550</v>
      </c>
      <c r="BH51" s="8">
        <v>33936.790594130194</v>
      </c>
      <c r="BI51" s="8">
        <v>32669.462298182134</v>
      </c>
      <c r="BJ51" s="8">
        <v>75300</v>
      </c>
      <c r="BK51" s="8">
        <v>75003.708624676947</v>
      </c>
      <c r="BL51" s="8">
        <v>72963.761300207232</v>
      </c>
      <c r="BM51" s="8">
        <v>1101000</v>
      </c>
      <c r="BN51" s="8">
        <v>1129461.2149242165</v>
      </c>
      <c r="BO51" s="8">
        <v>1096606.0994024875</v>
      </c>
      <c r="BP51" s="8">
        <v>38250</v>
      </c>
      <c r="BQ51" s="8">
        <v>38358.732690710502</v>
      </c>
      <c r="BR51" s="8">
        <v>36607.154908621305</v>
      </c>
      <c r="BS51" s="8">
        <v>135500</v>
      </c>
      <c r="BT51" s="8">
        <v>139366.37804180186</v>
      </c>
      <c r="BU51" s="8">
        <v>134932.08289664928</v>
      </c>
      <c r="BV51" s="8">
        <v>40500</v>
      </c>
      <c r="BW51" s="8">
        <v>42157.088224722138</v>
      </c>
      <c r="BX51" s="8">
        <v>40656.630837055498</v>
      </c>
      <c r="BY51" s="8">
        <v>24800</v>
      </c>
      <c r="BZ51" s="8">
        <v>25445.41543702719</v>
      </c>
      <c r="CA51" s="8">
        <v>24180.825750194141</v>
      </c>
      <c r="CB51" s="8">
        <v>94000</v>
      </c>
      <c r="CC51" s="8">
        <v>96994.085194126208</v>
      </c>
      <c r="CD51" s="8">
        <v>94187.902963947563</v>
      </c>
      <c r="CE51" s="8">
        <v>18050</v>
      </c>
      <c r="CF51" s="8">
        <v>17201.387750889895</v>
      </c>
      <c r="CG51" s="8">
        <v>16716.003743883259</v>
      </c>
      <c r="CH51" s="8">
        <v>57000</v>
      </c>
      <c r="CI51" s="8">
        <v>58402.197477909453</v>
      </c>
      <c r="CJ51" s="8">
        <v>56555.534832020734</v>
      </c>
      <c r="CK51" s="8">
        <v>322500</v>
      </c>
      <c r="CL51" s="8">
        <v>323495.60499173938</v>
      </c>
      <c r="CM51" s="8">
        <v>318847.87213893863</v>
      </c>
      <c r="CN51" s="8">
        <v>105000</v>
      </c>
      <c r="CO51" s="8">
        <v>102231.24698045751</v>
      </c>
      <c r="CP51" s="8">
        <v>99520.964265134287</v>
      </c>
      <c r="CQ51" s="8">
        <v>88100</v>
      </c>
      <c r="CR51" s="8">
        <v>88037.823778221325</v>
      </c>
      <c r="CS51" s="8">
        <v>86531.810427278499</v>
      </c>
      <c r="CT51" s="8">
        <v>23450</v>
      </c>
      <c r="CU51" s="8">
        <v>24151.280358658179</v>
      </c>
      <c r="CV51" s="8">
        <v>23127.780285762499</v>
      </c>
      <c r="CW51" s="8">
        <v>132500</v>
      </c>
      <c r="CX51" s="8">
        <v>132652.82998447781</v>
      </c>
      <c r="CY51" s="8">
        <v>130305.62562039444</v>
      </c>
      <c r="CZ51" s="8">
        <v>23350</v>
      </c>
      <c r="DA51" s="8">
        <v>24887.051794666233</v>
      </c>
      <c r="DB51" s="8">
        <v>23969.276218615338</v>
      </c>
      <c r="DC51" s="8">
        <v>20040</v>
      </c>
      <c r="DD51" s="8">
        <v>20546.794623498528</v>
      </c>
      <c r="DE51" s="8">
        <v>20018.586695833455</v>
      </c>
      <c r="DF51" s="8">
        <v>54500</v>
      </c>
      <c r="DG51" s="8">
        <v>53303.480698062885</v>
      </c>
      <c r="DH51" s="8">
        <v>51962.034759629561</v>
      </c>
      <c r="DI51" s="8">
        <v>171500</v>
      </c>
      <c r="DJ51" s="8">
        <v>174519.99825778021</v>
      </c>
      <c r="DK51" s="8">
        <v>169336.73274266036</v>
      </c>
      <c r="DL51" s="8">
        <v>26200</v>
      </c>
      <c r="DM51" s="8">
        <v>25324.607626315279</v>
      </c>
      <c r="DN51" s="8">
        <v>24513.738201898723</v>
      </c>
      <c r="DO51" s="8">
        <v>28400</v>
      </c>
      <c r="DP51" s="8">
        <v>28464.810835939228</v>
      </c>
      <c r="DQ51" s="8">
        <v>27475.647681090599</v>
      </c>
      <c r="DR51" s="8">
        <v>4830</v>
      </c>
      <c r="DS51" s="8">
        <v>4938.5660420662871</v>
      </c>
      <c r="DT51" s="8">
        <v>4782.824282122072</v>
      </c>
      <c r="DU51" s="8">
        <v>173500</v>
      </c>
      <c r="DV51" s="8">
        <v>172164.34419287808</v>
      </c>
      <c r="DW51" s="8">
        <v>167310.6110215926</v>
      </c>
      <c r="DX51" s="8">
        <v>57300</v>
      </c>
      <c r="DY51" s="8">
        <v>61315.750418336567</v>
      </c>
      <c r="DZ51" s="8">
        <v>58892.6523526897</v>
      </c>
      <c r="EA51" s="8">
        <v>11950</v>
      </c>
      <c r="EB51" s="8">
        <v>11655.450532391393</v>
      </c>
      <c r="EC51" s="8">
        <v>11308.296165032702</v>
      </c>
      <c r="ED51" s="8">
        <v>1500000</v>
      </c>
      <c r="EE51" s="8">
        <v>1490457.6149934093</v>
      </c>
      <c r="EF51" s="8">
        <v>1456695.5303922282</v>
      </c>
      <c r="EG51" s="8">
        <v>117500</v>
      </c>
      <c r="EH51" s="8">
        <v>124007.54061481742</v>
      </c>
      <c r="EI51" s="8">
        <v>119638.11447929598</v>
      </c>
      <c r="EJ51" s="8">
        <v>289000</v>
      </c>
      <c r="EK51" s="8">
        <v>296718.01595267694</v>
      </c>
      <c r="EL51" s="8">
        <v>287794.43126720854</v>
      </c>
      <c r="EM51" s="8">
        <v>12000</v>
      </c>
      <c r="EN51" s="8">
        <v>12533.027859094962</v>
      </c>
      <c r="EO51" s="8">
        <v>12183.966902126955</v>
      </c>
      <c r="EP51" s="8">
        <v>50300</v>
      </c>
      <c r="EQ51" s="8">
        <v>51062.490682149393</v>
      </c>
      <c r="ER51" s="8">
        <v>49347.076894650934</v>
      </c>
      <c r="ES51" s="8">
        <v>13400</v>
      </c>
      <c r="ET51" s="8">
        <v>14230.110681591881</v>
      </c>
      <c r="EU51" s="8">
        <v>13655.371995131842</v>
      </c>
      <c r="EV51">
        <v>342000</v>
      </c>
      <c r="EW51">
        <v>333134.81182732858</v>
      </c>
      <c r="EX51">
        <v>318745.86140068568</v>
      </c>
      <c r="EY51">
        <v>29500</v>
      </c>
      <c r="EZ51">
        <v>29520.803289516938</v>
      </c>
      <c r="FA51">
        <v>28714.09437509035</v>
      </c>
      <c r="FB51">
        <v>2710</v>
      </c>
      <c r="FC51">
        <v>2756.902420211919</v>
      </c>
      <c r="FD51">
        <v>2661.9561027473242</v>
      </c>
      <c r="FE51">
        <v>60700</v>
      </c>
      <c r="FF51">
        <v>60302.926158991453</v>
      </c>
      <c r="FG51">
        <v>59069.943010235271</v>
      </c>
      <c r="FH51">
        <v>52700</v>
      </c>
      <c r="FI51">
        <v>56454.987641515887</v>
      </c>
      <c r="FJ51">
        <v>53549.507917915413</v>
      </c>
      <c r="FK51">
        <v>85500</v>
      </c>
      <c r="FL51">
        <v>84133.535368825178</v>
      </c>
      <c r="FM51">
        <v>82012.459585179648</v>
      </c>
      <c r="FN51">
        <v>36300</v>
      </c>
      <c r="FO51">
        <v>35926.936185426894</v>
      </c>
      <c r="FP51">
        <v>34814.064403802317</v>
      </c>
      <c r="FQ51">
        <v>22700</v>
      </c>
      <c r="FR51">
        <v>22553.694262405763</v>
      </c>
      <c r="FS51">
        <v>21672.75438007135</v>
      </c>
      <c r="FT51">
        <v>913000</v>
      </c>
      <c r="FU51">
        <v>903807.98461928696</v>
      </c>
      <c r="FV51">
        <v>877242.38426860259</v>
      </c>
      <c r="FW51">
        <v>19100</v>
      </c>
      <c r="FX51">
        <v>19983.324926041485</v>
      </c>
      <c r="FY51">
        <v>19250.90872782081</v>
      </c>
      <c r="FZ51">
        <v>28600</v>
      </c>
      <c r="GA51">
        <v>30094.321060587699</v>
      </c>
      <c r="GB51">
        <v>28946.668392611333</v>
      </c>
      <c r="GC51">
        <v>20000</v>
      </c>
      <c r="GD51">
        <v>21083.304358748424</v>
      </c>
      <c r="GE51">
        <v>20591.163369399328</v>
      </c>
      <c r="GF51">
        <v>169000</v>
      </c>
      <c r="GG51">
        <v>173815.24902654361</v>
      </c>
      <c r="GH51">
        <v>168060.15880688699</v>
      </c>
      <c r="GI51">
        <v>4695</v>
      </c>
      <c r="GJ51">
        <v>4785.5314015929662</v>
      </c>
      <c r="GK51">
        <v>4492.7015600793829</v>
      </c>
      <c r="GL51">
        <v>10750</v>
      </c>
      <c r="GM51">
        <v>11902.883218880626</v>
      </c>
      <c r="GN51">
        <v>11330.161797639292</v>
      </c>
      <c r="GO51">
        <v>776000</v>
      </c>
      <c r="GP51">
        <v>793178.33486082451</v>
      </c>
      <c r="GQ51">
        <v>764088.97609341657</v>
      </c>
      <c r="GR51">
        <v>60100</v>
      </c>
      <c r="GS51">
        <v>60026.656651038757</v>
      </c>
      <c r="GT51">
        <v>59185.623855988742</v>
      </c>
      <c r="GU51">
        <v>8410</v>
      </c>
      <c r="GV51">
        <v>9136.8638703917968</v>
      </c>
      <c r="GW51">
        <v>8707.8487278628454</v>
      </c>
      <c r="GX51">
        <v>26750</v>
      </c>
      <c r="GY51">
        <v>26371.016404748774</v>
      </c>
      <c r="GZ51">
        <v>25297.864704417821</v>
      </c>
      <c r="HA51">
        <v>5600</v>
      </c>
      <c r="HB51">
        <v>5883.6516547129268</v>
      </c>
      <c r="HC51">
        <v>5676.528285706675</v>
      </c>
      <c r="HD51">
        <v>29050</v>
      </c>
      <c r="HE51">
        <v>29028.268178362989</v>
      </c>
      <c r="HF51">
        <v>27675.875233647999</v>
      </c>
      <c r="HG51">
        <v>11050</v>
      </c>
      <c r="HH51">
        <v>11427.398998792716</v>
      </c>
      <c r="HI51">
        <v>11035.745933468444</v>
      </c>
      <c r="HJ51">
        <v>4595</v>
      </c>
      <c r="HK51">
        <v>4704.8648234514703</v>
      </c>
      <c r="HL51">
        <v>4527.0340980535293</v>
      </c>
    </row>
    <row r="52" spans="1:220" x14ac:dyDescent="0.4">
      <c r="A52" s="11">
        <v>41407</v>
      </c>
      <c r="B52" s="8">
        <v>338000</v>
      </c>
      <c r="C52" s="8">
        <v>347321.6936740097</v>
      </c>
      <c r="D52" s="8">
        <v>337650.76636074373</v>
      </c>
      <c r="E52" s="8">
        <v>126500</v>
      </c>
      <c r="F52" s="8">
        <v>128174.86425528745</v>
      </c>
      <c r="G52" s="8">
        <v>125421.04932961073</v>
      </c>
      <c r="H52" s="8">
        <v>48900</v>
      </c>
      <c r="I52" s="8">
        <v>49729.58511198686</v>
      </c>
      <c r="J52" s="8">
        <v>47285.453072797151</v>
      </c>
      <c r="K52" s="8">
        <v>56300</v>
      </c>
      <c r="L52" s="8">
        <v>62221.562775756662</v>
      </c>
      <c r="M52" s="8">
        <v>59778.900992213596</v>
      </c>
      <c r="N52" s="8">
        <v>266500</v>
      </c>
      <c r="O52" s="8">
        <v>270016.63086124562</v>
      </c>
      <c r="P52" s="8">
        <v>263416.0863965631</v>
      </c>
      <c r="Q52" s="8">
        <v>82500</v>
      </c>
      <c r="R52" s="8">
        <v>82925.120494079398</v>
      </c>
      <c r="S52" s="8">
        <v>80726.51292361792</v>
      </c>
      <c r="T52" s="8">
        <v>17600</v>
      </c>
      <c r="U52" s="8">
        <v>17646.375392551196</v>
      </c>
      <c r="V52" s="8">
        <v>16984.12331262197</v>
      </c>
      <c r="W52" s="8">
        <v>14300</v>
      </c>
      <c r="X52" s="8">
        <v>14558.332766017396</v>
      </c>
      <c r="Y52" s="8">
        <v>14065.120686260763</v>
      </c>
      <c r="Z52" s="8">
        <v>22150</v>
      </c>
      <c r="AA52" s="8">
        <v>22598.490074001827</v>
      </c>
      <c r="AB52" s="8">
        <v>21675.108020833271</v>
      </c>
      <c r="AC52" s="8">
        <v>13350</v>
      </c>
      <c r="AD52" s="8">
        <v>13665.443189646176</v>
      </c>
      <c r="AE52" s="8">
        <v>13221.794009092737</v>
      </c>
      <c r="AF52" s="8">
        <v>39150</v>
      </c>
      <c r="AG52" s="8">
        <v>40243.248133331741</v>
      </c>
      <c r="AH52" s="8">
        <v>38425.193384741709</v>
      </c>
      <c r="AI52" s="8">
        <v>46200</v>
      </c>
      <c r="AJ52" s="8">
        <v>47242.927057303204</v>
      </c>
      <c r="AK52" s="8">
        <v>46129.643214112293</v>
      </c>
      <c r="AL52" s="8">
        <v>12300</v>
      </c>
      <c r="AM52" s="8">
        <v>12476.267884309835</v>
      </c>
      <c r="AN52" s="8">
        <v>11888.293381903972</v>
      </c>
      <c r="AO52" s="8">
        <v>15150</v>
      </c>
      <c r="AP52" s="8">
        <v>15661.508810060986</v>
      </c>
      <c r="AQ52" s="8">
        <v>15054.896366307989</v>
      </c>
      <c r="AR52" s="8">
        <v>26500</v>
      </c>
      <c r="AS52" s="8">
        <v>26697.969416517273</v>
      </c>
      <c r="AT52" s="8">
        <v>25807.761518290907</v>
      </c>
      <c r="AU52" s="8">
        <v>176500</v>
      </c>
      <c r="AV52" s="8">
        <v>179251.49294774787</v>
      </c>
      <c r="AW52" s="8">
        <v>173268.36386917843</v>
      </c>
      <c r="AX52" s="8">
        <v>625000</v>
      </c>
      <c r="AY52" s="8">
        <v>623999.73258192884</v>
      </c>
      <c r="AZ52" s="8">
        <v>607736.59258935193</v>
      </c>
      <c r="BA52" s="8">
        <v>199500</v>
      </c>
      <c r="BB52" s="8">
        <v>201894.98653884619</v>
      </c>
      <c r="BC52" s="8">
        <v>197368.14280666687</v>
      </c>
      <c r="BD52" s="8">
        <v>29850</v>
      </c>
      <c r="BE52" s="8">
        <v>30563.639742787127</v>
      </c>
      <c r="BF52" s="8">
        <v>29338.699214029224</v>
      </c>
      <c r="BG52" s="8">
        <v>33200</v>
      </c>
      <c r="BH52" s="8">
        <v>31994.624867357688</v>
      </c>
      <c r="BI52" s="8">
        <v>30799.824395575328</v>
      </c>
      <c r="BJ52" s="8">
        <v>74200</v>
      </c>
      <c r="BK52" s="8">
        <v>76115.623442562995</v>
      </c>
      <c r="BL52" s="8">
        <v>74045.434311396297</v>
      </c>
      <c r="BM52" s="8">
        <v>1114000</v>
      </c>
      <c r="BN52" s="8">
        <v>1120336.3038521172</v>
      </c>
      <c r="BO52" s="8">
        <v>1087746.6246317308</v>
      </c>
      <c r="BP52" s="8">
        <v>37350</v>
      </c>
      <c r="BQ52" s="8">
        <v>38256.031933841165</v>
      </c>
      <c r="BR52" s="8">
        <v>36509.143784368011</v>
      </c>
      <c r="BS52" s="8">
        <v>137500</v>
      </c>
      <c r="BT52" s="8">
        <v>141393.52535877342</v>
      </c>
      <c r="BU52" s="8">
        <v>136894.73137514593</v>
      </c>
      <c r="BV52" s="8">
        <v>41450</v>
      </c>
      <c r="BW52" s="8">
        <v>40682.352930974303</v>
      </c>
      <c r="BX52" s="8">
        <v>39234.384402466087</v>
      </c>
      <c r="BY52" s="8">
        <v>24650</v>
      </c>
      <c r="BZ52" s="8">
        <v>25445.41543702719</v>
      </c>
      <c r="CA52" s="8">
        <v>24180.825750194141</v>
      </c>
      <c r="CB52" s="8">
        <v>95700</v>
      </c>
      <c r="CC52" s="8">
        <v>97804.903043188824</v>
      </c>
      <c r="CD52" s="8">
        <v>94975.26265434621</v>
      </c>
      <c r="CE52" s="8">
        <v>17000</v>
      </c>
      <c r="CF52" s="8">
        <v>17504.941652376172</v>
      </c>
      <c r="CG52" s="8">
        <v>17010.99204524589</v>
      </c>
      <c r="CH52" s="8">
        <v>57300</v>
      </c>
      <c r="CI52" s="8">
        <v>59115.662368564575</v>
      </c>
      <c r="CJ52" s="8">
        <v>57246.440144104788</v>
      </c>
      <c r="CK52" s="8">
        <v>321500</v>
      </c>
      <c r="CL52" s="8">
        <v>321483.19065275503</v>
      </c>
      <c r="CM52" s="8">
        <v>316864.37060152693</v>
      </c>
      <c r="CN52" s="8">
        <v>100500</v>
      </c>
      <c r="CO52" s="8">
        <v>101620.91117758914</v>
      </c>
      <c r="CP52" s="8">
        <v>98926.809254596199</v>
      </c>
      <c r="CQ52" s="8">
        <v>87600</v>
      </c>
      <c r="CR52" s="8">
        <v>88138.323577054878</v>
      </c>
      <c r="CS52" s="8">
        <v>86630.59103278906</v>
      </c>
      <c r="CT52" s="8">
        <v>23700</v>
      </c>
      <c r="CU52" s="8">
        <v>23437.951402917199</v>
      </c>
      <c r="CV52" s="8">
        <v>22444.681289980461</v>
      </c>
      <c r="CW52" s="8">
        <v>131500</v>
      </c>
      <c r="CX52" s="8">
        <v>131644.06321653503</v>
      </c>
      <c r="CY52" s="8">
        <v>129314.70831529639</v>
      </c>
      <c r="CZ52" s="8">
        <v>24350</v>
      </c>
      <c r="DA52" s="8">
        <v>24427.126812834635</v>
      </c>
      <c r="DB52" s="8">
        <v>23526.312181721023</v>
      </c>
      <c r="DC52" s="8">
        <v>20224</v>
      </c>
      <c r="DD52" s="8">
        <v>20867.838289490694</v>
      </c>
      <c r="DE52" s="8">
        <v>20331.377112955852</v>
      </c>
      <c r="DF52" s="8">
        <v>52500</v>
      </c>
      <c r="DG52" s="8">
        <v>52897.358940363316</v>
      </c>
      <c r="DH52" s="8">
        <v>51566.133542413299</v>
      </c>
      <c r="DI52" s="8">
        <v>171500</v>
      </c>
      <c r="DJ52" s="8">
        <v>168923.14700169981</v>
      </c>
      <c r="DK52" s="8">
        <v>163906.10866053423</v>
      </c>
      <c r="DL52" s="8">
        <v>24850</v>
      </c>
      <c r="DM52" s="8">
        <v>26139.886745069911</v>
      </c>
      <c r="DN52" s="8">
        <v>25302.912872382396</v>
      </c>
      <c r="DO52" s="8">
        <v>28000</v>
      </c>
      <c r="DP52" s="8">
        <v>28413.980816589319</v>
      </c>
      <c r="DQ52" s="8">
        <v>27426.584024517204</v>
      </c>
      <c r="DR52" s="8">
        <v>4850</v>
      </c>
      <c r="DS52" s="8">
        <v>4887.6529900862215</v>
      </c>
      <c r="DT52" s="8">
        <v>4733.5168152960705</v>
      </c>
      <c r="DU52" s="8">
        <v>169500</v>
      </c>
      <c r="DV52" s="8">
        <v>173687.92246007183</v>
      </c>
      <c r="DW52" s="8">
        <v>168791.23589789003</v>
      </c>
      <c r="DX52" s="8">
        <v>60000</v>
      </c>
      <c r="DY52" s="8">
        <v>60600.399996789332</v>
      </c>
      <c r="DZ52" s="8">
        <v>58205.571408575008</v>
      </c>
      <c r="EA52" s="8">
        <v>11500</v>
      </c>
      <c r="EB52" s="8">
        <v>11807.478148031294</v>
      </c>
      <c r="EC52" s="8">
        <v>11455.795680228794</v>
      </c>
      <c r="ED52" s="8">
        <v>1477000</v>
      </c>
      <c r="EE52" s="8">
        <v>1489448.5035411466</v>
      </c>
      <c r="EF52" s="8">
        <v>1455709.2774941979</v>
      </c>
      <c r="EG52" s="8">
        <v>122000</v>
      </c>
      <c r="EH52" s="8">
        <v>120958.17486199405</v>
      </c>
      <c r="EI52" s="8">
        <v>116696.19363144445</v>
      </c>
      <c r="EJ52" s="8">
        <v>292000</v>
      </c>
      <c r="EK52" s="8">
        <v>295193.77956935851</v>
      </c>
      <c r="EL52" s="8">
        <v>286316.03521617851</v>
      </c>
      <c r="EM52" s="8">
        <v>12350</v>
      </c>
      <c r="EN52" s="8">
        <v>12533.027859094962</v>
      </c>
      <c r="EO52" s="8">
        <v>12183.966902126955</v>
      </c>
      <c r="EP52" s="8">
        <v>50000</v>
      </c>
      <c r="EQ52" s="8">
        <v>50041.2408685064</v>
      </c>
      <c r="ER52" s="8">
        <v>48360.135356757914</v>
      </c>
      <c r="ES52" s="8">
        <v>13950</v>
      </c>
      <c r="ET52" s="8">
        <v>13465.050967527803</v>
      </c>
      <c r="EU52" s="8">
        <v>12921.212210447335</v>
      </c>
      <c r="EV52">
        <v>327000</v>
      </c>
      <c r="EW52">
        <v>346888.08387524565</v>
      </c>
      <c r="EX52">
        <v>331905.09421080555</v>
      </c>
      <c r="EY52">
        <v>29100</v>
      </c>
      <c r="EZ52">
        <v>29520.803289516938</v>
      </c>
      <c r="FA52">
        <v>28714.09437509035</v>
      </c>
      <c r="FB52">
        <v>2710</v>
      </c>
      <c r="FC52">
        <v>2644.9986319376339</v>
      </c>
      <c r="FD52">
        <v>2553.9062240380226</v>
      </c>
      <c r="FE52">
        <v>59900</v>
      </c>
      <c r="FF52">
        <v>60403.59882369767</v>
      </c>
      <c r="FG52">
        <v>59168.557272355916</v>
      </c>
      <c r="FH52">
        <v>54900</v>
      </c>
      <c r="FI52">
        <v>55529.496040835278</v>
      </c>
      <c r="FJ52">
        <v>52671.647132375794</v>
      </c>
      <c r="FK52">
        <v>83200</v>
      </c>
      <c r="FL52">
        <v>84234.657406528044</v>
      </c>
      <c r="FM52">
        <v>82111.032252950245</v>
      </c>
      <c r="FN52">
        <v>35500</v>
      </c>
      <c r="FO52">
        <v>36382.348052566071</v>
      </c>
      <c r="FP52">
        <v>35255.369445540629</v>
      </c>
      <c r="FQ52">
        <v>22000</v>
      </c>
      <c r="FR52">
        <v>22092.368697947481</v>
      </c>
      <c r="FS52">
        <v>21229.448040479001</v>
      </c>
      <c r="FT52">
        <v>891000</v>
      </c>
      <c r="FU52">
        <v>892649.86135238223</v>
      </c>
      <c r="FV52">
        <v>866412.23137639766</v>
      </c>
      <c r="FW52">
        <v>19700</v>
      </c>
      <c r="FX52">
        <v>20439.796815215046</v>
      </c>
      <c r="FY52">
        <v>19690.650297745677</v>
      </c>
      <c r="FZ52">
        <v>29600</v>
      </c>
      <c r="GA52">
        <v>29331.796033714687</v>
      </c>
      <c r="GB52">
        <v>28213.222402933668</v>
      </c>
      <c r="GC52">
        <v>20900</v>
      </c>
      <c r="GD52">
        <v>21385.935521792642</v>
      </c>
      <c r="GE52">
        <v>20886.730307716043</v>
      </c>
      <c r="GF52">
        <v>171000</v>
      </c>
      <c r="GG52">
        <v>175848.17591574279</v>
      </c>
      <c r="GH52">
        <v>170025.77469936502</v>
      </c>
      <c r="GI52">
        <v>4605</v>
      </c>
      <c r="GJ52">
        <v>4816.707501929076</v>
      </c>
      <c r="GK52">
        <v>4521.9699741515606</v>
      </c>
      <c r="GL52">
        <v>11600</v>
      </c>
      <c r="GM52">
        <v>12005.494281112371</v>
      </c>
      <c r="GN52">
        <v>11427.835606239645</v>
      </c>
      <c r="GO52">
        <v>781000</v>
      </c>
      <c r="GP52">
        <v>812474.60677165096</v>
      </c>
      <c r="GQ52">
        <v>782677.5683415276</v>
      </c>
      <c r="GR52">
        <v>59700</v>
      </c>
      <c r="GS52">
        <v>59222.279342482099</v>
      </c>
      <c r="GT52">
        <v>58392.516668638789</v>
      </c>
      <c r="GU52">
        <v>8910</v>
      </c>
      <c r="GV52">
        <v>9393.2292988539684</v>
      </c>
      <c r="GW52">
        <v>8952.1766944134306</v>
      </c>
      <c r="GX52">
        <v>25750</v>
      </c>
      <c r="GY52">
        <v>26422.222261845367</v>
      </c>
      <c r="GZ52">
        <v>25346.986771805037</v>
      </c>
      <c r="HA52">
        <v>5770</v>
      </c>
      <c r="HB52">
        <v>5761.2880154468012</v>
      </c>
      <c r="HC52">
        <v>5558.472238170315</v>
      </c>
      <c r="HD52">
        <v>28250</v>
      </c>
      <c r="HE52">
        <v>29028.268178362989</v>
      </c>
      <c r="HF52">
        <v>27675.875233647999</v>
      </c>
      <c r="HG52">
        <v>11250</v>
      </c>
      <c r="HH52">
        <v>11325.822118803459</v>
      </c>
      <c r="HI52">
        <v>10937.650414059848</v>
      </c>
      <c r="HJ52">
        <v>4625</v>
      </c>
      <c r="HK52">
        <v>4847.2823532424291</v>
      </c>
      <c r="HL52">
        <v>4664.0686437243348</v>
      </c>
    </row>
    <row r="53" spans="1:220" x14ac:dyDescent="0.4">
      <c r="A53" s="11">
        <v>41404</v>
      </c>
      <c r="B53" s="8">
        <v>341200</v>
      </c>
      <c r="C53" s="8">
        <v>348645.01782927412</v>
      </c>
      <c r="D53" s="8">
        <v>338937.24348931637</v>
      </c>
      <c r="E53" s="8">
        <v>126500</v>
      </c>
      <c r="F53" s="8">
        <v>130201.34432256487</v>
      </c>
      <c r="G53" s="8">
        <v>127403.99082098811</v>
      </c>
      <c r="H53" s="8">
        <v>48900</v>
      </c>
      <c r="I53" s="8">
        <v>50543.15705655919</v>
      </c>
      <c r="J53" s="8">
        <v>48059.039217137339</v>
      </c>
      <c r="K53" s="8">
        <v>60900</v>
      </c>
      <c r="L53" s="8">
        <v>63958.453690679184</v>
      </c>
      <c r="M53" s="8">
        <v>61447.605946019154</v>
      </c>
      <c r="N53" s="8">
        <v>266500</v>
      </c>
      <c r="O53" s="8">
        <v>272043.02208722138</v>
      </c>
      <c r="P53" s="8">
        <v>265392.94257965189</v>
      </c>
      <c r="Q53" s="8">
        <v>81600</v>
      </c>
      <c r="R53" s="8">
        <v>80791.018128422962</v>
      </c>
      <c r="S53" s="8">
        <v>78648.992370436594</v>
      </c>
      <c r="T53" s="8">
        <v>17300</v>
      </c>
      <c r="U53" s="8">
        <v>18309.38949689559</v>
      </c>
      <c r="V53" s="8">
        <v>17622.25511338521</v>
      </c>
      <c r="W53" s="8">
        <v>14300</v>
      </c>
      <c r="X53" s="8">
        <v>14558.332766017396</v>
      </c>
      <c r="Y53" s="8">
        <v>14065.120686260763</v>
      </c>
      <c r="Z53" s="8">
        <v>22100</v>
      </c>
      <c r="AA53" s="8">
        <v>22956.384713182866</v>
      </c>
      <c r="AB53" s="8">
        <v>22018.378962339691</v>
      </c>
      <c r="AC53" s="8">
        <v>13500</v>
      </c>
      <c r="AD53" s="8">
        <v>13867.894199863156</v>
      </c>
      <c r="AE53" s="8">
        <v>13417.672438857075</v>
      </c>
      <c r="AF53" s="8">
        <v>39500</v>
      </c>
      <c r="AG53" s="8">
        <v>41160.182900926615</v>
      </c>
      <c r="AH53" s="8">
        <v>39300.704120090231</v>
      </c>
      <c r="AI53" s="8">
        <v>46600</v>
      </c>
      <c r="AJ53" s="8">
        <v>47394.996564998459</v>
      </c>
      <c r="AK53" s="8">
        <v>46278.129190123451</v>
      </c>
      <c r="AL53" s="8">
        <v>12100</v>
      </c>
      <c r="AM53" s="8">
        <v>12166.938928500491</v>
      </c>
      <c r="AN53" s="8">
        <v>11593.542306319567</v>
      </c>
      <c r="AO53" s="8">
        <v>15300</v>
      </c>
      <c r="AP53" s="8">
        <v>16582.774034182217</v>
      </c>
      <c r="AQ53" s="8">
        <v>15940.478505502571</v>
      </c>
      <c r="AR53" s="8">
        <v>26250</v>
      </c>
      <c r="AS53" s="8">
        <v>25884.317015251982</v>
      </c>
      <c r="AT53" s="8">
        <v>25021.239262495372</v>
      </c>
      <c r="AU53" s="8">
        <v>177000</v>
      </c>
      <c r="AV53" s="8">
        <v>179251.49294774787</v>
      </c>
      <c r="AW53" s="8">
        <v>173268.36386917843</v>
      </c>
      <c r="AX53" s="8">
        <v>616000</v>
      </c>
      <c r="AY53" s="8">
        <v>635142.58494946256</v>
      </c>
      <c r="AZ53" s="8">
        <v>618589.03174273251</v>
      </c>
      <c r="BA53" s="8">
        <v>200000</v>
      </c>
      <c r="BB53" s="8">
        <v>205428.14880327578</v>
      </c>
      <c r="BC53" s="8">
        <v>200822.08530578332</v>
      </c>
      <c r="BD53" s="8">
        <v>29850</v>
      </c>
      <c r="BE53" s="8">
        <v>32304.282542208875</v>
      </c>
      <c r="BF53" s="8">
        <v>31009.579906285529</v>
      </c>
      <c r="BG53" s="8">
        <v>31300</v>
      </c>
      <c r="BH53" s="8">
        <v>32454.611486856451</v>
      </c>
      <c r="BI53" s="8">
        <v>31242.633372508528</v>
      </c>
      <c r="BJ53" s="8">
        <v>75300</v>
      </c>
      <c r="BK53" s="8">
        <v>78945.952069909312</v>
      </c>
      <c r="BL53" s="8">
        <v>76798.783794422998</v>
      </c>
      <c r="BM53" s="8">
        <v>1105000</v>
      </c>
      <c r="BN53" s="8">
        <v>1163933.1011965885</v>
      </c>
      <c r="BO53" s="8">
        <v>1130075.2263142322</v>
      </c>
      <c r="BP53" s="8">
        <v>37250</v>
      </c>
      <c r="BQ53" s="8">
        <v>38256.031933841165</v>
      </c>
      <c r="BR53" s="8">
        <v>36509.143784368011</v>
      </c>
      <c r="BS53" s="8">
        <v>139500</v>
      </c>
      <c r="BT53" s="8">
        <v>139873.16487104466</v>
      </c>
      <c r="BU53" s="8">
        <v>135422.74501627337</v>
      </c>
      <c r="BV53" s="8">
        <v>40000</v>
      </c>
      <c r="BW53" s="8">
        <v>40885.764695629223</v>
      </c>
      <c r="BX53" s="8">
        <v>39430.556324478472</v>
      </c>
      <c r="BY53" s="8">
        <v>24650</v>
      </c>
      <c r="BZ53" s="8">
        <v>23432.492106309008</v>
      </c>
      <c r="CA53" s="8">
        <v>22267.94095453983</v>
      </c>
      <c r="CB53" s="8">
        <v>96500</v>
      </c>
      <c r="CC53" s="8">
        <v>99223.83427904862</v>
      </c>
      <c r="CD53" s="8">
        <v>96353.142112544039</v>
      </c>
      <c r="CE53" s="8">
        <v>17300</v>
      </c>
      <c r="CF53" s="8">
        <v>17808.495553862449</v>
      </c>
      <c r="CG53" s="8">
        <v>17305.980346608521</v>
      </c>
      <c r="CH53" s="8">
        <v>58000</v>
      </c>
      <c r="CI53" s="8">
        <v>58504.121033717325</v>
      </c>
      <c r="CJ53" s="8">
        <v>56654.235590889883</v>
      </c>
      <c r="CK53" s="8">
        <v>319500</v>
      </c>
      <c r="CL53" s="8">
        <v>325508.01933072368</v>
      </c>
      <c r="CM53" s="8">
        <v>320831.37367635028</v>
      </c>
      <c r="CN53" s="8">
        <v>99900</v>
      </c>
      <c r="CO53" s="8">
        <v>100603.68483947513</v>
      </c>
      <c r="CP53" s="8">
        <v>97936.550903699346</v>
      </c>
      <c r="CQ53" s="8">
        <v>87700</v>
      </c>
      <c r="CR53" s="8">
        <v>89243.821364224335</v>
      </c>
      <c r="CS53" s="8">
        <v>87717.177693405567</v>
      </c>
      <c r="CT53" s="8">
        <v>23000</v>
      </c>
      <c r="CU53" s="8">
        <v>27565.068932561342</v>
      </c>
      <c r="CV53" s="8">
        <v>26396.896908433573</v>
      </c>
      <c r="CW53" s="8">
        <v>130500</v>
      </c>
      <c r="CX53" s="8">
        <v>132148.44660050623</v>
      </c>
      <c r="CY53" s="8">
        <v>129810.16696784523</v>
      </c>
      <c r="CZ53" s="8">
        <v>23900</v>
      </c>
      <c r="DA53" s="8">
        <v>24222.715709798358</v>
      </c>
      <c r="DB53" s="8">
        <v>23329.439276434652</v>
      </c>
      <c r="DC53" s="8">
        <v>20540</v>
      </c>
      <c r="DD53" s="8">
        <v>21375.818773655526</v>
      </c>
      <c r="DE53" s="8">
        <v>20826.298659035612</v>
      </c>
      <c r="DF53" s="8">
        <v>52100</v>
      </c>
      <c r="DG53" s="8">
        <v>54724.906850011263</v>
      </c>
      <c r="DH53" s="8">
        <v>53347.689019886384</v>
      </c>
      <c r="DI53" s="8">
        <v>166000</v>
      </c>
      <c r="DJ53" s="8">
        <v>168923.14700169981</v>
      </c>
      <c r="DK53" s="8">
        <v>163906.10866053423</v>
      </c>
      <c r="DL53" s="8">
        <v>25650</v>
      </c>
      <c r="DM53" s="8">
        <v>25987.021910303414</v>
      </c>
      <c r="DN53" s="8">
        <v>25154.942621666709</v>
      </c>
      <c r="DO53" s="8">
        <v>27950</v>
      </c>
      <c r="DP53" s="8">
        <v>28871.450990738351</v>
      </c>
      <c r="DQ53" s="8">
        <v>27868.156933677597</v>
      </c>
      <c r="DR53" s="8">
        <v>4800</v>
      </c>
      <c r="DS53" s="8">
        <v>4908.0182108782428</v>
      </c>
      <c r="DT53" s="8">
        <v>4753.2398020264664</v>
      </c>
      <c r="DU53" s="8">
        <v>171000</v>
      </c>
      <c r="DV53" s="8">
        <v>181813.67321843767</v>
      </c>
      <c r="DW53" s="8">
        <v>176687.90190480879</v>
      </c>
      <c r="DX53" s="8">
        <v>59300</v>
      </c>
      <c r="DY53" s="8">
        <v>59782.856657878117</v>
      </c>
      <c r="DZ53" s="8">
        <v>57420.336043872427</v>
      </c>
      <c r="EA53" s="8">
        <v>11650</v>
      </c>
      <c r="EB53" s="8">
        <v>12162.209251191016</v>
      </c>
      <c r="EC53" s="8">
        <v>11799.961215686293</v>
      </c>
      <c r="ED53" s="8">
        <v>1476000</v>
      </c>
      <c r="EE53" s="8">
        <v>1528803.8501794285</v>
      </c>
      <c r="EF53" s="8">
        <v>1494173.140517418</v>
      </c>
      <c r="EG53" s="8">
        <v>119000</v>
      </c>
      <c r="EH53" s="8">
        <v>127056.90636764061</v>
      </c>
      <c r="EI53" s="8">
        <v>122580.03532714733</v>
      </c>
      <c r="EJ53" s="8">
        <v>290500</v>
      </c>
      <c r="EK53" s="8">
        <v>293161.46439160063</v>
      </c>
      <c r="EL53" s="8">
        <v>284344.84048147174</v>
      </c>
      <c r="EM53" s="8">
        <v>12350</v>
      </c>
      <c r="EN53" s="8">
        <v>12786.732876485547</v>
      </c>
      <c r="EO53" s="8">
        <v>12430.605908242884</v>
      </c>
      <c r="EP53" s="8">
        <v>49000</v>
      </c>
      <c r="EQ53" s="8">
        <v>49683.803433731366</v>
      </c>
      <c r="ER53" s="8">
        <v>48014.705818495364</v>
      </c>
      <c r="ES53" s="8">
        <v>13200</v>
      </c>
      <c r="ET53" s="8">
        <v>13975.090776903849</v>
      </c>
      <c r="EU53" s="8">
        <v>13410.652066903667</v>
      </c>
      <c r="EV53">
        <v>340500</v>
      </c>
      <c r="EW53">
        <v>361150.73636938212</v>
      </c>
      <c r="EX53">
        <v>345551.70601389313</v>
      </c>
      <c r="EY53">
        <v>29100</v>
      </c>
      <c r="EZ53">
        <v>29470.080259809893</v>
      </c>
      <c r="FA53">
        <v>28664.757443174418</v>
      </c>
      <c r="FB53">
        <v>2600</v>
      </c>
      <c r="FC53">
        <v>2619.5659527843882</v>
      </c>
      <c r="FD53">
        <v>2529.3494334222733</v>
      </c>
      <c r="FE53">
        <v>60000</v>
      </c>
      <c r="FF53">
        <v>61611.670800171625</v>
      </c>
      <c r="FG53">
        <v>60351.928417803036</v>
      </c>
      <c r="FH53">
        <v>54000</v>
      </c>
      <c r="FI53">
        <v>54089.842439776578</v>
      </c>
      <c r="FJ53">
        <v>51306.08591042531</v>
      </c>
      <c r="FK53">
        <v>83300</v>
      </c>
      <c r="FL53">
        <v>85144.755745854301</v>
      </c>
      <c r="FM53">
        <v>82998.186262886113</v>
      </c>
      <c r="FN53">
        <v>35950</v>
      </c>
      <c r="FO53">
        <v>37040.165193989364</v>
      </c>
      <c r="FP53">
        <v>35892.810061384873</v>
      </c>
      <c r="FQ53">
        <v>21550</v>
      </c>
      <c r="FR53">
        <v>21784.818321641927</v>
      </c>
      <c r="FS53">
        <v>20933.910480750732</v>
      </c>
      <c r="FT53">
        <v>880000</v>
      </c>
      <c r="FU53">
        <v>902793.60977684218</v>
      </c>
      <c r="FV53">
        <v>876257.82491476682</v>
      </c>
      <c r="FW53">
        <v>20150</v>
      </c>
      <c r="FX53">
        <v>21707.774285141506</v>
      </c>
      <c r="FY53">
        <v>20912.154658647978</v>
      </c>
      <c r="FZ53">
        <v>28850</v>
      </c>
      <c r="GA53">
        <v>31161.856098209882</v>
      </c>
      <c r="GB53">
        <v>29973.492778160031</v>
      </c>
      <c r="GC53">
        <v>21200</v>
      </c>
      <c r="GD53">
        <v>21385.935521792642</v>
      </c>
      <c r="GE53">
        <v>20886.730307716043</v>
      </c>
      <c r="GF53">
        <v>173000</v>
      </c>
      <c r="GG53">
        <v>174831.71247114314</v>
      </c>
      <c r="GH53">
        <v>169042.96675312598</v>
      </c>
      <c r="GI53">
        <v>4635</v>
      </c>
      <c r="GJ53">
        <v>4562.102682517504</v>
      </c>
      <c r="GK53">
        <v>4282.9445925621012</v>
      </c>
      <c r="GL53">
        <v>11700</v>
      </c>
      <c r="GM53">
        <v>12108.105343344092</v>
      </c>
      <c r="GN53">
        <v>11525.509414839975</v>
      </c>
      <c r="GO53">
        <v>800000</v>
      </c>
      <c r="GP53">
        <v>837864.43823326426</v>
      </c>
      <c r="GQ53">
        <v>807136.24235219962</v>
      </c>
      <c r="GR53">
        <v>58900</v>
      </c>
      <c r="GS53">
        <v>59222.279342482099</v>
      </c>
      <c r="GT53">
        <v>58392.516668638789</v>
      </c>
      <c r="GU53">
        <v>9160</v>
      </c>
      <c r="GV53">
        <v>9536.7939387927854</v>
      </c>
      <c r="GW53">
        <v>9089.0003556817574</v>
      </c>
      <c r="GX53">
        <v>25800</v>
      </c>
      <c r="GY53">
        <v>26627.045690231764</v>
      </c>
      <c r="GZ53">
        <v>25543.475041353911</v>
      </c>
      <c r="HA53">
        <v>5650</v>
      </c>
      <c r="HB53">
        <v>5608.3334663641381</v>
      </c>
      <c r="HC53">
        <v>5410.9021787498605</v>
      </c>
      <c r="HD53">
        <v>28250</v>
      </c>
      <c r="HE53">
        <v>29131.023109967817</v>
      </c>
      <c r="HF53">
        <v>27773.84293359012</v>
      </c>
      <c r="HG53">
        <v>11150</v>
      </c>
      <c r="HH53">
        <v>11173.456798819549</v>
      </c>
      <c r="HI53">
        <v>10790.507134946929</v>
      </c>
      <c r="HJ53">
        <v>4765</v>
      </c>
      <c r="HK53">
        <v>5020.2179251314546</v>
      </c>
      <c r="HL53">
        <v>4830.4677348960304</v>
      </c>
    </row>
    <row r="54" spans="1:220" x14ac:dyDescent="0.4">
      <c r="A54" s="11">
        <v>41403</v>
      </c>
      <c r="B54" s="10">
        <v>342500</v>
      </c>
      <c r="C54" s="10">
        <v>351495.25447138178</v>
      </c>
      <c r="D54" s="10">
        <v>341708.11730470316</v>
      </c>
      <c r="E54" s="10">
        <v>128500</v>
      </c>
      <c r="F54" s="10">
        <v>129188.10428892603</v>
      </c>
      <c r="G54" s="10">
        <v>126412.5200752993</v>
      </c>
      <c r="H54" s="10">
        <v>49700</v>
      </c>
      <c r="I54" s="10">
        <v>54509.320286349532</v>
      </c>
      <c r="J54" s="10">
        <v>51830.271670795992</v>
      </c>
      <c r="K54" s="10">
        <v>62600</v>
      </c>
      <c r="L54" s="10">
        <v>64162.793798317194</v>
      </c>
      <c r="M54" s="10">
        <v>61643.924175878696</v>
      </c>
      <c r="N54" s="10">
        <v>268500</v>
      </c>
      <c r="O54" s="10">
        <v>265963.84840929427</v>
      </c>
      <c r="P54" s="10">
        <v>259462.37403038557</v>
      </c>
      <c r="Q54" s="10">
        <v>79500</v>
      </c>
      <c r="R54" s="10">
        <v>79774.778906681764</v>
      </c>
      <c r="S54" s="10">
        <v>77659.696868921645</v>
      </c>
      <c r="T54" s="10">
        <v>17950</v>
      </c>
      <c r="U54" s="10">
        <v>18564.394921643459</v>
      </c>
      <c r="V54" s="10">
        <v>17867.690421371095</v>
      </c>
      <c r="W54" s="10">
        <v>14300</v>
      </c>
      <c r="X54" s="10">
        <v>13591.170799044206</v>
      </c>
      <c r="Y54" s="10">
        <v>13130.724556753921</v>
      </c>
      <c r="Z54" s="10">
        <v>22450</v>
      </c>
      <c r="AA54" s="10">
        <v>22700.745685196413</v>
      </c>
      <c r="AB54" s="10">
        <v>21773.185432692251</v>
      </c>
      <c r="AC54" s="10">
        <v>13700</v>
      </c>
      <c r="AD54" s="10">
        <v>13564.21768453768</v>
      </c>
      <c r="AE54" s="10">
        <v>13123.854794210563</v>
      </c>
      <c r="AF54" s="10">
        <v>40400</v>
      </c>
      <c r="AG54" s="10">
        <v>41465.827823458254</v>
      </c>
      <c r="AH54" s="10">
        <v>39592.541031873079</v>
      </c>
      <c r="AI54" s="10">
        <v>46750</v>
      </c>
      <c r="AJ54" s="10">
        <v>47242.927057303204</v>
      </c>
      <c r="AK54" s="10">
        <v>46129.643214112293</v>
      </c>
      <c r="AL54" s="10">
        <v>11800</v>
      </c>
      <c r="AM54" s="10">
        <v>12373.158232373375</v>
      </c>
      <c r="AN54" s="10">
        <v>11790.043023375823</v>
      </c>
      <c r="AO54" s="10">
        <v>16200</v>
      </c>
      <c r="AP54" s="10">
        <v>16531.592632842137</v>
      </c>
      <c r="AQ54" s="10">
        <v>15891.279497769528</v>
      </c>
      <c r="AR54" s="10">
        <v>25450</v>
      </c>
      <c r="AS54" s="10">
        <v>24918.10478874945</v>
      </c>
      <c r="AT54" s="10">
        <v>24087.244083738173</v>
      </c>
      <c r="AU54" s="10">
        <v>177000</v>
      </c>
      <c r="AV54" s="10">
        <v>170137.01025548938</v>
      </c>
      <c r="AW54" s="10">
        <v>164458.10807922011</v>
      </c>
      <c r="AX54" s="10">
        <v>627000</v>
      </c>
      <c r="AY54" s="10">
        <v>619947.78626646136</v>
      </c>
      <c r="AZ54" s="10">
        <v>603790.25107903115</v>
      </c>
      <c r="BA54" s="10">
        <v>203500</v>
      </c>
      <c r="BB54" s="10">
        <v>195838.13694268072</v>
      </c>
      <c r="BC54" s="10">
        <v>191447.09852246678</v>
      </c>
      <c r="BD54" s="10">
        <v>31550</v>
      </c>
      <c r="BE54" s="10">
        <v>32867.431683198236</v>
      </c>
      <c r="BF54" s="10">
        <v>31550.158953780192</v>
      </c>
      <c r="BG54" s="10">
        <v>31750</v>
      </c>
      <c r="BH54" s="10">
        <v>30767.993882027706</v>
      </c>
      <c r="BI54" s="10">
        <v>29619.00045708684</v>
      </c>
      <c r="BJ54" s="10">
        <v>78100</v>
      </c>
      <c r="BK54" s="10">
        <v>76924.288764662037</v>
      </c>
      <c r="BL54" s="10">
        <v>74832.105592261156</v>
      </c>
      <c r="BM54" s="10">
        <v>1148000</v>
      </c>
      <c r="BN54" s="10">
        <v>1137572.2469883047</v>
      </c>
      <c r="BO54" s="10">
        <v>1104481.1880876045</v>
      </c>
      <c r="BP54" s="10">
        <v>37250</v>
      </c>
      <c r="BQ54" s="10">
        <v>38256.031933841165</v>
      </c>
      <c r="BR54" s="10">
        <v>36509.143784368011</v>
      </c>
      <c r="BS54" s="10">
        <v>138000</v>
      </c>
      <c r="BT54" s="10">
        <v>142913.88584650223</v>
      </c>
      <c r="BU54" s="10">
        <v>138366.71773401852</v>
      </c>
      <c r="BV54" s="10">
        <v>40200</v>
      </c>
      <c r="BW54" s="10">
        <v>41292.588224938925</v>
      </c>
      <c r="BX54" s="10">
        <v>39822.900168503089</v>
      </c>
      <c r="BY54" s="10">
        <v>22700</v>
      </c>
      <c r="BZ54" s="10">
        <v>24000.239712409009</v>
      </c>
      <c r="CA54" s="10">
        <v>22807.472563570533</v>
      </c>
      <c r="CB54" s="10">
        <v>97900</v>
      </c>
      <c r="CC54" s="10">
        <v>99325.186510181447</v>
      </c>
      <c r="CD54" s="10">
        <v>96451.562073843859</v>
      </c>
      <c r="CE54" s="10">
        <v>17600</v>
      </c>
      <c r="CF54" s="10">
        <v>17909.680187691214</v>
      </c>
      <c r="CG54" s="10">
        <v>17404.30978039607</v>
      </c>
      <c r="CH54" s="10">
        <v>57400</v>
      </c>
      <c r="CI54" s="10">
        <v>59523.356591796059</v>
      </c>
      <c r="CJ54" s="10">
        <v>57641.243179581375</v>
      </c>
      <c r="CK54" s="10">
        <v>323500</v>
      </c>
      <c r="CL54" s="10">
        <v>322489.39782224753</v>
      </c>
      <c r="CM54" s="10">
        <v>317856.12137023307</v>
      </c>
      <c r="CN54" s="10">
        <v>98900</v>
      </c>
      <c r="CO54" s="10">
        <v>102231.24698045751</v>
      </c>
      <c r="CP54" s="10">
        <v>99520.964265134287</v>
      </c>
      <c r="CQ54" s="10">
        <v>88800</v>
      </c>
      <c r="CR54" s="10">
        <v>87937.323979387758</v>
      </c>
      <c r="CS54" s="10">
        <v>86433.029821767923</v>
      </c>
      <c r="CT54" s="10">
        <v>27050</v>
      </c>
      <c r="CU54" s="10">
        <v>27310.308591225246</v>
      </c>
      <c r="CV54" s="10">
        <v>26152.932981368529</v>
      </c>
      <c r="CW54" s="10">
        <v>131000</v>
      </c>
      <c r="CX54" s="10">
        <v>130130.91306462078</v>
      </c>
      <c r="CY54" s="10">
        <v>127828.33235764925</v>
      </c>
      <c r="CZ54" s="10">
        <v>23700</v>
      </c>
      <c r="DA54" s="10">
        <v>23813.893503725776</v>
      </c>
      <c r="DB54" s="10">
        <v>22935.693465861877</v>
      </c>
      <c r="DC54" s="10">
        <v>21040</v>
      </c>
      <c r="DD54" s="10">
        <v>21242.727886804347</v>
      </c>
      <c r="DE54" s="10">
        <v>20696.629213962722</v>
      </c>
      <c r="DF54" s="10">
        <v>53900</v>
      </c>
      <c r="DG54" s="10">
        <v>54623.376410586308</v>
      </c>
      <c r="DH54" s="10">
        <v>53248.713715582257</v>
      </c>
      <c r="DI54" s="10">
        <v>166000</v>
      </c>
      <c r="DJ54" s="10">
        <v>170449.56098063069</v>
      </c>
      <c r="DK54" s="10">
        <v>165387.18795565941</v>
      </c>
      <c r="DL54" s="10">
        <v>25500</v>
      </c>
      <c r="DM54" s="10">
        <v>25987.021910303414</v>
      </c>
      <c r="DN54" s="10">
        <v>25154.942621666709</v>
      </c>
      <c r="DO54" s="10">
        <v>28400</v>
      </c>
      <c r="DP54" s="10">
        <v>27397.380429591529</v>
      </c>
      <c r="DQ54" s="10">
        <v>26445.310893049718</v>
      </c>
      <c r="DR54" s="10">
        <v>4820</v>
      </c>
      <c r="DS54" s="10">
        <v>4979.2964836503352</v>
      </c>
      <c r="DT54" s="10">
        <v>4822.2702555828691</v>
      </c>
      <c r="DU54" s="10">
        <v>179000</v>
      </c>
      <c r="DV54" s="10">
        <v>182829.39206323345</v>
      </c>
      <c r="DW54" s="10">
        <v>177674.98515567367</v>
      </c>
      <c r="DX54" s="10">
        <v>58500</v>
      </c>
      <c r="DY54" s="10">
        <v>58556.54164951139</v>
      </c>
      <c r="DZ54" s="10">
        <v>56242.482996818639</v>
      </c>
      <c r="EA54" s="10">
        <v>12000</v>
      </c>
      <c r="EB54" s="10">
        <v>12010.181635551144</v>
      </c>
      <c r="EC54" s="10">
        <v>11652.46170049023</v>
      </c>
      <c r="ED54" s="10">
        <v>1515000</v>
      </c>
      <c r="EE54" s="10">
        <v>1501557.8409683115</v>
      </c>
      <c r="EF54" s="10">
        <v>1467544.3122705743</v>
      </c>
      <c r="EG54" s="10">
        <v>125000</v>
      </c>
      <c r="EH54" s="10">
        <v>131630.95499687566</v>
      </c>
      <c r="EI54" s="10">
        <v>126992.91659892462</v>
      </c>
      <c r="EJ54" s="10">
        <v>288500</v>
      </c>
      <c r="EK54" s="10">
        <v>305355.35545814864</v>
      </c>
      <c r="EL54" s="10">
        <v>296172.00888971286</v>
      </c>
      <c r="EM54" s="10">
        <v>12600</v>
      </c>
      <c r="EN54" s="10">
        <v>12837.473879963676</v>
      </c>
      <c r="EO54" s="10">
        <v>12479.93370946608</v>
      </c>
      <c r="EP54" s="10">
        <v>48650</v>
      </c>
      <c r="EQ54" s="10">
        <v>51164.61566351365</v>
      </c>
      <c r="ER54" s="10">
        <v>49445.77104844019</v>
      </c>
      <c r="ES54" s="10">
        <v>13700</v>
      </c>
      <c r="ET54" s="10">
        <v>14077.098738779063</v>
      </c>
      <c r="EU54" s="10">
        <v>13508.540038194937</v>
      </c>
      <c r="EV54">
        <v>354500</v>
      </c>
      <c r="EW54">
        <v>356566.31235340965</v>
      </c>
      <c r="EX54">
        <v>341165.29507718637</v>
      </c>
      <c r="EY54">
        <v>29050</v>
      </c>
      <c r="EZ54">
        <v>28962.849962739121</v>
      </c>
      <c r="FA54">
        <v>28171.388124014757</v>
      </c>
      <c r="FB54">
        <v>2575</v>
      </c>
      <c r="FC54">
        <v>2492.4025570181543</v>
      </c>
      <c r="FD54">
        <v>2406.5654803435204</v>
      </c>
      <c r="FE54">
        <v>61200</v>
      </c>
      <c r="FF54">
        <v>60202.253494285324</v>
      </c>
      <c r="FG54">
        <v>58971.328748114713</v>
      </c>
      <c r="FH54">
        <v>52600</v>
      </c>
      <c r="FI54">
        <v>54706.836840230346</v>
      </c>
      <c r="FJ54">
        <v>51891.326434118411</v>
      </c>
      <c r="FK54">
        <v>84200</v>
      </c>
      <c r="FL54">
        <v>83627.925180310573</v>
      </c>
      <c r="FM54">
        <v>81519.596246326386</v>
      </c>
      <c r="FN54">
        <v>36600</v>
      </c>
      <c r="FO54">
        <v>36483.55068970815</v>
      </c>
      <c r="FP54">
        <v>35353.43723259362</v>
      </c>
      <c r="FQ54">
        <v>21250</v>
      </c>
      <c r="FR54">
        <v>21118.459172979954</v>
      </c>
      <c r="FS54">
        <v>20293.57910133955</v>
      </c>
      <c r="FT54">
        <v>890000</v>
      </c>
      <c r="FU54">
        <v>893664.23619482876</v>
      </c>
      <c r="FV54">
        <v>867396.79073023505</v>
      </c>
      <c r="FW54">
        <v>21400</v>
      </c>
      <c r="FX54">
        <v>22012.088877923874</v>
      </c>
      <c r="FY54">
        <v>21205.315705264551</v>
      </c>
      <c r="FZ54">
        <v>30650</v>
      </c>
      <c r="GA54">
        <v>31822.7111214998</v>
      </c>
      <c r="GB54">
        <v>30609.145969213983</v>
      </c>
      <c r="GC54">
        <v>21200</v>
      </c>
      <c r="GD54">
        <v>21385.935521792642</v>
      </c>
      <c r="GE54">
        <v>20886.730307716043</v>
      </c>
      <c r="GF54">
        <v>172000</v>
      </c>
      <c r="GG54">
        <v>180422.26141644141</v>
      </c>
      <c r="GH54">
        <v>174448.41045744112</v>
      </c>
      <c r="GI54">
        <v>4390</v>
      </c>
      <c r="GJ54">
        <v>4655.630983525838</v>
      </c>
      <c r="GK54">
        <v>4370.7498347786386</v>
      </c>
      <c r="GL54">
        <v>11800</v>
      </c>
      <c r="GM54">
        <v>11954.188749996509</v>
      </c>
      <c r="GN54">
        <v>11378.998701939478</v>
      </c>
      <c r="GO54">
        <v>825000</v>
      </c>
      <c r="GP54">
        <v>824661.72587322583</v>
      </c>
      <c r="GQ54">
        <v>794417.73186665063</v>
      </c>
      <c r="GR54">
        <v>58900</v>
      </c>
      <c r="GS54">
        <v>58518.44919749508</v>
      </c>
      <c r="GT54">
        <v>57698.547879707628</v>
      </c>
      <c r="GU54">
        <v>9300</v>
      </c>
      <c r="GV54">
        <v>9588.0670244852099</v>
      </c>
      <c r="GW54">
        <v>9137.8659489918646</v>
      </c>
      <c r="GX54">
        <v>26000</v>
      </c>
      <c r="GY54">
        <v>26319.810547652178</v>
      </c>
      <c r="GZ54">
        <v>25248.742637030606</v>
      </c>
      <c r="HA54">
        <v>5500</v>
      </c>
      <c r="HB54">
        <v>5598.1364964252907</v>
      </c>
      <c r="HC54">
        <v>5401.0641747884938</v>
      </c>
      <c r="HD54">
        <v>28350</v>
      </c>
      <c r="HE54">
        <v>28411.738588734035</v>
      </c>
      <c r="HF54">
        <v>27088.069033995293</v>
      </c>
      <c r="HG54">
        <v>11000</v>
      </c>
      <c r="HH54">
        <v>11325.822118803459</v>
      </c>
      <c r="HI54">
        <v>10937.650414059848</v>
      </c>
      <c r="HJ54">
        <v>4935</v>
      </c>
      <c r="HK54">
        <v>5015.1315847817841</v>
      </c>
      <c r="HL54">
        <v>4825.5736439792217</v>
      </c>
    </row>
    <row r="55" spans="1:220" x14ac:dyDescent="0.4">
      <c r="A55" s="73">
        <v>41402</v>
      </c>
      <c r="B55" s="8">
        <v>345300</v>
      </c>
      <c r="C55" s="8">
        <v>346100.16368453496</v>
      </c>
      <c r="D55" s="8">
        <v>336463.24901129224</v>
      </c>
      <c r="E55" s="8">
        <v>127500</v>
      </c>
      <c r="F55" s="8">
        <v>129188.10428892603</v>
      </c>
      <c r="G55" s="8">
        <v>126412.5200752993</v>
      </c>
      <c r="H55" s="8">
        <v>53600</v>
      </c>
      <c r="I55" s="8">
        <v>64068.790635075078</v>
      </c>
      <c r="J55" s="8">
        <v>60919.908866793863</v>
      </c>
      <c r="K55" s="8">
        <v>62800</v>
      </c>
      <c r="L55" s="8">
        <v>63243.263313946372</v>
      </c>
      <c r="M55" s="8">
        <v>60760.492141510971</v>
      </c>
      <c r="N55" s="8">
        <v>262500</v>
      </c>
      <c r="O55" s="8">
        <v>264950.65279630688</v>
      </c>
      <c r="P55" s="8">
        <v>258473.94593884161</v>
      </c>
      <c r="Q55" s="8">
        <v>78500</v>
      </c>
      <c r="R55" s="8">
        <v>79266.659295811274</v>
      </c>
      <c r="S55" s="8">
        <v>77165.049118164286</v>
      </c>
      <c r="T55" s="8">
        <v>18200</v>
      </c>
      <c r="U55" s="8">
        <v>19023.404686189584</v>
      </c>
      <c r="V55" s="8">
        <v>18309.473975745648</v>
      </c>
      <c r="W55" s="8">
        <v>13350</v>
      </c>
      <c r="X55" s="8">
        <v>13642.074060463843</v>
      </c>
      <c r="Y55" s="8">
        <v>13179.903300412172</v>
      </c>
      <c r="Z55" s="8">
        <v>22200</v>
      </c>
      <c r="AA55" s="8">
        <v>22751.8734907937</v>
      </c>
      <c r="AB55" s="8">
        <v>21822.224138621736</v>
      </c>
      <c r="AC55" s="8">
        <v>13400</v>
      </c>
      <c r="AD55" s="8">
        <v>13007.47740644099</v>
      </c>
      <c r="AE55" s="8">
        <v>12585.189112358643</v>
      </c>
      <c r="AF55" s="8">
        <v>40700</v>
      </c>
      <c r="AG55" s="8">
        <v>42382.762591053171</v>
      </c>
      <c r="AH55" s="8">
        <v>40468.051767221637</v>
      </c>
      <c r="AI55" s="8">
        <v>46600</v>
      </c>
      <c r="AJ55" s="8">
        <v>45418.092964961026</v>
      </c>
      <c r="AK55" s="8">
        <v>44347.811501979202</v>
      </c>
      <c r="AL55" s="8">
        <v>12000</v>
      </c>
      <c r="AM55" s="8">
        <v>12321.603406405167</v>
      </c>
      <c r="AN55" s="8">
        <v>11740.917844111773</v>
      </c>
      <c r="AO55" s="8">
        <v>16150</v>
      </c>
      <c r="AP55" s="8">
        <v>16787.49963954249</v>
      </c>
      <c r="AQ55" s="8">
        <v>16137.274536434701</v>
      </c>
      <c r="AR55" s="8">
        <v>24500</v>
      </c>
      <c r="AS55" s="8">
        <v>24206.158937642318</v>
      </c>
      <c r="AT55" s="8">
        <v>23399.037109917081</v>
      </c>
      <c r="AU55" s="8">
        <v>168000</v>
      </c>
      <c r="AV55" s="8">
        <v>169630.65010591946</v>
      </c>
      <c r="AW55" s="8">
        <v>163968.64942422239</v>
      </c>
      <c r="AX55" s="8">
        <v>612000</v>
      </c>
      <c r="AY55" s="8">
        <v>619947.78626646136</v>
      </c>
      <c r="AZ55" s="8">
        <v>603790.25107903115</v>
      </c>
      <c r="BA55" s="8">
        <v>194000</v>
      </c>
      <c r="BB55" s="8">
        <v>196847.61187537492</v>
      </c>
      <c r="BC55" s="8">
        <v>192433.9392365001</v>
      </c>
      <c r="BD55" s="8">
        <v>32100</v>
      </c>
      <c r="BE55" s="8">
        <v>32406.673295116034</v>
      </c>
      <c r="BF55" s="8">
        <v>31107.867005830016</v>
      </c>
      <c r="BG55" s="8">
        <v>30100</v>
      </c>
      <c r="BH55" s="8">
        <v>30767.993882027706</v>
      </c>
      <c r="BI55" s="8">
        <v>29619.00045708684</v>
      </c>
      <c r="BJ55" s="8">
        <v>76100</v>
      </c>
      <c r="BK55" s="8">
        <v>76823.205599399589</v>
      </c>
      <c r="BL55" s="8">
        <v>74733.77168215299</v>
      </c>
      <c r="BM55" s="8">
        <v>1122000</v>
      </c>
      <c r="BN55" s="8">
        <v>1152780.4321084686</v>
      </c>
      <c r="BO55" s="8">
        <v>1119246.9793721978</v>
      </c>
      <c r="BP55" s="8">
        <v>37250</v>
      </c>
      <c r="BQ55" s="8">
        <v>37280.374743582113</v>
      </c>
      <c r="BR55" s="8">
        <v>35578.038103961291</v>
      </c>
      <c r="BS55" s="8">
        <v>141000</v>
      </c>
      <c r="BT55" s="8">
        <v>138859.59121255903</v>
      </c>
      <c r="BU55" s="8">
        <v>134441.42077702523</v>
      </c>
      <c r="BV55" s="8">
        <v>40600</v>
      </c>
      <c r="BW55" s="8">
        <v>42106.23528355841</v>
      </c>
      <c r="BX55" s="8">
        <v>40607.587856552404</v>
      </c>
      <c r="BY55" s="8">
        <v>23250</v>
      </c>
      <c r="BZ55" s="8">
        <v>24051.853131145352</v>
      </c>
      <c r="CA55" s="8">
        <v>22856.520891664215</v>
      </c>
      <c r="CB55" s="8">
        <v>98000</v>
      </c>
      <c r="CC55" s="8">
        <v>101149.52667057249</v>
      </c>
      <c r="CD55" s="8">
        <v>98223.121377240954</v>
      </c>
      <c r="CE55" s="8">
        <v>17700</v>
      </c>
      <c r="CF55" s="8">
        <v>18061.457138434358</v>
      </c>
      <c r="CG55" s="8">
        <v>17551.803931077393</v>
      </c>
      <c r="CH55" s="8">
        <v>58400</v>
      </c>
      <c r="CI55" s="8">
        <v>60236.82148245116</v>
      </c>
      <c r="CJ55" s="8">
        <v>58332.148491665415</v>
      </c>
      <c r="CK55" s="8">
        <v>320500</v>
      </c>
      <c r="CL55" s="8">
        <v>320980.08706800925</v>
      </c>
      <c r="CM55" s="8">
        <v>316368.49521717429</v>
      </c>
      <c r="CN55" s="8">
        <v>100500</v>
      </c>
      <c r="CO55" s="8">
        <v>100603.68483947513</v>
      </c>
      <c r="CP55" s="8">
        <v>97936.550903699346</v>
      </c>
      <c r="CQ55" s="8">
        <v>87500</v>
      </c>
      <c r="CR55" s="8">
        <v>88540.322772389336</v>
      </c>
      <c r="CS55" s="8">
        <v>87025.713454831537</v>
      </c>
      <c r="CT55" s="8">
        <v>26800</v>
      </c>
      <c r="CU55" s="8">
        <v>27768.877205630146</v>
      </c>
      <c r="CV55" s="8">
        <v>26592.068050085538</v>
      </c>
      <c r="CW55" s="8">
        <v>129000</v>
      </c>
      <c r="CX55" s="8">
        <v>128617.76291270643</v>
      </c>
      <c r="CY55" s="8">
        <v>126341.95640000202</v>
      </c>
      <c r="CZ55" s="8">
        <v>23300</v>
      </c>
      <c r="DA55" s="8">
        <v>24171.612934039273</v>
      </c>
      <c r="DB55" s="8">
        <v>23280.221050113043</v>
      </c>
      <c r="DC55" s="8">
        <v>20909</v>
      </c>
      <c r="DD55" s="8">
        <v>20841.423304314128</v>
      </c>
      <c r="DE55" s="8">
        <v>20305.641192559713</v>
      </c>
      <c r="DF55" s="8">
        <v>53800</v>
      </c>
      <c r="DG55" s="8">
        <v>55537.150365410234</v>
      </c>
      <c r="DH55" s="8">
        <v>54139.491454318762</v>
      </c>
      <c r="DI55" s="8">
        <v>167500</v>
      </c>
      <c r="DJ55" s="8">
        <v>171975.97495956192</v>
      </c>
      <c r="DK55" s="8">
        <v>166868.26725078491</v>
      </c>
      <c r="DL55" s="8">
        <v>25500</v>
      </c>
      <c r="DM55" s="8">
        <v>26190.841689992063</v>
      </c>
      <c r="DN55" s="8">
        <v>25352.236289287615</v>
      </c>
      <c r="DO55" s="8">
        <v>26950</v>
      </c>
      <c r="DP55" s="8">
        <v>27397.380429591529</v>
      </c>
      <c r="DQ55" s="8">
        <v>26445.310893049718</v>
      </c>
      <c r="DR55" s="8">
        <v>4890</v>
      </c>
      <c r="DS55" s="8">
        <v>5076.0312824124558</v>
      </c>
      <c r="DT55" s="8">
        <v>4915.9544425522681</v>
      </c>
      <c r="DU55" s="8">
        <v>180000</v>
      </c>
      <c r="DV55" s="8">
        <v>185368.68917522291</v>
      </c>
      <c r="DW55" s="8">
        <v>180142.69328283591</v>
      </c>
      <c r="DX55" s="8">
        <v>57300</v>
      </c>
      <c r="DY55" s="8">
        <v>58352.155814783597</v>
      </c>
      <c r="DZ55" s="8">
        <v>56046.174155642999</v>
      </c>
      <c r="EA55" s="8">
        <v>11850</v>
      </c>
      <c r="EB55" s="8">
        <v>11959.505763671172</v>
      </c>
      <c r="EC55" s="8">
        <v>11603.295195424862</v>
      </c>
      <c r="ED55" s="8">
        <v>1488000</v>
      </c>
      <c r="EE55" s="8">
        <v>1506603.39822963</v>
      </c>
      <c r="EF55" s="8">
        <v>1472475.5767607312</v>
      </c>
      <c r="EG55" s="8">
        <v>129500</v>
      </c>
      <c r="EH55" s="8">
        <v>129089.81686952291</v>
      </c>
      <c r="EI55" s="8">
        <v>124541.31589238174</v>
      </c>
      <c r="EJ55" s="8">
        <v>300500</v>
      </c>
      <c r="EK55" s="8">
        <v>300782.64630819298</v>
      </c>
      <c r="EL55" s="8">
        <v>291736.82073662226</v>
      </c>
      <c r="EM55" s="8">
        <v>12650</v>
      </c>
      <c r="EN55" s="8">
        <v>12634.509866051203</v>
      </c>
      <c r="EO55" s="8">
        <v>12282.622504573332</v>
      </c>
      <c r="EP55" s="8">
        <v>50100</v>
      </c>
      <c r="EQ55" s="8">
        <v>51879.490533063807</v>
      </c>
      <c r="ER55" s="8">
        <v>50136.63012496537</v>
      </c>
      <c r="ES55" s="8">
        <v>13800</v>
      </c>
      <c r="ET55" s="8">
        <v>13312.039024714981</v>
      </c>
      <c r="EU55" s="8">
        <v>12774.380253510428</v>
      </c>
      <c r="EV55">
        <v>350000</v>
      </c>
      <c r="EW55">
        <v>348416.22521390312</v>
      </c>
      <c r="EX55">
        <v>333367.23118970782</v>
      </c>
      <c r="EY55">
        <v>28550</v>
      </c>
      <c r="EZ55">
        <v>29013.57299244621</v>
      </c>
      <c r="FA55">
        <v>28220.725055930732</v>
      </c>
      <c r="FB55">
        <v>2450</v>
      </c>
      <c r="FC55">
        <v>2482.2294853568551</v>
      </c>
      <c r="FD55">
        <v>2396.7427640972201</v>
      </c>
      <c r="FE55">
        <v>59800</v>
      </c>
      <c r="FF55">
        <v>59900.235500166884</v>
      </c>
      <c r="FG55">
        <v>58675.485961752973</v>
      </c>
      <c r="FH55">
        <v>53200</v>
      </c>
      <c r="FI55">
        <v>52855.853638869135</v>
      </c>
      <c r="FJ55">
        <v>50135.604863039182</v>
      </c>
      <c r="FK55">
        <v>82700</v>
      </c>
      <c r="FL55">
        <v>85549.243896665939</v>
      </c>
      <c r="FM55">
        <v>83392.47693396869</v>
      </c>
      <c r="FN55">
        <v>36050</v>
      </c>
      <c r="FO55">
        <v>36989.563875418396</v>
      </c>
      <c r="FP55">
        <v>35843.77616785845</v>
      </c>
      <c r="FQ55">
        <v>20600</v>
      </c>
      <c r="FR55">
        <v>20708.392004572561</v>
      </c>
      <c r="FS55">
        <v>19899.529021701874</v>
      </c>
      <c r="FT55">
        <v>881000</v>
      </c>
      <c r="FU55">
        <v>884534.86261281546</v>
      </c>
      <c r="FV55">
        <v>858535.75654570339</v>
      </c>
      <c r="FW55">
        <v>21700</v>
      </c>
      <c r="FX55">
        <v>21504.89788995327</v>
      </c>
      <c r="FY55">
        <v>20716.713960903609</v>
      </c>
      <c r="FZ55">
        <v>31300</v>
      </c>
      <c r="GA55">
        <v>31517.701110750644</v>
      </c>
      <c r="GB55">
        <v>30315.767573342964</v>
      </c>
      <c r="GC55">
        <v>21200</v>
      </c>
      <c r="GD55">
        <v>21739.005212010947</v>
      </c>
      <c r="GE55">
        <v>21231.558402418934</v>
      </c>
      <c r="GF55">
        <v>177500</v>
      </c>
      <c r="GG55">
        <v>179405.79797184165</v>
      </c>
      <c r="GH55">
        <v>173465.60251120193</v>
      </c>
      <c r="GI55">
        <v>4480</v>
      </c>
      <c r="GJ55">
        <v>4349.0659968874188</v>
      </c>
      <c r="GK55">
        <v>4082.9437630688858</v>
      </c>
      <c r="GL55">
        <v>11650</v>
      </c>
      <c r="GM55">
        <v>11748.966625533038</v>
      </c>
      <c r="GN55">
        <v>11183.651084738789</v>
      </c>
      <c r="GO55">
        <v>812000</v>
      </c>
      <c r="GP55">
        <v>837864.43823326426</v>
      </c>
      <c r="GQ55">
        <v>807136.24235219962</v>
      </c>
      <c r="GR55">
        <v>58200</v>
      </c>
      <c r="GS55">
        <v>59222.279342482099</v>
      </c>
      <c r="GT55">
        <v>58392.516668638789</v>
      </c>
      <c r="GU55">
        <v>9350</v>
      </c>
      <c r="GV55">
        <v>9352.2108303000205</v>
      </c>
      <c r="GW55">
        <v>8913.0842197653365</v>
      </c>
      <c r="GX55">
        <v>25700</v>
      </c>
      <c r="GY55">
        <v>27292.72183248755</v>
      </c>
      <c r="GZ55">
        <v>26182.061917387753</v>
      </c>
      <c r="HA55">
        <v>5490</v>
      </c>
      <c r="HB55">
        <v>5547.1516467310803</v>
      </c>
      <c r="HC55">
        <v>5351.874154981685</v>
      </c>
      <c r="HD55">
        <v>27650</v>
      </c>
      <c r="HE55">
        <v>27949.341396512333</v>
      </c>
      <c r="HF55">
        <v>26647.214384255778</v>
      </c>
      <c r="HG55">
        <v>11150</v>
      </c>
      <c r="HH55">
        <v>10665.572398873199</v>
      </c>
      <c r="HI55">
        <v>10300.02953790388</v>
      </c>
      <c r="HJ55">
        <v>4930</v>
      </c>
      <c r="HK55">
        <v>4887.9730760398443</v>
      </c>
      <c r="HL55">
        <v>4703.2213710588494</v>
      </c>
    </row>
    <row r="56" spans="1:220" x14ac:dyDescent="0.4">
      <c r="A56" s="11">
        <v>41401</v>
      </c>
      <c r="B56" s="8">
        <v>340000</v>
      </c>
      <c r="C56" s="8">
        <v>327777.21384241246</v>
      </c>
      <c r="D56" s="8">
        <v>318650.48876951786</v>
      </c>
      <c r="E56" s="8">
        <v>127500</v>
      </c>
      <c r="F56" s="8">
        <v>129694.72430574548</v>
      </c>
      <c r="G56" s="8">
        <v>126908.25544814374</v>
      </c>
      <c r="H56" s="8">
        <v>63000</v>
      </c>
      <c r="I56" s="8">
        <v>64068.790635075078</v>
      </c>
      <c r="J56" s="8">
        <v>60919.908866793863</v>
      </c>
      <c r="K56" s="8">
        <v>61900</v>
      </c>
      <c r="L56" s="8">
        <v>63345.433367765414</v>
      </c>
      <c r="M56" s="8">
        <v>60858.651256440782</v>
      </c>
      <c r="N56" s="8">
        <v>261500</v>
      </c>
      <c r="O56" s="8">
        <v>264950.65279630688</v>
      </c>
      <c r="P56" s="8">
        <v>258473.94593884161</v>
      </c>
      <c r="Q56" s="8">
        <v>78000</v>
      </c>
      <c r="R56" s="8">
        <v>78656.915762766585</v>
      </c>
      <c r="S56" s="8">
        <v>76571.471817255326</v>
      </c>
      <c r="T56" s="8">
        <v>18650</v>
      </c>
      <c r="U56" s="8">
        <v>18462.392751744315</v>
      </c>
      <c r="V56" s="8">
        <v>17769.516298176743</v>
      </c>
      <c r="W56" s="8">
        <v>13400</v>
      </c>
      <c r="X56" s="8">
        <v>13794.783844722784</v>
      </c>
      <c r="Y56" s="8">
        <v>13327.439531386952</v>
      </c>
      <c r="Z56" s="8">
        <v>22250</v>
      </c>
      <c r="AA56" s="8">
        <v>22547.362268404544</v>
      </c>
      <c r="AB56" s="8">
        <v>21626.069314903791</v>
      </c>
      <c r="AC56" s="8">
        <v>12850</v>
      </c>
      <c r="AD56" s="8">
        <v>12551.962633452784</v>
      </c>
      <c r="AE56" s="8">
        <v>12144.462645388885</v>
      </c>
      <c r="AF56" s="8">
        <v>41600</v>
      </c>
      <c r="AG56" s="8">
        <v>40650.774696707223</v>
      </c>
      <c r="AH56" s="8">
        <v>38814.309267118806</v>
      </c>
      <c r="AI56" s="8">
        <v>44800</v>
      </c>
      <c r="AJ56" s="8">
        <v>45215.333621367507</v>
      </c>
      <c r="AK56" s="8">
        <v>44149.830200631142</v>
      </c>
      <c r="AL56" s="8">
        <v>11950</v>
      </c>
      <c r="AM56" s="8">
        <v>11909.16479865938</v>
      </c>
      <c r="AN56" s="8">
        <v>11347.916409999238</v>
      </c>
      <c r="AO56" s="8">
        <v>16400</v>
      </c>
      <c r="AP56" s="8">
        <v>17196.950850263045</v>
      </c>
      <c r="AQ56" s="8">
        <v>16530.86659829897</v>
      </c>
      <c r="AR56" s="8">
        <v>23800</v>
      </c>
      <c r="AS56" s="8">
        <v>24358.718762879565</v>
      </c>
      <c r="AT56" s="8">
        <v>23546.510032878745</v>
      </c>
      <c r="AU56" s="8">
        <v>167500</v>
      </c>
      <c r="AV56" s="8">
        <v>171149.73055462938</v>
      </c>
      <c r="AW56" s="8">
        <v>165437.02538921562</v>
      </c>
      <c r="AX56" s="8">
        <v>612000</v>
      </c>
      <c r="AY56" s="8">
        <v>620960.7728453289</v>
      </c>
      <c r="AZ56" s="8">
        <v>604776.83645661199</v>
      </c>
      <c r="BA56" s="8">
        <v>195000</v>
      </c>
      <c r="BB56" s="8">
        <v>197857.08680806926</v>
      </c>
      <c r="BC56" s="8">
        <v>193420.77995053353</v>
      </c>
      <c r="BD56" s="8">
        <v>31650</v>
      </c>
      <c r="BE56" s="8">
        <v>31638.742648312309</v>
      </c>
      <c r="BF56" s="8">
        <v>30370.71375924634</v>
      </c>
      <c r="BG56" s="8">
        <v>30100</v>
      </c>
      <c r="BH56" s="8">
        <v>29899.130267418943</v>
      </c>
      <c r="BI56" s="8">
        <v>28782.583500657471</v>
      </c>
      <c r="BJ56" s="8">
        <v>76000</v>
      </c>
      <c r="BK56" s="8">
        <v>77126.455095186742</v>
      </c>
      <c r="BL56" s="8">
        <v>75028.773412477312</v>
      </c>
      <c r="BM56" s="8">
        <v>1137000</v>
      </c>
      <c r="BN56" s="8">
        <v>1153794.3111164805</v>
      </c>
      <c r="BO56" s="8">
        <v>1120231.3654578379</v>
      </c>
      <c r="BP56" s="8">
        <v>36300</v>
      </c>
      <c r="BQ56" s="8">
        <v>36715.520580800534</v>
      </c>
      <c r="BR56" s="8">
        <v>35038.976920567911</v>
      </c>
      <c r="BS56" s="8">
        <v>137000</v>
      </c>
      <c r="BT56" s="8">
        <v>137846.01755407298</v>
      </c>
      <c r="BU56" s="8">
        <v>133460.09653777664</v>
      </c>
      <c r="BV56" s="8">
        <v>41400</v>
      </c>
      <c r="BW56" s="8">
        <v>42309.647048213323</v>
      </c>
      <c r="BX56" s="8">
        <v>40803.759778564781</v>
      </c>
      <c r="BY56" s="8">
        <v>23300</v>
      </c>
      <c r="BZ56" s="8">
        <v>23638.945781254464</v>
      </c>
      <c r="CA56" s="8">
        <v>22464.134266914632</v>
      </c>
      <c r="CB56" s="8">
        <v>99800</v>
      </c>
      <c r="CC56" s="8">
        <v>101858.99228850236</v>
      </c>
      <c r="CD56" s="8">
        <v>98912.061106339825</v>
      </c>
      <c r="CE56" s="8">
        <v>17850</v>
      </c>
      <c r="CF56" s="8">
        <v>17606.126286204944</v>
      </c>
      <c r="CG56" s="8">
        <v>17109.32147903345</v>
      </c>
      <c r="CH56" s="8">
        <v>59100</v>
      </c>
      <c r="CI56" s="8">
        <v>59829.127259219684</v>
      </c>
      <c r="CJ56" s="8">
        <v>57937.345456188828</v>
      </c>
      <c r="CK56" s="8">
        <v>319000</v>
      </c>
      <c r="CL56" s="8">
        <v>320980.08706800925</v>
      </c>
      <c r="CM56" s="8">
        <v>316368.49521717429</v>
      </c>
      <c r="CN56" s="8">
        <v>98900</v>
      </c>
      <c r="CO56" s="8">
        <v>100196.7943042296</v>
      </c>
      <c r="CP56" s="8">
        <v>97540.447563340655</v>
      </c>
      <c r="CQ56" s="8">
        <v>88100</v>
      </c>
      <c r="CR56" s="8">
        <v>88439.822973555696</v>
      </c>
      <c r="CS56" s="8">
        <v>86926.932849320889</v>
      </c>
      <c r="CT56" s="8">
        <v>27250</v>
      </c>
      <c r="CU56" s="8">
        <v>28176.493751767845</v>
      </c>
      <c r="CV56" s="8">
        <v>26982.410333389551</v>
      </c>
      <c r="CW56" s="8">
        <v>127500</v>
      </c>
      <c r="CX56" s="8">
        <v>127104.6127607924</v>
      </c>
      <c r="CY56" s="8">
        <v>124855.5804423551</v>
      </c>
      <c r="CZ56" s="8">
        <v>23650</v>
      </c>
      <c r="DA56" s="8">
        <v>24171.612934039273</v>
      </c>
      <c r="DB56" s="8">
        <v>23280.221050113043</v>
      </c>
      <c r="DC56" s="8">
        <v>20514</v>
      </c>
      <c r="DD56" s="8">
        <v>20332.426859180981</v>
      </c>
      <c r="DE56" s="8">
        <v>19809.729803387811</v>
      </c>
      <c r="DF56" s="8">
        <v>54700</v>
      </c>
      <c r="DG56" s="8">
        <v>56653.985199083982</v>
      </c>
      <c r="DH56" s="8">
        <v>55228.219801663421</v>
      </c>
      <c r="DI56" s="8">
        <v>169000</v>
      </c>
      <c r="DJ56" s="8">
        <v>175028.80291742377</v>
      </c>
      <c r="DK56" s="8">
        <v>169830.42584103532</v>
      </c>
      <c r="DL56" s="8">
        <v>25700</v>
      </c>
      <c r="DM56" s="8">
        <v>25834.157075536939</v>
      </c>
      <c r="DN56" s="8">
        <v>25006.972370951036</v>
      </c>
      <c r="DO56" s="8">
        <v>26950</v>
      </c>
      <c r="DP56" s="8">
        <v>27346.550410241602</v>
      </c>
      <c r="DQ56" s="8">
        <v>26396.247236476309</v>
      </c>
      <c r="DR56" s="8">
        <v>4985</v>
      </c>
      <c r="DS56" s="8">
        <v>5086.213892808476</v>
      </c>
      <c r="DT56" s="8">
        <v>4925.8159359174751</v>
      </c>
      <c r="DU56" s="8">
        <v>182500</v>
      </c>
      <c r="DV56" s="8">
        <v>189939.42397680384</v>
      </c>
      <c r="DW56" s="8">
        <v>184584.56791172782</v>
      </c>
      <c r="DX56" s="8">
        <v>57100</v>
      </c>
      <c r="DY56" s="8">
        <v>55184.175376502884</v>
      </c>
      <c r="DZ56" s="8">
        <v>53003.387117420709</v>
      </c>
      <c r="EA56" s="8">
        <v>11800</v>
      </c>
      <c r="EB56" s="8">
        <v>12314.236866830901</v>
      </c>
      <c r="EC56" s="8">
        <v>11947.460730882371</v>
      </c>
      <c r="ED56" s="8">
        <v>1493000</v>
      </c>
      <c r="EE56" s="8">
        <v>1527794.7387271649</v>
      </c>
      <c r="EF56" s="8">
        <v>1493186.8876193869</v>
      </c>
      <c r="EG56" s="8">
        <v>127000</v>
      </c>
      <c r="EH56" s="8">
        <v>129598.04449499342</v>
      </c>
      <c r="EI56" s="8">
        <v>125031.63603369027</v>
      </c>
      <c r="EJ56" s="8">
        <v>296000</v>
      </c>
      <c r="EK56" s="8">
        <v>301798.8038970721</v>
      </c>
      <c r="EL56" s="8">
        <v>292722.41810397588</v>
      </c>
      <c r="EM56" s="8">
        <v>12450</v>
      </c>
      <c r="EN56" s="8">
        <v>12786.732876485547</v>
      </c>
      <c r="EO56" s="8">
        <v>12430.605908242884</v>
      </c>
      <c r="EP56" s="8">
        <v>50800</v>
      </c>
      <c r="EQ56" s="8">
        <v>51164.61566351365</v>
      </c>
      <c r="ER56" s="8">
        <v>49445.77104844019</v>
      </c>
      <c r="ES56" s="8">
        <v>13050</v>
      </c>
      <c r="ET56" s="8">
        <v>13312.039024714981</v>
      </c>
      <c r="EU56" s="8">
        <v>12774.380253510428</v>
      </c>
      <c r="EV56">
        <v>342000</v>
      </c>
      <c r="EW56">
        <v>350453.74699877948</v>
      </c>
      <c r="EX56">
        <v>335316.74716157722</v>
      </c>
      <c r="EY56">
        <v>28600</v>
      </c>
      <c r="EZ56">
        <v>29317.911170688665</v>
      </c>
      <c r="FA56">
        <v>28516.74664742652</v>
      </c>
      <c r="FB56">
        <v>2440</v>
      </c>
      <c r="FC56">
        <v>2436.4506628810122</v>
      </c>
      <c r="FD56">
        <v>2352.5405409888704</v>
      </c>
      <c r="FE56">
        <v>59500</v>
      </c>
      <c r="FF56">
        <v>60403.59882369767</v>
      </c>
      <c r="FG56">
        <v>59168.557272355916</v>
      </c>
      <c r="FH56">
        <v>51400</v>
      </c>
      <c r="FI56">
        <v>53472.848039322838</v>
      </c>
      <c r="FJ56">
        <v>50720.845386732231</v>
      </c>
      <c r="FK56">
        <v>84600</v>
      </c>
      <c r="FL56">
        <v>86257.09816058632</v>
      </c>
      <c r="FM56">
        <v>84082.485608363204</v>
      </c>
      <c r="FN56">
        <v>36550</v>
      </c>
      <c r="FO56">
        <v>36432.949371137125</v>
      </c>
      <c r="FP56">
        <v>35304.403339067139</v>
      </c>
      <c r="FQ56">
        <v>20200</v>
      </c>
      <c r="FR56">
        <v>20298.324836165175</v>
      </c>
      <c r="FS56">
        <v>19505.478942064208</v>
      </c>
      <c r="FT56">
        <v>872000</v>
      </c>
      <c r="FU56">
        <v>907865.48398907168</v>
      </c>
      <c r="FV56">
        <v>881180.621683951</v>
      </c>
      <c r="FW56">
        <v>21200</v>
      </c>
      <c r="FX56">
        <v>21961.369779126824</v>
      </c>
      <c r="FY56">
        <v>21156.455530828465</v>
      </c>
      <c r="FZ56">
        <v>31000</v>
      </c>
      <c r="GA56">
        <v>31263.526101792959</v>
      </c>
      <c r="GB56">
        <v>30071.285576783728</v>
      </c>
      <c r="GC56">
        <v>21550</v>
      </c>
      <c r="GD56">
        <v>22041.636375055168</v>
      </c>
      <c r="GE56">
        <v>21527.125340735656</v>
      </c>
      <c r="GF56">
        <v>176500</v>
      </c>
      <c r="GG56">
        <v>175848.17591574279</v>
      </c>
      <c r="GH56">
        <v>170025.77469936502</v>
      </c>
      <c r="GI56">
        <v>4185</v>
      </c>
      <c r="GJ56">
        <v>4473.7703982318599</v>
      </c>
      <c r="GK56">
        <v>4200.0174193575976</v>
      </c>
      <c r="GL56">
        <v>11450</v>
      </c>
      <c r="GM56">
        <v>11595.050032185452</v>
      </c>
      <c r="GN56">
        <v>11037.14037183829</v>
      </c>
      <c r="GO56">
        <v>825000</v>
      </c>
      <c r="GP56">
        <v>847004.7775594464</v>
      </c>
      <c r="GQ56">
        <v>815941.3649960428</v>
      </c>
      <c r="GR56">
        <v>58900</v>
      </c>
      <c r="GS56">
        <v>59423.373669621338</v>
      </c>
      <c r="GT56">
        <v>58590.793465476352</v>
      </c>
      <c r="GU56">
        <v>9120</v>
      </c>
      <c r="GV56">
        <v>9382.9746817154828</v>
      </c>
      <c r="GW56">
        <v>8942.4035757514066</v>
      </c>
      <c r="GX56">
        <v>26650</v>
      </c>
      <c r="GY56">
        <v>27548.751117970558</v>
      </c>
      <c r="GZ56">
        <v>26427.672254323857</v>
      </c>
      <c r="HA56">
        <v>5440</v>
      </c>
      <c r="HB56">
        <v>5587.9395264864543</v>
      </c>
      <c r="HC56">
        <v>5391.2261708271371</v>
      </c>
      <c r="HD56">
        <v>27200</v>
      </c>
      <c r="HE56">
        <v>28052.096328117146</v>
      </c>
      <c r="HF56">
        <v>26745.182084197881</v>
      </c>
      <c r="HG56">
        <v>10500</v>
      </c>
      <c r="HH56">
        <v>10462.418638894676</v>
      </c>
      <c r="HI56">
        <v>10103.838499086676</v>
      </c>
      <c r="HJ56">
        <v>4805</v>
      </c>
      <c r="HK56">
        <v>4882.8867356901719</v>
      </c>
      <c r="HL56">
        <v>4698.3272801420389</v>
      </c>
    </row>
    <row r="57" spans="1:220" x14ac:dyDescent="0.4">
      <c r="A57" s="11">
        <v>41400</v>
      </c>
      <c r="B57" s="8">
        <v>322000</v>
      </c>
      <c r="C57" s="8">
        <v>327777.21384241246</v>
      </c>
      <c r="D57" s="8">
        <v>318650.48876951786</v>
      </c>
      <c r="E57" s="8">
        <v>128000</v>
      </c>
      <c r="F57" s="8">
        <v>129694.72430574548</v>
      </c>
      <c r="G57" s="8">
        <v>126908.25544814374</v>
      </c>
      <c r="H57" s="8">
        <v>63000</v>
      </c>
      <c r="I57" s="8">
        <v>61628.074801357856</v>
      </c>
      <c r="J57" s="8">
        <v>58599.150433773066</v>
      </c>
      <c r="K57" s="8">
        <v>62000</v>
      </c>
      <c r="L57" s="8">
        <v>64367.133905955168</v>
      </c>
      <c r="M57" s="8">
        <v>61840.242405738194</v>
      </c>
      <c r="N57" s="8">
        <v>261500</v>
      </c>
      <c r="O57" s="8">
        <v>260391.27253786137</v>
      </c>
      <c r="P57" s="8">
        <v>254026.0195268917</v>
      </c>
      <c r="Q57" s="8">
        <v>77400</v>
      </c>
      <c r="R57" s="8">
        <v>79266.659295811274</v>
      </c>
      <c r="S57" s="8">
        <v>77165.049118164286</v>
      </c>
      <c r="T57" s="8">
        <v>18100</v>
      </c>
      <c r="U57" s="8">
        <v>18462.392751744315</v>
      </c>
      <c r="V57" s="8">
        <v>17769.516298176743</v>
      </c>
      <c r="W57" s="8">
        <v>13550</v>
      </c>
      <c r="X57" s="8">
        <v>13845.687106142417</v>
      </c>
      <c r="Y57" s="8">
        <v>13376.618275045199</v>
      </c>
      <c r="Z57" s="8">
        <v>22050</v>
      </c>
      <c r="AA57" s="8">
        <v>22905.256907585564</v>
      </c>
      <c r="AB57" s="8">
        <v>21969.340256410196</v>
      </c>
      <c r="AC57" s="8">
        <v>12400</v>
      </c>
      <c r="AD57" s="8">
        <v>12602.575386007034</v>
      </c>
      <c r="AE57" s="8">
        <v>12193.432252829974</v>
      </c>
      <c r="AF57" s="8">
        <v>39900</v>
      </c>
      <c r="AG57" s="8">
        <v>40243.248133331741</v>
      </c>
      <c r="AH57" s="8">
        <v>38425.193384741709</v>
      </c>
      <c r="AI57" s="8">
        <v>44600</v>
      </c>
      <c r="AJ57" s="8">
        <v>45367.403129062644</v>
      </c>
      <c r="AK57" s="8">
        <v>44298.316176642184</v>
      </c>
      <c r="AL57" s="8">
        <v>11550</v>
      </c>
      <c r="AM57" s="8">
        <v>12166.938928500491</v>
      </c>
      <c r="AN57" s="8">
        <v>11593.542306319567</v>
      </c>
      <c r="AO57" s="8">
        <v>16800</v>
      </c>
      <c r="AP57" s="8">
        <v>17196.950850263045</v>
      </c>
      <c r="AQ57" s="8">
        <v>16530.86659829897</v>
      </c>
      <c r="AR57" s="8">
        <v>23950</v>
      </c>
      <c r="AS57" s="8">
        <v>23392.506536377026</v>
      </c>
      <c r="AT57" s="8">
        <v>22612.514854121546</v>
      </c>
      <c r="AU57" s="8">
        <v>169000</v>
      </c>
      <c r="AV57" s="8">
        <v>162035.2478623708</v>
      </c>
      <c r="AW57" s="8">
        <v>156626.76959925721</v>
      </c>
      <c r="AX57" s="8">
        <v>613000</v>
      </c>
      <c r="AY57" s="8">
        <v>615895.83995099447</v>
      </c>
      <c r="AZ57" s="8">
        <v>599843.90956871083</v>
      </c>
      <c r="BA57" s="8">
        <v>196000</v>
      </c>
      <c r="BB57" s="8">
        <v>198866.56174076354</v>
      </c>
      <c r="BC57" s="8">
        <v>194407.62066456693</v>
      </c>
      <c r="BD57" s="8">
        <v>30900</v>
      </c>
      <c r="BE57" s="8">
        <v>31331.570389590845</v>
      </c>
      <c r="BF57" s="8">
        <v>30075.852460612892</v>
      </c>
      <c r="BG57" s="8">
        <v>29250</v>
      </c>
      <c r="BH57" s="8">
        <v>30512.445760083941</v>
      </c>
      <c r="BI57" s="8">
        <v>29372.995469901722</v>
      </c>
      <c r="BJ57" s="8">
        <v>76300</v>
      </c>
      <c r="BK57" s="8">
        <v>75711.290781513511</v>
      </c>
      <c r="BL57" s="8">
        <v>73652.098670963896</v>
      </c>
      <c r="BM57" s="8">
        <v>1138000</v>
      </c>
      <c r="BN57" s="8">
        <v>1130475.0939322284</v>
      </c>
      <c r="BO57" s="8">
        <v>1097590.4854881279</v>
      </c>
      <c r="BP57" s="8">
        <v>35750</v>
      </c>
      <c r="BQ57" s="8">
        <v>37639.827392624917</v>
      </c>
      <c r="BR57" s="8">
        <v>35921.077038847972</v>
      </c>
      <c r="BS57" s="8">
        <v>136000</v>
      </c>
      <c r="BT57" s="8">
        <v>140379.95170028775</v>
      </c>
      <c r="BU57" s="8">
        <v>135913.40713589772</v>
      </c>
      <c r="BV57" s="8">
        <v>41600</v>
      </c>
      <c r="BW57" s="8">
        <v>41445.147048430117</v>
      </c>
      <c r="BX57" s="8">
        <v>39970.02911001238</v>
      </c>
      <c r="BY57" s="8">
        <v>22900</v>
      </c>
      <c r="BZ57" s="8">
        <v>24000.239712409009</v>
      </c>
      <c r="CA57" s="8">
        <v>22807.472563570533</v>
      </c>
      <c r="CB57" s="8">
        <v>100500</v>
      </c>
      <c r="CC57" s="8">
        <v>102872.5145998308</v>
      </c>
      <c r="CD57" s="8">
        <v>99896.260719338316</v>
      </c>
      <c r="CE57" s="8">
        <v>17400</v>
      </c>
      <c r="CF57" s="8">
        <v>17808.495553862449</v>
      </c>
      <c r="CG57" s="8">
        <v>17305.980346608521</v>
      </c>
      <c r="CH57" s="8">
        <v>58700</v>
      </c>
      <c r="CI57" s="8">
        <v>56975.26769659925</v>
      </c>
      <c r="CJ57" s="8">
        <v>55173.724207852669</v>
      </c>
      <c r="CK57" s="8">
        <v>319000</v>
      </c>
      <c r="CL57" s="8">
        <v>318464.56914427871</v>
      </c>
      <c r="CM57" s="8">
        <v>313889.11829540948</v>
      </c>
      <c r="CN57" s="8">
        <v>98500</v>
      </c>
      <c r="CO57" s="8">
        <v>101315.74327615499</v>
      </c>
      <c r="CP57" s="8">
        <v>98629.731749327184</v>
      </c>
      <c r="CQ57" s="8">
        <v>88000</v>
      </c>
      <c r="CR57" s="8">
        <v>87334.32518638621</v>
      </c>
      <c r="CS57" s="8">
        <v>85840.346188704338</v>
      </c>
      <c r="CT57" s="8">
        <v>27650</v>
      </c>
      <c r="CU57" s="8">
        <v>27514.116864294105</v>
      </c>
      <c r="CV57" s="8">
        <v>26348.104123020545</v>
      </c>
      <c r="CW57" s="8">
        <v>126000</v>
      </c>
      <c r="CX57" s="8">
        <v>123573.92907299244</v>
      </c>
      <c r="CY57" s="8">
        <v>121387.36987451173</v>
      </c>
      <c r="CZ57" s="8">
        <v>23650</v>
      </c>
      <c r="DA57" s="8">
        <v>22996.249091580692</v>
      </c>
      <c r="DB57" s="8">
        <v>22148.201844716416</v>
      </c>
      <c r="DC57" s="8">
        <v>20013</v>
      </c>
      <c r="DD57" s="8">
        <v>20440.118721823928</v>
      </c>
      <c r="DE57" s="8">
        <v>19914.653171156719</v>
      </c>
      <c r="DF57" s="8">
        <v>55800</v>
      </c>
      <c r="DG57" s="8">
        <v>57466.228714483055</v>
      </c>
      <c r="DH57" s="8">
        <v>56020.022236095894</v>
      </c>
      <c r="DI57" s="8">
        <v>172000</v>
      </c>
      <c r="DJ57" s="8">
        <v>177064.02155599854</v>
      </c>
      <c r="DK57" s="8">
        <v>171805.19823453581</v>
      </c>
      <c r="DL57" s="8">
        <v>25350</v>
      </c>
      <c r="DM57" s="8">
        <v>24967.923011860141</v>
      </c>
      <c r="DN57" s="8">
        <v>24168.474283562129</v>
      </c>
      <c r="DO57" s="8">
        <v>26900</v>
      </c>
      <c r="DP57" s="8">
        <v>26685.760158693032</v>
      </c>
      <c r="DQ57" s="8">
        <v>25758.419701022438</v>
      </c>
      <c r="DR57" s="8">
        <v>4995</v>
      </c>
      <c r="DS57" s="8">
        <v>5091.3051980064838</v>
      </c>
      <c r="DT57" s="8">
        <v>4930.7466826000764</v>
      </c>
      <c r="DU57" s="8">
        <v>187000</v>
      </c>
      <c r="DV57" s="8">
        <v>192478.72108879313</v>
      </c>
      <c r="DW57" s="8">
        <v>187052.27603888989</v>
      </c>
      <c r="DX57" s="8">
        <v>54000</v>
      </c>
      <c r="DY57" s="8">
        <v>57125.840806416847</v>
      </c>
      <c r="DZ57" s="8">
        <v>54868.321108589189</v>
      </c>
      <c r="EA57" s="8">
        <v>12150</v>
      </c>
      <c r="EB57" s="8">
        <v>12263.560994950956</v>
      </c>
      <c r="EC57" s="8">
        <v>11898.294225817028</v>
      </c>
      <c r="ED57" s="8">
        <v>1514000</v>
      </c>
      <c r="EE57" s="8">
        <v>1548986.0792247029</v>
      </c>
      <c r="EF57" s="8">
        <v>1513898.1984780454</v>
      </c>
      <c r="EG57" s="8">
        <v>127500</v>
      </c>
      <c r="EH57" s="8">
        <v>131122.72737140526</v>
      </c>
      <c r="EI57" s="8">
        <v>126502.59645761619</v>
      </c>
      <c r="EJ57" s="8">
        <v>297000</v>
      </c>
      <c r="EK57" s="8">
        <v>303831.11907482997</v>
      </c>
      <c r="EL57" s="8">
        <v>294693.6128386826</v>
      </c>
      <c r="EM57" s="8">
        <v>12600</v>
      </c>
      <c r="EN57" s="8">
        <v>12938.955886919905</v>
      </c>
      <c r="EO57" s="8">
        <v>12578.589311912447</v>
      </c>
      <c r="EP57" s="8">
        <v>50100</v>
      </c>
      <c r="EQ57" s="8">
        <v>50449.740793963589</v>
      </c>
      <c r="ER57" s="8">
        <v>48754.911971915113</v>
      </c>
      <c r="ES57" s="8">
        <v>13050</v>
      </c>
      <c r="ET57" s="8">
        <v>12342.963386900492</v>
      </c>
      <c r="EU57" s="8">
        <v>11844.444526243396</v>
      </c>
      <c r="EV57">
        <v>344000</v>
      </c>
      <c r="EW57">
        <v>347397.464321465</v>
      </c>
      <c r="EX57">
        <v>332392.47320377314</v>
      </c>
      <c r="EY57">
        <v>28900</v>
      </c>
      <c r="EZ57">
        <v>29977.310556880624</v>
      </c>
      <c r="FA57">
        <v>29158.126762334039</v>
      </c>
      <c r="FB57">
        <v>2395</v>
      </c>
      <c r="FC57">
        <v>2405.9314478971164</v>
      </c>
      <c r="FD57">
        <v>2323.0723922499701</v>
      </c>
      <c r="FE57">
        <v>60000</v>
      </c>
      <c r="FF57">
        <v>59094.854182517578</v>
      </c>
      <c r="FG57">
        <v>57886.571864788224</v>
      </c>
      <c r="FH57">
        <v>52000</v>
      </c>
      <c r="FI57">
        <v>53884.177639625363</v>
      </c>
      <c r="FJ57">
        <v>51111.005735860977</v>
      </c>
      <c r="FK57">
        <v>85300</v>
      </c>
      <c r="FL57">
        <v>85751.487972071729</v>
      </c>
      <c r="FM57">
        <v>83589.622269509942</v>
      </c>
      <c r="FN57">
        <v>36000</v>
      </c>
      <c r="FO57">
        <v>35370.321681145615</v>
      </c>
      <c r="FP57">
        <v>34274.691575011006</v>
      </c>
      <c r="FQ57">
        <v>19800</v>
      </c>
      <c r="FR57">
        <v>19888.257667757818</v>
      </c>
      <c r="FS57">
        <v>19111.428862426565</v>
      </c>
      <c r="FT57">
        <v>895000</v>
      </c>
      <c r="FU57">
        <v>893664.23619482876</v>
      </c>
      <c r="FV57">
        <v>867396.79073023505</v>
      </c>
      <c r="FW57">
        <v>21650</v>
      </c>
      <c r="FX57">
        <v>22164.24617431506</v>
      </c>
      <c r="FY57">
        <v>21351.896228572838</v>
      </c>
      <c r="FZ57">
        <v>30750</v>
      </c>
      <c r="GA57">
        <v>31212.69110000143</v>
      </c>
      <c r="GB57">
        <v>30022.389177471887</v>
      </c>
      <c r="GC57">
        <v>21850</v>
      </c>
      <c r="GD57">
        <v>22697.337228317665</v>
      </c>
      <c r="GE57">
        <v>22167.52037375524</v>
      </c>
      <c r="GF57">
        <v>173000</v>
      </c>
      <c r="GG57">
        <v>182963.42002794056</v>
      </c>
      <c r="GH57">
        <v>176905.43032303886</v>
      </c>
      <c r="GI57">
        <v>4305</v>
      </c>
      <c r="GJ57">
        <v>4271.1257460471406</v>
      </c>
      <c r="GK57">
        <v>4009.7727278884381</v>
      </c>
      <c r="GL57">
        <v>11300</v>
      </c>
      <c r="GM57">
        <v>11287.216845490255</v>
      </c>
      <c r="GN57">
        <v>10744.118946037266</v>
      </c>
      <c r="GO57">
        <v>834000</v>
      </c>
      <c r="GP57">
        <v>849035.96407637477</v>
      </c>
      <c r="GQ57">
        <v>817898.05891689588</v>
      </c>
      <c r="GR57">
        <v>59100</v>
      </c>
      <c r="GS57">
        <v>59222.279342482099</v>
      </c>
      <c r="GT57">
        <v>58392.516668638789</v>
      </c>
      <c r="GU57">
        <v>9150</v>
      </c>
      <c r="GV57">
        <v>9259.9192760536353</v>
      </c>
      <c r="GW57">
        <v>8825.1261518071206</v>
      </c>
      <c r="GX57">
        <v>26900</v>
      </c>
      <c r="GY57">
        <v>27087.898404101183</v>
      </c>
      <c r="GZ57">
        <v>25985.573647838904</v>
      </c>
      <c r="HA57">
        <v>5480</v>
      </c>
      <c r="HB57">
        <v>5455.3789172814859</v>
      </c>
      <c r="HC57">
        <v>5263.332119329415</v>
      </c>
      <c r="HD57">
        <v>27300</v>
      </c>
      <c r="HE57">
        <v>27486.944204290627</v>
      </c>
      <c r="HF57">
        <v>26206.359734516253</v>
      </c>
      <c r="HG57">
        <v>10300</v>
      </c>
      <c r="HH57">
        <v>10513.207078889296</v>
      </c>
      <c r="HI57">
        <v>10152.886258790966</v>
      </c>
      <c r="HJ57">
        <v>4800</v>
      </c>
      <c r="HK57">
        <v>4938.8364795366178</v>
      </c>
      <c r="HL57">
        <v>4752.1622802269967</v>
      </c>
    </row>
    <row r="58" spans="1:220" x14ac:dyDescent="0.4">
      <c r="A58" s="11">
        <v>41397</v>
      </c>
      <c r="B58" s="8">
        <v>322000</v>
      </c>
      <c r="C58" s="8">
        <v>329813.09715820366</v>
      </c>
      <c r="D58" s="8">
        <v>320629.68435193703</v>
      </c>
      <c r="E58" s="8">
        <v>128000</v>
      </c>
      <c r="F58" s="8">
        <v>129694.72430574548</v>
      </c>
      <c r="G58" s="8">
        <v>126908.25544814374</v>
      </c>
      <c r="H58" s="8">
        <v>60600</v>
      </c>
      <c r="I58" s="8">
        <v>61933.164280572579</v>
      </c>
      <c r="J58" s="8">
        <v>58889.245237900737</v>
      </c>
      <c r="K58" s="8">
        <v>63000</v>
      </c>
      <c r="L58" s="8">
        <v>62017.222668118651</v>
      </c>
      <c r="M58" s="8">
        <v>59582.582762354054</v>
      </c>
      <c r="N58" s="8">
        <v>257000</v>
      </c>
      <c r="O58" s="8">
        <v>259378.07692487389</v>
      </c>
      <c r="P58" s="8">
        <v>253037.59143534771</v>
      </c>
      <c r="Q58" s="8">
        <v>78000</v>
      </c>
      <c r="R58" s="8">
        <v>78555.291840592414</v>
      </c>
      <c r="S58" s="8">
        <v>76472.542267103781</v>
      </c>
      <c r="T58" s="8">
        <v>18100</v>
      </c>
      <c r="U58" s="8">
        <v>17799.37864739991</v>
      </c>
      <c r="V58" s="8">
        <v>17131.384497413495</v>
      </c>
      <c r="W58" s="8">
        <v>13600</v>
      </c>
      <c r="X58" s="8">
        <v>14151.106674660268</v>
      </c>
      <c r="Y58" s="8">
        <v>13671.690736994729</v>
      </c>
      <c r="Z58" s="8">
        <v>22400</v>
      </c>
      <c r="AA58" s="8">
        <v>23212.023741169312</v>
      </c>
      <c r="AB58" s="8">
        <v>22263.572491987128</v>
      </c>
      <c r="AC58" s="8">
        <v>12450</v>
      </c>
      <c r="AD58" s="8">
        <v>12805.026396224019</v>
      </c>
      <c r="AE58" s="8">
        <v>12389.310682594314</v>
      </c>
      <c r="AF58" s="8">
        <v>39500</v>
      </c>
      <c r="AG58" s="8">
        <v>39988.544031221994</v>
      </c>
      <c r="AH58" s="8">
        <v>38181.995958255946</v>
      </c>
      <c r="AI58" s="8">
        <v>44750</v>
      </c>
      <c r="AJ58" s="8">
        <v>45164.643785469088</v>
      </c>
      <c r="AK58" s="8">
        <v>44100.33487529408</v>
      </c>
      <c r="AL58" s="8">
        <v>11800</v>
      </c>
      <c r="AM58" s="8">
        <v>12321.603406405167</v>
      </c>
      <c r="AN58" s="8">
        <v>11740.917844111773</v>
      </c>
      <c r="AO58" s="8">
        <v>16800</v>
      </c>
      <c r="AP58" s="8">
        <v>16838.681040882551</v>
      </c>
      <c r="AQ58" s="8">
        <v>16186.473544167726</v>
      </c>
      <c r="AR58" s="8">
        <v>23000</v>
      </c>
      <c r="AS58" s="8">
        <v>22273.734484637254</v>
      </c>
      <c r="AT58" s="8">
        <v>21531.046752402686</v>
      </c>
      <c r="AU58" s="8">
        <v>160000</v>
      </c>
      <c r="AV58" s="8">
        <v>161528.88771280105</v>
      </c>
      <c r="AW58" s="8">
        <v>156137.31094425966</v>
      </c>
      <c r="AX58" s="8">
        <v>608000</v>
      </c>
      <c r="AY58" s="8">
        <v>631090.63863399578</v>
      </c>
      <c r="AZ58" s="8">
        <v>614642.69023241242</v>
      </c>
      <c r="BA58" s="8">
        <v>197000</v>
      </c>
      <c r="BB58" s="8">
        <v>199876.03667345777</v>
      </c>
      <c r="BC58" s="8">
        <v>195394.46137860024</v>
      </c>
      <c r="BD58" s="8">
        <v>30600</v>
      </c>
      <c r="BE58" s="8">
        <v>30461.248989879998</v>
      </c>
      <c r="BF58" s="8">
        <v>29240.412114484767</v>
      </c>
      <c r="BG58" s="8">
        <v>29850</v>
      </c>
      <c r="BH58" s="8">
        <v>30461.336135695194</v>
      </c>
      <c r="BI58" s="8">
        <v>29323.794472464702</v>
      </c>
      <c r="BJ58" s="8">
        <v>74900</v>
      </c>
      <c r="BK58" s="8">
        <v>75711.290781513511</v>
      </c>
      <c r="BL58" s="8">
        <v>73652.098670963896</v>
      </c>
      <c r="BM58" s="8">
        <v>1115000</v>
      </c>
      <c r="BN58" s="8">
        <v>1140613.8840123368</v>
      </c>
      <c r="BO58" s="8">
        <v>1107434.3463445227</v>
      </c>
      <c r="BP58" s="8">
        <v>36650</v>
      </c>
      <c r="BQ58" s="8">
        <v>39026.287610361425</v>
      </c>
      <c r="BR58" s="8">
        <v>37244.227216268002</v>
      </c>
      <c r="BS58" s="8">
        <v>138500</v>
      </c>
      <c r="BT58" s="8">
        <v>143420.67267574513</v>
      </c>
      <c r="BU58" s="8">
        <v>138857.37985364269</v>
      </c>
      <c r="BV58" s="8">
        <v>40750</v>
      </c>
      <c r="BW58" s="8">
        <v>41750.264695412407</v>
      </c>
      <c r="BX58" s="8">
        <v>40264.286993030852</v>
      </c>
      <c r="BY58" s="8">
        <v>23250</v>
      </c>
      <c r="BZ58" s="8">
        <v>23019.584756418117</v>
      </c>
      <c r="CA58" s="8">
        <v>21875.554329790244</v>
      </c>
      <c r="CB58" s="8">
        <v>101500</v>
      </c>
      <c r="CC58" s="8">
        <v>104392.79806682332</v>
      </c>
      <c r="CD58" s="8">
        <v>101372.56013883586</v>
      </c>
      <c r="CE58" s="8">
        <v>17600</v>
      </c>
      <c r="CF58" s="8">
        <v>17960.272504605618</v>
      </c>
      <c r="CG58" s="8">
        <v>17453.474497289866</v>
      </c>
      <c r="CH58" s="8">
        <v>55900</v>
      </c>
      <c r="CI58" s="8">
        <v>57484.885475638672</v>
      </c>
      <c r="CJ58" s="8">
        <v>55667.22800219847</v>
      </c>
      <c r="CK58" s="8">
        <v>316500</v>
      </c>
      <c r="CL58" s="8">
        <v>315949.05122054799</v>
      </c>
      <c r="CM58" s="8">
        <v>311409.74137364462</v>
      </c>
      <c r="CN58" s="8">
        <v>99600</v>
      </c>
      <c r="CO58" s="8">
        <v>100196.7943042296</v>
      </c>
      <c r="CP58" s="8">
        <v>97540.447563340655</v>
      </c>
      <c r="CQ58" s="8">
        <v>86900</v>
      </c>
      <c r="CR58" s="8">
        <v>87535.32478405346</v>
      </c>
      <c r="CS58" s="8">
        <v>86037.907399725591</v>
      </c>
      <c r="CT58" s="8">
        <v>27000</v>
      </c>
      <c r="CU58" s="8">
        <v>27412.212727759674</v>
      </c>
      <c r="CV58" s="8">
        <v>26250.518552194535</v>
      </c>
      <c r="CW58" s="8">
        <v>122500</v>
      </c>
      <c r="CX58" s="8">
        <v>123069.54568902124</v>
      </c>
      <c r="CY58" s="8">
        <v>120891.9112219629</v>
      </c>
      <c r="CZ58" s="8">
        <v>22500</v>
      </c>
      <c r="DA58" s="8">
        <v>23047.351867339767</v>
      </c>
      <c r="DB58" s="8">
        <v>22197.42007103801</v>
      </c>
      <c r="DC58" s="8">
        <v>20119</v>
      </c>
      <c r="DD58" s="8">
        <v>20492.948692177077</v>
      </c>
      <c r="DE58" s="8">
        <v>19966.125011949021</v>
      </c>
      <c r="DF58" s="8">
        <v>56600</v>
      </c>
      <c r="DG58" s="8">
        <v>56044.802562534678</v>
      </c>
      <c r="DH58" s="8">
        <v>54634.367975839072</v>
      </c>
      <c r="DI58" s="8">
        <v>174000</v>
      </c>
      <c r="DJ58" s="8">
        <v>165870.31904383784</v>
      </c>
      <c r="DK58" s="8">
        <v>160943.95007028367</v>
      </c>
      <c r="DL58" s="8">
        <v>24500</v>
      </c>
      <c r="DM58" s="8">
        <v>24356.463672794198</v>
      </c>
      <c r="DN58" s="8">
        <v>23576.593280699402</v>
      </c>
      <c r="DO58" s="8">
        <v>26250</v>
      </c>
      <c r="DP58" s="8">
        <v>26431.610061943553</v>
      </c>
      <c r="DQ58" s="8">
        <v>25513.10141815554</v>
      </c>
      <c r="DR58" s="8">
        <v>5000</v>
      </c>
      <c r="DS58" s="8">
        <v>5009.8443148383758</v>
      </c>
      <c r="DT58" s="8">
        <v>4851.8547356784711</v>
      </c>
      <c r="DU58" s="8">
        <v>189500</v>
      </c>
      <c r="DV58" s="8">
        <v>190447.28339920161</v>
      </c>
      <c r="DW58" s="8">
        <v>185078.10953716017</v>
      </c>
      <c r="DX58" s="8">
        <v>55900</v>
      </c>
      <c r="DY58" s="8">
        <v>58760.927484239226</v>
      </c>
      <c r="DZ58" s="8">
        <v>56438.791837994315</v>
      </c>
      <c r="EA58" s="8">
        <v>12100</v>
      </c>
      <c r="EB58" s="8">
        <v>12162.209251191016</v>
      </c>
      <c r="EC58" s="8">
        <v>11799.961215686293</v>
      </c>
      <c r="ED58" s="8">
        <v>1535000</v>
      </c>
      <c r="EE58" s="8">
        <v>1541922.2990588569</v>
      </c>
      <c r="EF58" s="8">
        <v>1506994.4281918257</v>
      </c>
      <c r="EG58" s="8">
        <v>129000</v>
      </c>
      <c r="EH58" s="8">
        <v>132647.410247817</v>
      </c>
      <c r="EI58" s="8">
        <v>127973.55688154201</v>
      </c>
      <c r="EJ58" s="8">
        <v>299000</v>
      </c>
      <c r="EK58" s="8">
        <v>304847.27666370914</v>
      </c>
      <c r="EL58" s="8">
        <v>295679.21020603616</v>
      </c>
      <c r="EM58" s="8">
        <v>12750</v>
      </c>
      <c r="EN58" s="8">
        <v>12634.509866051203</v>
      </c>
      <c r="EO58" s="8">
        <v>12282.622504573332</v>
      </c>
      <c r="EP58" s="8">
        <v>49400</v>
      </c>
      <c r="EQ58" s="8">
        <v>49734.86592441352</v>
      </c>
      <c r="ER58" s="8">
        <v>48064.052895390014</v>
      </c>
      <c r="ES58" s="8">
        <v>12100</v>
      </c>
      <c r="ET58" s="8">
        <v>12087.943482212464</v>
      </c>
      <c r="EU58" s="8">
        <v>11599.724598015227</v>
      </c>
      <c r="EV58">
        <v>341000</v>
      </c>
      <c r="EW58">
        <v>330078.52915001323</v>
      </c>
      <c r="EX58">
        <v>315821.58744288079</v>
      </c>
      <c r="EY58">
        <v>29550</v>
      </c>
      <c r="EZ58">
        <v>29875.864497466435</v>
      </c>
      <c r="FA58">
        <v>29059.452898502073</v>
      </c>
      <c r="FB58">
        <v>2365</v>
      </c>
      <c r="FC58">
        <v>2405.9314478971164</v>
      </c>
      <c r="FD58">
        <v>2323.0723922499701</v>
      </c>
      <c r="FE58">
        <v>58700</v>
      </c>
      <c r="FF58">
        <v>58490.818194280509</v>
      </c>
      <c r="FG58">
        <v>57294.886292064577</v>
      </c>
      <c r="FH58">
        <v>52400</v>
      </c>
      <c r="FI58">
        <v>50593.540837205444</v>
      </c>
      <c r="FJ58">
        <v>47989.722942831249</v>
      </c>
      <c r="FK58">
        <v>84800</v>
      </c>
      <c r="FL58">
        <v>86054.854085180501</v>
      </c>
      <c r="FM58">
        <v>83885.340272821908</v>
      </c>
      <c r="FN58">
        <v>34950</v>
      </c>
      <c r="FO58">
        <v>35572.726955429687</v>
      </c>
      <c r="FP58">
        <v>34470.827149116914</v>
      </c>
      <c r="FQ58">
        <v>19400</v>
      </c>
      <c r="FR58">
        <v>19785.740875655974</v>
      </c>
      <c r="FS58">
        <v>19012.91634251715</v>
      </c>
      <c r="FT58">
        <v>881000</v>
      </c>
      <c r="FU58">
        <v>882506.11292792461</v>
      </c>
      <c r="FV58">
        <v>856566.6378380307</v>
      </c>
      <c r="FW58">
        <v>21850</v>
      </c>
      <c r="FX58">
        <v>21504.89788995327</v>
      </c>
      <c r="FY58">
        <v>20716.713960903609</v>
      </c>
      <c r="FZ58">
        <v>30700</v>
      </c>
      <c r="GA58">
        <v>31466.866108959079</v>
      </c>
      <c r="GB58">
        <v>30266.87117403109</v>
      </c>
      <c r="GC58">
        <v>22500</v>
      </c>
      <c r="GD58">
        <v>22848.652809839808</v>
      </c>
      <c r="GE58">
        <v>22315.303842913632</v>
      </c>
      <c r="GF58">
        <v>180000</v>
      </c>
      <c r="GG58">
        <v>167716.4683589456</v>
      </c>
      <c r="GH58">
        <v>162163.31112945237</v>
      </c>
      <c r="GI58">
        <v>4110</v>
      </c>
      <c r="GJ58">
        <v>4245.1456624337179</v>
      </c>
      <c r="GK58">
        <v>3985.3823828282916</v>
      </c>
      <c r="GL58">
        <v>11000</v>
      </c>
      <c r="GM58">
        <v>11184.605783258528</v>
      </c>
      <c r="GN58">
        <v>10646.445137436929</v>
      </c>
      <c r="GO58">
        <v>836000</v>
      </c>
      <c r="GP58">
        <v>849035.96407637477</v>
      </c>
      <c r="GQ58">
        <v>817898.05891689588</v>
      </c>
      <c r="GR58">
        <v>58900</v>
      </c>
      <c r="GS58">
        <v>59222.279342482099</v>
      </c>
      <c r="GT58">
        <v>58392.516668638789</v>
      </c>
      <c r="GU58">
        <v>9030</v>
      </c>
      <c r="GV58">
        <v>9126.6092532533057</v>
      </c>
      <c r="GW58">
        <v>8698.0756092008178</v>
      </c>
      <c r="GX58">
        <v>26450</v>
      </c>
      <c r="GY58">
        <v>26985.48668990799</v>
      </c>
      <c r="GZ58">
        <v>25887.329513064469</v>
      </c>
      <c r="HA58">
        <v>5350</v>
      </c>
      <c r="HB58">
        <v>5465.575887220326</v>
      </c>
      <c r="HC58">
        <v>5273.1701232907744</v>
      </c>
      <c r="HD58">
        <v>26750</v>
      </c>
      <c r="HE58">
        <v>26921.792080464093</v>
      </c>
      <c r="HF58">
        <v>25667.537384834613</v>
      </c>
      <c r="HG58">
        <v>10350</v>
      </c>
      <c r="HH58">
        <v>10462.418638894676</v>
      </c>
      <c r="HI58">
        <v>10103.838499086676</v>
      </c>
      <c r="HJ58">
        <v>4855</v>
      </c>
      <c r="HK58">
        <v>4984.6135426837191</v>
      </c>
      <c r="HL58">
        <v>4796.2090984783335</v>
      </c>
    </row>
    <row r="59" spans="1:220" x14ac:dyDescent="0.4">
      <c r="A59" s="11">
        <v>41396</v>
      </c>
      <c r="B59" s="10">
        <v>324000</v>
      </c>
      <c r="C59" s="10">
        <v>333172.30462925951</v>
      </c>
      <c r="D59" s="10">
        <v>323895.35706292908</v>
      </c>
      <c r="E59" s="10">
        <v>128000</v>
      </c>
      <c r="F59" s="10">
        <v>130201.34432256487</v>
      </c>
      <c r="G59" s="10">
        <v>127403.99082098811</v>
      </c>
      <c r="H59" s="10">
        <v>60900</v>
      </c>
      <c r="I59" s="10">
        <v>61119.592336000191</v>
      </c>
      <c r="J59" s="10">
        <v>58115.659093560484</v>
      </c>
      <c r="K59" s="10">
        <v>60700</v>
      </c>
      <c r="L59" s="10">
        <v>62630.242991032515</v>
      </c>
      <c r="M59" s="10">
        <v>60171.537451932512</v>
      </c>
      <c r="N59" s="10">
        <v>256000</v>
      </c>
      <c r="O59" s="10">
        <v>263430.8593768251</v>
      </c>
      <c r="P59" s="10">
        <v>256991.30380152501</v>
      </c>
      <c r="Q59" s="10">
        <v>77300</v>
      </c>
      <c r="R59" s="10">
        <v>79368.283217985329</v>
      </c>
      <c r="S59" s="10">
        <v>77263.978668315714</v>
      </c>
      <c r="T59" s="10">
        <v>17450</v>
      </c>
      <c r="U59" s="10">
        <v>18666.397091542611</v>
      </c>
      <c r="V59" s="10">
        <v>17965.864544565455</v>
      </c>
      <c r="W59" s="10">
        <v>13900</v>
      </c>
      <c r="X59" s="10">
        <v>14761.945811695963</v>
      </c>
      <c r="Y59" s="10">
        <v>14261.835660893783</v>
      </c>
      <c r="Z59" s="10">
        <v>22700</v>
      </c>
      <c r="AA59" s="10">
        <v>22138.339823626247</v>
      </c>
      <c r="AB59" s="10">
        <v>21233.759667467908</v>
      </c>
      <c r="AC59" s="10">
        <v>12650</v>
      </c>
      <c r="AD59" s="10">
        <v>13209.928416657971</v>
      </c>
      <c r="AE59" s="10">
        <v>12781.067542122981</v>
      </c>
      <c r="AF59" s="10">
        <v>39250</v>
      </c>
      <c r="AG59" s="10">
        <v>43146.874897382266</v>
      </c>
      <c r="AH59" s="10">
        <v>41197.644046678775</v>
      </c>
      <c r="AI59" s="10">
        <v>44550</v>
      </c>
      <c r="AJ59" s="10">
        <v>46583.959190624089</v>
      </c>
      <c r="AK59" s="10">
        <v>45486.203984730899</v>
      </c>
      <c r="AL59" s="10">
        <v>11950</v>
      </c>
      <c r="AM59" s="10">
        <v>10723.403801390266</v>
      </c>
      <c r="AN59" s="10">
        <v>10218.037286925723</v>
      </c>
      <c r="AO59" s="10">
        <v>16450</v>
      </c>
      <c r="AP59" s="10">
        <v>16787.49963954249</v>
      </c>
      <c r="AQ59" s="10">
        <v>16137.274536434701</v>
      </c>
      <c r="AR59" s="10">
        <v>21900</v>
      </c>
      <c r="AS59" s="10">
        <v>22985.680335744408</v>
      </c>
      <c r="AT59" s="10">
        <v>22219.253726223804</v>
      </c>
      <c r="AU59" s="10">
        <v>159500</v>
      </c>
      <c r="AV59" s="10">
        <v>164567.04861022037</v>
      </c>
      <c r="AW59" s="10">
        <v>159074.0628742456</v>
      </c>
      <c r="AX59" s="10">
        <v>623000</v>
      </c>
      <c r="AY59" s="10">
        <v>627038.69231852936</v>
      </c>
      <c r="AZ59" s="10">
        <v>610696.34872209257</v>
      </c>
      <c r="BA59" s="10">
        <v>198000</v>
      </c>
      <c r="BB59" s="10">
        <v>202904.4614715403</v>
      </c>
      <c r="BC59" s="10">
        <v>198354.9835207001</v>
      </c>
      <c r="BD59" s="10">
        <v>29750</v>
      </c>
      <c r="BE59" s="10">
        <v>30461.248989879998</v>
      </c>
      <c r="BF59" s="10">
        <v>29240.412114484767</v>
      </c>
      <c r="BG59" s="10">
        <v>29800</v>
      </c>
      <c r="BH59" s="10">
        <v>30461.336135695194</v>
      </c>
      <c r="BI59" s="10">
        <v>29323.794472464702</v>
      </c>
      <c r="BJ59" s="10">
        <v>74900</v>
      </c>
      <c r="BK59" s="10">
        <v>77025.371929924338</v>
      </c>
      <c r="BL59" s="10">
        <v>74930.43950236919</v>
      </c>
      <c r="BM59" s="10">
        <v>1125000</v>
      </c>
      <c r="BN59" s="10">
        <v>1181169.0443327751</v>
      </c>
      <c r="BO59" s="10">
        <v>1146809.7897701052</v>
      </c>
      <c r="BP59" s="10">
        <v>38000</v>
      </c>
      <c r="BQ59" s="10">
        <v>40155.995935924519</v>
      </c>
      <c r="BR59" s="10">
        <v>38322.349583054704</v>
      </c>
      <c r="BS59" s="10">
        <v>141500</v>
      </c>
      <c r="BT59" s="10">
        <v>146461.39365120264</v>
      </c>
      <c r="BU59" s="10">
        <v>141801.35257138778</v>
      </c>
      <c r="BV59" s="10">
        <v>41050</v>
      </c>
      <c r="BW59" s="10">
        <v>43275.852930323934</v>
      </c>
      <c r="BX59" s="10">
        <v>41735.576408123321</v>
      </c>
      <c r="BY59" s="10">
        <v>22300</v>
      </c>
      <c r="BZ59" s="10">
        <v>23845.399456199924</v>
      </c>
      <c r="CA59" s="10">
        <v>22660.327579289438</v>
      </c>
      <c r="CB59" s="10">
        <v>103000</v>
      </c>
      <c r="CC59" s="10">
        <v>108446.8873121369</v>
      </c>
      <c r="CD59" s="10">
        <v>105309.35859082954</v>
      </c>
      <c r="CE59" s="10">
        <v>17750</v>
      </c>
      <c r="CF59" s="10">
        <v>17606.126286204944</v>
      </c>
      <c r="CG59" s="10">
        <v>17109.32147903345</v>
      </c>
      <c r="CH59" s="10">
        <v>56400</v>
      </c>
      <c r="CI59" s="10">
        <v>59319.509480180284</v>
      </c>
      <c r="CJ59" s="10">
        <v>57443.841661843056</v>
      </c>
      <c r="CK59" s="10">
        <v>314000</v>
      </c>
      <c r="CL59" s="10">
        <v>315949.05122054799</v>
      </c>
      <c r="CM59" s="10">
        <v>311409.74137364462</v>
      </c>
      <c r="CN59" s="10">
        <v>98500</v>
      </c>
      <c r="CO59" s="10">
        <v>100196.7943042296</v>
      </c>
      <c r="CP59" s="10">
        <v>97540.447563340655</v>
      </c>
      <c r="CQ59" s="10">
        <v>87100</v>
      </c>
      <c r="CR59" s="10">
        <v>88942.321967723634</v>
      </c>
      <c r="CS59" s="10">
        <v>87420.835876873854</v>
      </c>
      <c r="CT59" s="10">
        <v>26900</v>
      </c>
      <c r="CU59" s="10">
        <v>28787.918570974387</v>
      </c>
      <c r="CV59" s="10">
        <v>27567.923758345569</v>
      </c>
      <c r="CW59" s="10">
        <v>122000</v>
      </c>
      <c r="CX59" s="10">
        <v>124078.31245696396</v>
      </c>
      <c r="CY59" s="10">
        <v>121882.82852706089</v>
      </c>
      <c r="CZ59" s="10">
        <v>22550</v>
      </c>
      <c r="DA59" s="10">
        <v>23353.9685218942</v>
      </c>
      <c r="DB59" s="10">
        <v>22492.729428967588</v>
      </c>
      <c r="DC59" s="10">
        <v>20171</v>
      </c>
      <c r="DD59" s="10">
        <v>21108.621038984824</v>
      </c>
      <c r="DE59" s="10">
        <v>20565.969925797657</v>
      </c>
      <c r="DF59" s="10">
        <v>55200</v>
      </c>
      <c r="DG59" s="10">
        <v>55638.680804835145</v>
      </c>
      <c r="DH59" s="10">
        <v>54238.466758622839</v>
      </c>
      <c r="DI59" s="10">
        <v>163000</v>
      </c>
      <c r="DJ59" s="10">
        <v>168923.14700169981</v>
      </c>
      <c r="DK59" s="10">
        <v>163906.10866053423</v>
      </c>
      <c r="DL59" s="10">
        <v>23900</v>
      </c>
      <c r="DM59" s="10">
        <v>24101.68894818336</v>
      </c>
      <c r="DN59" s="10">
        <v>23329.97619617324</v>
      </c>
      <c r="DO59" s="10">
        <v>26000</v>
      </c>
      <c r="DP59" s="10">
        <v>26889.080236092599</v>
      </c>
      <c r="DQ59" s="10">
        <v>25954.674327315948</v>
      </c>
      <c r="DR59" s="10">
        <v>4920</v>
      </c>
      <c r="DS59" s="10">
        <v>5020.0269252343933</v>
      </c>
      <c r="DT59" s="10">
        <v>4861.7162290436763</v>
      </c>
      <c r="DU59" s="10">
        <v>187500</v>
      </c>
      <c r="DV59" s="10">
        <v>187907.98628721223</v>
      </c>
      <c r="DW59" s="10">
        <v>182610.40140999801</v>
      </c>
      <c r="DX59" s="10">
        <v>57500</v>
      </c>
      <c r="DY59" s="10">
        <v>57534.612475872491</v>
      </c>
      <c r="DZ59" s="10">
        <v>55260.93879094052</v>
      </c>
      <c r="EA59" s="10">
        <v>12000</v>
      </c>
      <c r="EB59" s="10">
        <v>12010.181635551144</v>
      </c>
      <c r="EC59" s="10">
        <v>11652.46170049023</v>
      </c>
      <c r="ED59" s="10">
        <v>1528000</v>
      </c>
      <c r="EE59" s="10">
        <v>1533849.4074407462</v>
      </c>
      <c r="EF59" s="10">
        <v>1499104.405007574</v>
      </c>
      <c r="EG59" s="10">
        <v>130500</v>
      </c>
      <c r="EH59" s="10">
        <v>139254.36937893432</v>
      </c>
      <c r="EI59" s="10">
        <v>134347.71871855366</v>
      </c>
      <c r="EJ59" s="10">
        <v>300000</v>
      </c>
      <c r="EK59" s="10">
        <v>300782.64630819298</v>
      </c>
      <c r="EL59" s="10">
        <v>291736.82073662226</v>
      </c>
      <c r="EM59" s="10">
        <v>12450</v>
      </c>
      <c r="EN59" s="10">
        <v>12786.732876485547</v>
      </c>
      <c r="EO59" s="10">
        <v>12430.605908242884</v>
      </c>
      <c r="EP59" s="10">
        <v>48700</v>
      </c>
      <c r="EQ59" s="10">
        <v>49734.86592441352</v>
      </c>
      <c r="ER59" s="10">
        <v>48064.052895390014</v>
      </c>
      <c r="ES59" s="10">
        <v>11850</v>
      </c>
      <c r="ET59" s="10">
        <v>12189.951444087676</v>
      </c>
      <c r="EU59" s="10">
        <v>11697.612569306495</v>
      </c>
      <c r="EV59">
        <v>324000</v>
      </c>
      <c r="EW59">
        <v>321419.06156428781</v>
      </c>
      <c r="EX59">
        <v>307536.1445624351</v>
      </c>
      <c r="EY59">
        <v>29450</v>
      </c>
      <c r="EZ59">
        <v>30332.371764830121</v>
      </c>
      <c r="FA59">
        <v>29503.485285745759</v>
      </c>
      <c r="FB59">
        <v>2365</v>
      </c>
      <c r="FC59">
        <v>2421.1910553890639</v>
      </c>
      <c r="FD59">
        <v>2337.8064666194196</v>
      </c>
      <c r="FE59">
        <v>58100</v>
      </c>
      <c r="FF59">
        <v>59396.872176635967</v>
      </c>
      <c r="FG59">
        <v>58182.414651149913</v>
      </c>
      <c r="FH59">
        <v>49200</v>
      </c>
      <c r="FI59">
        <v>51159.119037621371</v>
      </c>
      <c r="FJ59">
        <v>48526.193422883232</v>
      </c>
      <c r="FK59">
        <v>85100</v>
      </c>
      <c r="FL59">
        <v>89088.515216268032</v>
      </c>
      <c r="FM59">
        <v>86842.520305941449</v>
      </c>
      <c r="FN59">
        <v>35150</v>
      </c>
      <c r="FO59">
        <v>35724.530911142778</v>
      </c>
      <c r="FP59">
        <v>34617.928829696379</v>
      </c>
      <c r="FQ59">
        <v>19300</v>
      </c>
      <c r="FR59">
        <v>19631.96568750318</v>
      </c>
      <c r="FS59">
        <v>18865.147562653001</v>
      </c>
      <c r="FT59">
        <v>870000</v>
      </c>
      <c r="FU59">
        <v>883520.48777036963</v>
      </c>
      <c r="FV59">
        <v>857551.1971918667</v>
      </c>
      <c r="FW59">
        <v>21200</v>
      </c>
      <c r="FX59">
        <v>22164.24617431506</v>
      </c>
      <c r="FY59">
        <v>21351.896228572838</v>
      </c>
      <c r="FZ59">
        <v>30950</v>
      </c>
      <c r="GA59">
        <v>33296.92617345426</v>
      </c>
      <c r="GB59">
        <v>32027.141549257442</v>
      </c>
      <c r="GC59">
        <v>22650</v>
      </c>
      <c r="GD59">
        <v>22798.214282665773</v>
      </c>
      <c r="GE59">
        <v>22266.042686527511</v>
      </c>
      <c r="GF59">
        <v>165000</v>
      </c>
      <c r="GG59">
        <v>165175.3097474463</v>
      </c>
      <c r="GH59">
        <v>159706.29126385448</v>
      </c>
      <c r="GI59">
        <v>4085</v>
      </c>
      <c r="GJ59">
        <v>4333.4779467193639</v>
      </c>
      <c r="GK59">
        <v>4068.3095560327965</v>
      </c>
      <c r="GL59">
        <v>10900</v>
      </c>
      <c r="GM59">
        <v>11441.133438837856</v>
      </c>
      <c r="GN59">
        <v>10890.62965893778</v>
      </c>
      <c r="GO59">
        <v>836000</v>
      </c>
      <c r="GP59">
        <v>893722.0674488151</v>
      </c>
      <c r="GQ59">
        <v>860945.32517567952</v>
      </c>
      <c r="GR59">
        <v>58900</v>
      </c>
      <c r="GS59">
        <v>59624.467996760497</v>
      </c>
      <c r="GT59">
        <v>58789.070262313835</v>
      </c>
      <c r="GU59">
        <v>8900</v>
      </c>
      <c r="GV59">
        <v>9136.8638703917968</v>
      </c>
      <c r="GW59">
        <v>8707.8487278628454</v>
      </c>
      <c r="GX59">
        <v>26350</v>
      </c>
      <c r="GY59">
        <v>28009.603831839951</v>
      </c>
      <c r="GZ59">
        <v>26869.770860808825</v>
      </c>
      <c r="HA59">
        <v>5360</v>
      </c>
      <c r="HB59">
        <v>5465.575887220326</v>
      </c>
      <c r="HC59">
        <v>5273.1701232907744</v>
      </c>
      <c r="HD59">
        <v>26200</v>
      </c>
      <c r="HE59">
        <v>26870.414614661669</v>
      </c>
      <c r="HF59">
        <v>25618.553534863546</v>
      </c>
      <c r="HG59">
        <v>10300</v>
      </c>
      <c r="HH59">
        <v>10096.741870933309</v>
      </c>
      <c r="HI59">
        <v>9750.6946292156863</v>
      </c>
      <c r="HJ59">
        <v>4900</v>
      </c>
      <c r="HK59">
        <v>4913.404777788237</v>
      </c>
      <c r="HL59">
        <v>4727.691825642929</v>
      </c>
    </row>
    <row r="60" spans="1:220" x14ac:dyDescent="0.4">
      <c r="A60" s="73">
        <v>41394</v>
      </c>
      <c r="B60" s="8">
        <v>327300</v>
      </c>
      <c r="C60" s="8">
        <v>329609.50882662495</v>
      </c>
      <c r="D60" s="8">
        <v>320431.76479369553</v>
      </c>
      <c r="E60" s="8">
        <v>128500</v>
      </c>
      <c r="F60" s="8">
        <v>125641.764171191</v>
      </c>
      <c r="G60" s="8">
        <v>122942.37246538932</v>
      </c>
      <c r="H60" s="8">
        <v>60100</v>
      </c>
      <c r="I60" s="8">
        <v>62441.646745930295</v>
      </c>
      <c r="J60" s="8">
        <v>59372.736578113363</v>
      </c>
      <c r="K60" s="8">
        <v>61300</v>
      </c>
      <c r="L60" s="8">
        <v>61199.862237566827</v>
      </c>
      <c r="M60" s="8">
        <v>58797.309842916096</v>
      </c>
      <c r="N60" s="8">
        <v>260000</v>
      </c>
      <c r="O60" s="8">
        <v>253805.50105344102</v>
      </c>
      <c r="P60" s="8">
        <v>247601.23693185387</v>
      </c>
      <c r="Q60" s="8">
        <v>78100</v>
      </c>
      <c r="R60" s="8">
        <v>80689.394206248937</v>
      </c>
      <c r="S60" s="8">
        <v>78550.062820285195</v>
      </c>
      <c r="T60" s="8">
        <v>18300</v>
      </c>
      <c r="U60" s="8">
        <v>19431.413365786138</v>
      </c>
      <c r="V60" s="8">
        <v>18702.170468523032</v>
      </c>
      <c r="W60" s="8">
        <v>14500</v>
      </c>
      <c r="X60" s="8">
        <v>14507.429504597763</v>
      </c>
      <c r="Y60" s="8">
        <v>14015.941942602516</v>
      </c>
      <c r="Z60" s="8">
        <v>21650</v>
      </c>
      <c r="AA60" s="8">
        <v>22189.467629223527</v>
      </c>
      <c r="AB60" s="8">
        <v>21282.798373397385</v>
      </c>
      <c r="AC60" s="8">
        <v>13050</v>
      </c>
      <c r="AD60" s="8">
        <v>13108.702911549482</v>
      </c>
      <c r="AE60" s="8">
        <v>12683.128327240815</v>
      </c>
      <c r="AF60" s="8">
        <v>42350</v>
      </c>
      <c r="AG60" s="8">
        <v>47273.081351559267</v>
      </c>
      <c r="AH60" s="8">
        <v>45137.442355747175</v>
      </c>
      <c r="AI60" s="8">
        <v>45950</v>
      </c>
      <c r="AJ60" s="8">
        <v>45570.162472656244</v>
      </c>
      <c r="AK60" s="8">
        <v>44496.297477990323</v>
      </c>
      <c r="AL60" s="8">
        <v>10400</v>
      </c>
      <c r="AM60" s="8">
        <v>10135.67878535252</v>
      </c>
      <c r="AN60" s="8">
        <v>9658.0102433153606</v>
      </c>
      <c r="AO60" s="8">
        <v>16400</v>
      </c>
      <c r="AP60" s="8">
        <v>16633.955435522286</v>
      </c>
      <c r="AQ60" s="8">
        <v>15989.677513235607</v>
      </c>
      <c r="AR60" s="8">
        <v>22600</v>
      </c>
      <c r="AS60" s="8">
        <v>22985.680335744408</v>
      </c>
      <c r="AT60" s="8">
        <v>22219.253726223804</v>
      </c>
      <c r="AU60" s="8">
        <v>162500</v>
      </c>
      <c r="AV60" s="8">
        <v>161528.88771280105</v>
      </c>
      <c r="AW60" s="8">
        <v>156137.31094425966</v>
      </c>
      <c r="AX60" s="8">
        <v>619000</v>
      </c>
      <c r="AY60" s="8">
        <v>622986.74600306153</v>
      </c>
      <c r="AZ60" s="8">
        <v>606750.00721177133</v>
      </c>
      <c r="BA60" s="8">
        <v>201000</v>
      </c>
      <c r="BB60" s="8">
        <v>200885.51160615182</v>
      </c>
      <c r="BC60" s="8">
        <v>196381.30209263338</v>
      </c>
      <c r="BD60" s="8">
        <v>29750</v>
      </c>
      <c r="BE60" s="8">
        <v>30922.007377962182</v>
      </c>
      <c r="BF60" s="8">
        <v>29682.704062434925</v>
      </c>
      <c r="BG60" s="8">
        <v>29800</v>
      </c>
      <c r="BH60" s="8">
        <v>30614.665008861433</v>
      </c>
      <c r="BI60" s="8">
        <v>29471.397464775757</v>
      </c>
      <c r="BJ60" s="8">
        <v>76200</v>
      </c>
      <c r="BK60" s="8">
        <v>73790.710641528538</v>
      </c>
      <c r="BL60" s="8">
        <v>71783.754378910089</v>
      </c>
      <c r="BM60" s="8">
        <v>1165000</v>
      </c>
      <c r="BN60" s="8">
        <v>1173058.0122686869</v>
      </c>
      <c r="BO60" s="8">
        <v>1138934.7010849882</v>
      </c>
      <c r="BP60" s="8">
        <v>39100</v>
      </c>
      <c r="BQ60" s="8">
        <v>40155.995935924519</v>
      </c>
      <c r="BR60" s="8">
        <v>38322.349583054704</v>
      </c>
      <c r="BS60" s="8">
        <v>144500</v>
      </c>
      <c r="BT60" s="8">
        <v>148488.5409681742</v>
      </c>
      <c r="BU60" s="8">
        <v>143764.00104988439</v>
      </c>
      <c r="BV60" s="8">
        <v>42550</v>
      </c>
      <c r="BW60" s="8">
        <v>42869.029401014181</v>
      </c>
      <c r="BX60" s="8">
        <v>41343.232564098646</v>
      </c>
      <c r="BY60" s="8">
        <v>23100</v>
      </c>
      <c r="BZ60" s="8">
        <v>24671.214155981754</v>
      </c>
      <c r="CA60" s="8">
        <v>23445.100828788654</v>
      </c>
      <c r="CB60" s="8">
        <v>107000</v>
      </c>
      <c r="CC60" s="8">
        <v>107433.36500080852</v>
      </c>
      <c r="CD60" s="8">
        <v>104325.15897783115</v>
      </c>
      <c r="CE60" s="8">
        <v>17400</v>
      </c>
      <c r="CF60" s="8">
        <v>17251.980067804256</v>
      </c>
      <c r="CG60" s="8">
        <v>16765.168460777011</v>
      </c>
      <c r="CH60" s="8">
        <v>58200</v>
      </c>
      <c r="CI60" s="8">
        <v>58300.273922101609</v>
      </c>
      <c r="CJ60" s="8">
        <v>56456.834073151615</v>
      </c>
      <c r="CK60" s="8">
        <v>314000</v>
      </c>
      <c r="CL60" s="8">
        <v>314439.74046630994</v>
      </c>
      <c r="CM60" s="8">
        <v>309922.11522058601</v>
      </c>
      <c r="CN60" s="8">
        <v>98500</v>
      </c>
      <c r="CO60" s="8">
        <v>99383.013233738238</v>
      </c>
      <c r="CP60" s="8">
        <v>96748.240882623038</v>
      </c>
      <c r="CQ60" s="8">
        <v>88500</v>
      </c>
      <c r="CR60" s="8">
        <v>88138.323577054878</v>
      </c>
      <c r="CS60" s="8">
        <v>86630.59103278906</v>
      </c>
      <c r="CT60" s="8">
        <v>28250</v>
      </c>
      <c r="CU60" s="8">
        <v>28787.918570974387</v>
      </c>
      <c r="CV60" s="8">
        <v>27567.923758345569</v>
      </c>
      <c r="CW60" s="8">
        <v>123000</v>
      </c>
      <c r="CX60" s="8">
        <v>124078.31245696396</v>
      </c>
      <c r="CY60" s="8">
        <v>121882.82852706089</v>
      </c>
      <c r="CZ60" s="8">
        <v>22850</v>
      </c>
      <c r="DA60" s="8">
        <v>24069.407382521124</v>
      </c>
      <c r="DB60" s="8">
        <v>23181.784597469843</v>
      </c>
      <c r="DC60" s="8">
        <v>20777</v>
      </c>
      <c r="DD60" s="8">
        <v>20974.514191165319</v>
      </c>
      <c r="DE60" s="8">
        <v>20435.310637632614</v>
      </c>
      <c r="DF60" s="8">
        <v>54800</v>
      </c>
      <c r="DG60" s="8">
        <v>55029.498168285892</v>
      </c>
      <c r="DH60" s="8">
        <v>53644.61493279854</v>
      </c>
      <c r="DI60" s="8">
        <v>166000</v>
      </c>
      <c r="DJ60" s="8">
        <v>165870.31904383784</v>
      </c>
      <c r="DK60" s="8">
        <v>160943.95007028367</v>
      </c>
      <c r="DL60" s="8">
        <v>23650</v>
      </c>
      <c r="DM60" s="8">
        <v>23388.319719273062</v>
      </c>
      <c r="DN60" s="8">
        <v>22639.448359500027</v>
      </c>
      <c r="DO60" s="8">
        <v>26450</v>
      </c>
      <c r="DP60" s="8">
        <v>25719.9897910451</v>
      </c>
      <c r="DQ60" s="8">
        <v>24826.210226128303</v>
      </c>
      <c r="DR60" s="8">
        <v>4930</v>
      </c>
      <c r="DS60" s="8">
        <v>4928.3834316702714</v>
      </c>
      <c r="DT60" s="8">
        <v>4772.9627887568695</v>
      </c>
      <c r="DU60" s="8">
        <v>185000</v>
      </c>
      <c r="DV60" s="8">
        <v>183845.11090802908</v>
      </c>
      <c r="DW60" s="8">
        <v>178662.0684065384</v>
      </c>
      <c r="DX60" s="8">
        <v>56300</v>
      </c>
      <c r="DY60" s="8">
        <v>58863.120401603068</v>
      </c>
      <c r="DZ60" s="8">
        <v>56536.94625858208</v>
      </c>
      <c r="EA60" s="8">
        <v>11850</v>
      </c>
      <c r="EB60" s="8">
        <v>11908.829891791214</v>
      </c>
      <c r="EC60" s="8">
        <v>11554.128690359506</v>
      </c>
      <c r="ED60" s="8">
        <v>1520000</v>
      </c>
      <c r="EE60" s="8">
        <v>1494494.0608024653</v>
      </c>
      <c r="EF60" s="8">
        <v>1460640.5419843546</v>
      </c>
      <c r="EG60" s="8">
        <v>137000</v>
      </c>
      <c r="EH60" s="8">
        <v>138746.14175346371</v>
      </c>
      <c r="EI60" s="8">
        <v>133857.39857724504</v>
      </c>
      <c r="EJ60" s="8">
        <v>296000</v>
      </c>
      <c r="EK60" s="8">
        <v>291637.22800828161</v>
      </c>
      <c r="EL60" s="8">
        <v>282866.44443044113</v>
      </c>
      <c r="EM60" s="8">
        <v>12600</v>
      </c>
      <c r="EN60" s="8">
        <v>12634.509866051203</v>
      </c>
      <c r="EO60" s="8">
        <v>12282.622504573332</v>
      </c>
      <c r="EP60" s="8">
        <v>48700</v>
      </c>
      <c r="EQ60" s="8">
        <v>49019.991054863385</v>
      </c>
      <c r="ER60" s="8">
        <v>47373.193818864871</v>
      </c>
      <c r="ES60" s="8">
        <v>11950</v>
      </c>
      <c r="ET60" s="8">
        <v>12444.971348775691</v>
      </c>
      <c r="EU60" s="8">
        <v>11942.332497534653</v>
      </c>
      <c r="EV60">
        <v>315500</v>
      </c>
      <c r="EW60">
        <v>315306.49620965804</v>
      </c>
      <c r="EX60">
        <v>301687.59664682631</v>
      </c>
      <c r="EY60">
        <v>29900</v>
      </c>
      <c r="EZ60">
        <v>29977.310556880624</v>
      </c>
      <c r="FA60">
        <v>29158.126762334039</v>
      </c>
      <c r="FB60">
        <v>2380</v>
      </c>
      <c r="FC60">
        <v>2421.1910553890639</v>
      </c>
      <c r="FD60">
        <v>2337.8064666194196</v>
      </c>
      <c r="FE60">
        <v>59000</v>
      </c>
      <c r="FF60">
        <v>58390.145529574416</v>
      </c>
      <c r="FG60">
        <v>57196.272029944055</v>
      </c>
      <c r="FH60">
        <v>49750</v>
      </c>
      <c r="FI60">
        <v>50953.454237470185</v>
      </c>
      <c r="FJ60">
        <v>48331.113248318936</v>
      </c>
      <c r="FK60">
        <v>88100</v>
      </c>
      <c r="FL60">
        <v>89493.00336707964</v>
      </c>
      <c r="FM60">
        <v>87236.810977023997</v>
      </c>
      <c r="FN60">
        <v>35300</v>
      </c>
      <c r="FO60">
        <v>34712.504539722329</v>
      </c>
      <c r="FP60">
        <v>33637.250959166755</v>
      </c>
      <c r="FQ60">
        <v>19150</v>
      </c>
      <c r="FR60">
        <v>19375.673707248599</v>
      </c>
      <c r="FS60">
        <v>18618.866262879492</v>
      </c>
      <c r="FT60">
        <v>871000</v>
      </c>
      <c r="FU60">
        <v>880477.36324303132</v>
      </c>
      <c r="FV60">
        <v>854597.51913035568</v>
      </c>
      <c r="FW60">
        <v>21850</v>
      </c>
      <c r="FX60">
        <v>22164.24617431506</v>
      </c>
      <c r="FY60">
        <v>21351.896228572838</v>
      </c>
      <c r="FZ60">
        <v>32750</v>
      </c>
      <c r="GA60">
        <v>33347.761175245818</v>
      </c>
      <c r="GB60">
        <v>32076.037948569308</v>
      </c>
      <c r="GC60">
        <v>22600</v>
      </c>
      <c r="GD60">
        <v>22495.583119621529</v>
      </c>
      <c r="GE60">
        <v>21970.475748210771</v>
      </c>
      <c r="GF60">
        <v>162500</v>
      </c>
      <c r="GG60">
        <v>166191.77319204615</v>
      </c>
      <c r="GH60">
        <v>160689.09921009376</v>
      </c>
      <c r="GI60">
        <v>4170</v>
      </c>
      <c r="GJ60">
        <v>4468.5743815091746</v>
      </c>
      <c r="GK60">
        <v>4195.1393503455683</v>
      </c>
      <c r="GL60">
        <v>11150</v>
      </c>
      <c r="GM60">
        <v>11595.050032185452</v>
      </c>
      <c r="GN60">
        <v>11037.14037183829</v>
      </c>
      <c r="GO60">
        <v>880000</v>
      </c>
      <c r="GP60">
        <v>891690.8809318865</v>
      </c>
      <c r="GQ60">
        <v>858988.63125482621</v>
      </c>
      <c r="GR60">
        <v>59300</v>
      </c>
      <c r="GS60">
        <v>59322.826506051664</v>
      </c>
      <c r="GT60">
        <v>58491.655067057516</v>
      </c>
      <c r="GU60">
        <v>8910</v>
      </c>
      <c r="GV60">
        <v>9311.1923617460725</v>
      </c>
      <c r="GW60">
        <v>8873.9917451172423</v>
      </c>
      <c r="GX60">
        <v>27350</v>
      </c>
      <c r="GY60">
        <v>27855.986260550169</v>
      </c>
      <c r="GZ60">
        <v>26722.404658647181</v>
      </c>
      <c r="HA60">
        <v>5360</v>
      </c>
      <c r="HB60">
        <v>5526.7577068533856</v>
      </c>
      <c r="HC60">
        <v>5332.1981470589517</v>
      </c>
      <c r="HD60">
        <v>26150</v>
      </c>
      <c r="HE60">
        <v>26356.639956637555</v>
      </c>
      <c r="HF60">
        <v>25128.715035152971</v>
      </c>
      <c r="HG60">
        <v>9940</v>
      </c>
      <c r="HH60">
        <v>9944.3765509493933</v>
      </c>
      <c r="HI60">
        <v>9603.5513501027599</v>
      </c>
      <c r="HJ60">
        <v>4830</v>
      </c>
      <c r="HK60">
        <v>4740.4692058992068</v>
      </c>
      <c r="HL60">
        <v>4561.292734471228</v>
      </c>
    </row>
    <row r="61" spans="1:220" x14ac:dyDescent="0.4">
      <c r="A61" s="11">
        <v>41393</v>
      </c>
      <c r="B61" s="8">
        <v>323800</v>
      </c>
      <c r="C61" s="8">
        <v>322992.88805030263</v>
      </c>
      <c r="D61" s="8">
        <v>313999.37915083225</v>
      </c>
      <c r="E61" s="8">
        <v>124000</v>
      </c>
      <c r="F61" s="8">
        <v>125641.764171191</v>
      </c>
      <c r="G61" s="8">
        <v>122942.37246538932</v>
      </c>
      <c r="H61" s="8">
        <v>61400</v>
      </c>
      <c r="I61" s="8">
        <v>61729.771294429425</v>
      </c>
      <c r="J61" s="8">
        <v>58695.848701815623</v>
      </c>
      <c r="K61" s="8">
        <v>59900</v>
      </c>
      <c r="L61" s="8">
        <v>60995.522129928897</v>
      </c>
      <c r="M61" s="8">
        <v>58600.991613056627</v>
      </c>
      <c r="N61" s="8">
        <v>250500</v>
      </c>
      <c r="O61" s="8">
        <v>257351.68569889816</v>
      </c>
      <c r="P61" s="8">
        <v>251060.73525225886</v>
      </c>
      <c r="Q61" s="8">
        <v>79400</v>
      </c>
      <c r="R61" s="8">
        <v>80282.898517552458</v>
      </c>
      <c r="S61" s="8">
        <v>78154.344619679221</v>
      </c>
      <c r="T61" s="8">
        <v>19050</v>
      </c>
      <c r="U61" s="8">
        <v>19023.404686189584</v>
      </c>
      <c r="V61" s="8">
        <v>18309.473975745648</v>
      </c>
      <c r="W61" s="8">
        <v>14250</v>
      </c>
      <c r="X61" s="8">
        <v>14609.236027437033</v>
      </c>
      <c r="Y61" s="8">
        <v>14114.299429919012</v>
      </c>
      <c r="Z61" s="8">
        <v>21700</v>
      </c>
      <c r="AA61" s="8">
        <v>21166.911517277731</v>
      </c>
      <c r="AB61" s="8">
        <v>20302.024254807635</v>
      </c>
      <c r="AC61" s="8">
        <v>12950</v>
      </c>
      <c r="AD61" s="8">
        <v>12805.026396224019</v>
      </c>
      <c r="AE61" s="8">
        <v>12389.310682594314</v>
      </c>
      <c r="AF61" s="8">
        <v>46400</v>
      </c>
      <c r="AG61" s="8">
        <v>47884.371196622575</v>
      </c>
      <c r="AH61" s="8">
        <v>45721.116179312914</v>
      </c>
      <c r="AI61" s="8">
        <v>44950</v>
      </c>
      <c r="AJ61" s="8">
        <v>45519.472636757841</v>
      </c>
      <c r="AK61" s="8">
        <v>44446.802152653283</v>
      </c>
      <c r="AL61" s="8">
        <v>9830</v>
      </c>
      <c r="AM61" s="8">
        <v>9723.2401776067527</v>
      </c>
      <c r="AN61" s="8">
        <v>9265.0088092028436</v>
      </c>
      <c r="AO61" s="8">
        <v>16250</v>
      </c>
      <c r="AP61" s="8">
        <v>16838.681040882551</v>
      </c>
      <c r="AQ61" s="8">
        <v>16186.473544167726</v>
      </c>
      <c r="AR61" s="8">
        <v>22600</v>
      </c>
      <c r="AS61" s="8">
        <v>23799.332737009696</v>
      </c>
      <c r="AT61" s="8">
        <v>23005.775982019335</v>
      </c>
      <c r="AU61" s="8">
        <v>159500</v>
      </c>
      <c r="AV61" s="8">
        <v>168617.92980677969</v>
      </c>
      <c r="AW61" s="8">
        <v>162989.73211422708</v>
      </c>
      <c r="AX61" s="8">
        <v>615000</v>
      </c>
      <c r="AY61" s="8">
        <v>617921.81310872803</v>
      </c>
      <c r="AZ61" s="8">
        <v>601817.08032387111</v>
      </c>
      <c r="BA61" s="8">
        <v>199000</v>
      </c>
      <c r="BB61" s="8">
        <v>203913.93640423441</v>
      </c>
      <c r="BC61" s="8">
        <v>199341.8242347333</v>
      </c>
      <c r="BD61" s="8">
        <v>30200</v>
      </c>
      <c r="BE61" s="8">
        <v>31331.570389590845</v>
      </c>
      <c r="BF61" s="8">
        <v>30075.852460612892</v>
      </c>
      <c r="BG61" s="8">
        <v>29950</v>
      </c>
      <c r="BH61" s="8">
        <v>31176.870877137728</v>
      </c>
      <c r="BI61" s="8">
        <v>30012.608436583028</v>
      </c>
      <c r="BJ61" s="8">
        <v>73000</v>
      </c>
      <c r="BK61" s="8">
        <v>73487.461145741487</v>
      </c>
      <c r="BL61" s="8">
        <v>71488.752648585854</v>
      </c>
      <c r="BM61" s="8">
        <v>1157000</v>
      </c>
      <c r="BN61" s="8">
        <v>1139600.0050043256</v>
      </c>
      <c r="BO61" s="8">
        <v>1106449.9602588827</v>
      </c>
      <c r="BP61" s="8">
        <v>39100</v>
      </c>
      <c r="BQ61" s="8">
        <v>39026.287610361425</v>
      </c>
      <c r="BR61" s="8">
        <v>37244.227216268002</v>
      </c>
      <c r="BS61" s="8">
        <v>146500</v>
      </c>
      <c r="BT61" s="8">
        <v>145447.81999271695</v>
      </c>
      <c r="BU61" s="8">
        <v>140820.02833213957</v>
      </c>
      <c r="BV61" s="8">
        <v>42150</v>
      </c>
      <c r="BW61" s="8">
        <v>40682.352930974303</v>
      </c>
      <c r="BX61" s="8">
        <v>39234.384402466087</v>
      </c>
      <c r="BY61" s="8">
        <v>23900</v>
      </c>
      <c r="BZ61" s="8">
        <v>23277.651850099915</v>
      </c>
      <c r="CA61" s="8">
        <v>22120.795970258729</v>
      </c>
      <c r="CB61" s="8">
        <v>106000</v>
      </c>
      <c r="CC61" s="8">
        <v>102872.5145998308</v>
      </c>
      <c r="CD61" s="8">
        <v>99896.260719338316</v>
      </c>
      <c r="CE61" s="8">
        <v>17050</v>
      </c>
      <c r="CF61" s="8">
        <v>17606.126286204944</v>
      </c>
      <c r="CG61" s="8">
        <v>17109.32147903345</v>
      </c>
      <c r="CH61" s="8">
        <v>57200</v>
      </c>
      <c r="CI61" s="8">
        <v>59115.662368564575</v>
      </c>
      <c r="CJ61" s="8">
        <v>57246.440144104788</v>
      </c>
      <c r="CK61" s="8">
        <v>312500</v>
      </c>
      <c r="CL61" s="8">
        <v>317961.46555953281</v>
      </c>
      <c r="CM61" s="8">
        <v>313393.24291105679</v>
      </c>
      <c r="CN61" s="8">
        <v>97700</v>
      </c>
      <c r="CO61" s="8">
        <v>99383.013233738238</v>
      </c>
      <c r="CP61" s="8">
        <v>96748.240882623038</v>
      </c>
      <c r="CQ61" s="8">
        <v>87700</v>
      </c>
      <c r="CR61" s="8">
        <v>89042.821766557245</v>
      </c>
      <c r="CS61" s="8">
        <v>87519.616482384474</v>
      </c>
      <c r="CT61" s="8">
        <v>28250</v>
      </c>
      <c r="CU61" s="8">
        <v>29042.678912310468</v>
      </c>
      <c r="CV61" s="8">
        <v>27811.887685410598</v>
      </c>
      <c r="CW61" s="8">
        <v>123000</v>
      </c>
      <c r="CX61" s="8">
        <v>124078.31245696396</v>
      </c>
      <c r="CY61" s="8">
        <v>121882.82852706089</v>
      </c>
      <c r="CZ61" s="8">
        <v>23550</v>
      </c>
      <c r="DA61" s="8">
        <v>23762.790727966727</v>
      </c>
      <c r="DB61" s="8">
        <v>22886.475239540305</v>
      </c>
      <c r="DC61" s="8">
        <v>20645</v>
      </c>
      <c r="DD61" s="8">
        <v>20761.162387816101</v>
      </c>
      <c r="DE61" s="8">
        <v>20227.443588279126</v>
      </c>
      <c r="DF61" s="8">
        <v>54200</v>
      </c>
      <c r="DG61" s="8">
        <v>53405.011137487745</v>
      </c>
      <c r="DH61" s="8">
        <v>52061.010063933594</v>
      </c>
      <c r="DI61" s="8">
        <v>163000</v>
      </c>
      <c r="DJ61" s="8">
        <v>168414.34234205604</v>
      </c>
      <c r="DK61" s="8">
        <v>163412.41556215903</v>
      </c>
      <c r="DL61" s="8">
        <v>22950</v>
      </c>
      <c r="DM61" s="8">
        <v>23541.184554039566</v>
      </c>
      <c r="DN61" s="8">
        <v>22787.418610215725</v>
      </c>
      <c r="DO61" s="8">
        <v>25300</v>
      </c>
      <c r="DP61" s="8">
        <v>26584.100119993236</v>
      </c>
      <c r="DQ61" s="8">
        <v>25660.292387875677</v>
      </c>
      <c r="DR61" s="8">
        <v>4840</v>
      </c>
      <c r="DS61" s="8">
        <v>4836.7399381061532</v>
      </c>
      <c r="DT61" s="8">
        <v>4684.2093484700663</v>
      </c>
      <c r="DU61" s="8">
        <v>181000</v>
      </c>
      <c r="DV61" s="8">
        <v>187400.12686481423</v>
      </c>
      <c r="DW61" s="8">
        <v>182116.85978456546</v>
      </c>
      <c r="DX61" s="8">
        <v>57600</v>
      </c>
      <c r="DY61" s="8">
        <v>55490.754128594534</v>
      </c>
      <c r="DZ61" s="8">
        <v>53297.850379184121</v>
      </c>
      <c r="EA61" s="8">
        <v>11750</v>
      </c>
      <c r="EB61" s="8">
        <v>12111.533379311069</v>
      </c>
      <c r="EC61" s="8">
        <v>11750.79471062095</v>
      </c>
      <c r="ED61" s="8">
        <v>1481000</v>
      </c>
      <c r="EE61" s="8">
        <v>1499539.6180637833</v>
      </c>
      <c r="EF61" s="8">
        <v>1465571.8064745108</v>
      </c>
      <c r="EG61" s="8">
        <v>136500</v>
      </c>
      <c r="EH61" s="8">
        <v>137221.45887705206</v>
      </c>
      <c r="EI61" s="8">
        <v>132386.43815331932</v>
      </c>
      <c r="EJ61" s="8">
        <v>287000</v>
      </c>
      <c r="EK61" s="8">
        <v>291129.14921384206</v>
      </c>
      <c r="EL61" s="8">
        <v>282373.64574676438</v>
      </c>
      <c r="EM61" s="8">
        <v>12450</v>
      </c>
      <c r="EN61" s="8">
        <v>11974.876820835676</v>
      </c>
      <c r="EO61" s="8">
        <v>11641.361088671911</v>
      </c>
      <c r="EP61" s="8">
        <v>48000</v>
      </c>
      <c r="EQ61" s="8">
        <v>47998.74124122045</v>
      </c>
      <c r="ER61" s="8">
        <v>46386.252280971894</v>
      </c>
      <c r="ES61" s="8">
        <v>12200</v>
      </c>
      <c r="ET61" s="8">
        <v>11577.903672836401</v>
      </c>
      <c r="EU61" s="8">
        <v>11110.284741558877</v>
      </c>
      <c r="EV61">
        <v>309500</v>
      </c>
      <c r="EW61">
        <v>314797.11576343846</v>
      </c>
      <c r="EX61">
        <v>301200.21765385853</v>
      </c>
      <c r="EY61">
        <v>29550</v>
      </c>
      <c r="EZ61">
        <v>29875.864497466435</v>
      </c>
      <c r="FA61">
        <v>29059.452898502073</v>
      </c>
      <c r="FB61">
        <v>2380</v>
      </c>
      <c r="FC61">
        <v>2416.1045195584156</v>
      </c>
      <c r="FD61">
        <v>2332.895108496271</v>
      </c>
      <c r="FE61">
        <v>58000</v>
      </c>
      <c r="FF61">
        <v>58088.127535455889</v>
      </c>
      <c r="FG61">
        <v>56900.429243582235</v>
      </c>
      <c r="FH61">
        <v>49550</v>
      </c>
      <c r="FI61">
        <v>47148.65543467219</v>
      </c>
      <c r="FJ61">
        <v>44722.13001887835</v>
      </c>
      <c r="FK61">
        <v>88500</v>
      </c>
      <c r="FL61">
        <v>90706.467819514539</v>
      </c>
      <c r="FM61">
        <v>88419.6829902717</v>
      </c>
      <c r="FN61">
        <v>34300</v>
      </c>
      <c r="FO61">
        <v>35623.328274000698</v>
      </c>
      <c r="FP61">
        <v>34519.861042643381</v>
      </c>
      <c r="FQ61">
        <v>18900</v>
      </c>
      <c r="FR61">
        <v>19375.673707248599</v>
      </c>
      <c r="FS61">
        <v>18618.866262879492</v>
      </c>
      <c r="FT61">
        <v>868000</v>
      </c>
      <c r="FU61">
        <v>891635.48650993721</v>
      </c>
      <c r="FV61">
        <v>865427.67202256166</v>
      </c>
      <c r="FW61">
        <v>21850</v>
      </c>
      <c r="FX61">
        <v>22519.279865894463</v>
      </c>
      <c r="FY61">
        <v>21693.917449625478</v>
      </c>
      <c r="FZ61">
        <v>32800</v>
      </c>
      <c r="GA61">
        <v>33144.42116807968</v>
      </c>
      <c r="GB61">
        <v>31880.452351321925</v>
      </c>
      <c r="GC61">
        <v>22300</v>
      </c>
      <c r="GD61">
        <v>22798.214282665773</v>
      </c>
      <c r="GE61">
        <v>22266.042686527511</v>
      </c>
      <c r="GF61">
        <v>163500</v>
      </c>
      <c r="GG61">
        <v>162125.91941364741</v>
      </c>
      <c r="GH61">
        <v>156757.86742513732</v>
      </c>
      <c r="GI61">
        <v>4300</v>
      </c>
      <c r="GJ61">
        <v>4380.2420972235295</v>
      </c>
      <c r="GK61">
        <v>4112.2121771410639</v>
      </c>
      <c r="GL61">
        <v>11300</v>
      </c>
      <c r="GM61">
        <v>11389.827907721978</v>
      </c>
      <c r="GN61">
        <v>10841.792754637598</v>
      </c>
      <c r="GO61">
        <v>878000</v>
      </c>
      <c r="GP61">
        <v>883566.13486417069</v>
      </c>
      <c r="GQ61">
        <v>851161.85557141167</v>
      </c>
      <c r="GR61">
        <v>59000</v>
      </c>
      <c r="GS61">
        <v>59624.467996760497</v>
      </c>
      <c r="GT61">
        <v>58789.070262313835</v>
      </c>
      <c r="GU61">
        <v>9080</v>
      </c>
      <c r="GV61">
        <v>9577.8124073467206</v>
      </c>
      <c r="GW61">
        <v>9128.0928303298406</v>
      </c>
      <c r="GX61">
        <v>27200</v>
      </c>
      <c r="GY61">
        <v>28214.427260226385</v>
      </c>
      <c r="GZ61">
        <v>27066.259130357736</v>
      </c>
      <c r="HA61">
        <v>5420</v>
      </c>
      <c r="HB61">
        <v>5618.5304363029818</v>
      </c>
      <c r="HC61">
        <v>5420.7401827112235</v>
      </c>
      <c r="HD61">
        <v>25650</v>
      </c>
      <c r="HE61">
        <v>26305.262490835121</v>
      </c>
      <c r="HF61">
        <v>25079.731185181892</v>
      </c>
      <c r="HG61">
        <v>9790</v>
      </c>
      <c r="HH61">
        <v>10106.899558932231</v>
      </c>
      <c r="HI61">
        <v>9760.5041811565443</v>
      </c>
      <c r="HJ61">
        <v>4660</v>
      </c>
      <c r="HK61">
        <v>4786.2462690463053</v>
      </c>
      <c r="HL61">
        <v>4605.339552722563</v>
      </c>
    </row>
    <row r="62" spans="1:220" x14ac:dyDescent="0.4">
      <c r="A62" s="11">
        <v>41390</v>
      </c>
      <c r="B62" s="8">
        <v>317300</v>
      </c>
      <c r="C62" s="8">
        <v>318615.73892135138</v>
      </c>
      <c r="D62" s="8">
        <v>309744.10864863085</v>
      </c>
      <c r="E62" s="8">
        <v>124000</v>
      </c>
      <c r="F62" s="8">
        <v>126655.00420482943</v>
      </c>
      <c r="G62" s="8">
        <v>123933.84321107774</v>
      </c>
      <c r="H62" s="8">
        <v>60700</v>
      </c>
      <c r="I62" s="8">
        <v>63051.825704359617</v>
      </c>
      <c r="J62" s="8">
        <v>59952.926186368575</v>
      </c>
      <c r="K62" s="8">
        <v>59700</v>
      </c>
      <c r="L62" s="8">
        <v>60484.671860834045</v>
      </c>
      <c r="M62" s="8">
        <v>58110.196038407943</v>
      </c>
      <c r="N62" s="8">
        <v>254000</v>
      </c>
      <c r="O62" s="8">
        <v>260897.87034435567</v>
      </c>
      <c r="P62" s="8">
        <v>254520.23357266426</v>
      </c>
      <c r="Q62" s="8">
        <v>79000</v>
      </c>
      <c r="R62" s="8">
        <v>77335.804774503064</v>
      </c>
      <c r="S62" s="8">
        <v>75285.387665285933</v>
      </c>
      <c r="T62" s="8">
        <v>18650</v>
      </c>
      <c r="U62" s="8">
        <v>18819.40034639131</v>
      </c>
      <c r="V62" s="8">
        <v>18113.125729356965</v>
      </c>
      <c r="W62" s="8">
        <v>14350</v>
      </c>
      <c r="X62" s="8">
        <v>14914.655595954882</v>
      </c>
      <c r="Y62" s="8">
        <v>14409.371891868539</v>
      </c>
      <c r="Z62" s="8">
        <v>20700</v>
      </c>
      <c r="AA62" s="8">
        <v>20655.633461304853</v>
      </c>
      <c r="AB62" s="8">
        <v>19811.637195512776</v>
      </c>
      <c r="AC62" s="8">
        <v>12650</v>
      </c>
      <c r="AD62" s="8">
        <v>12855.639148778262</v>
      </c>
      <c r="AE62" s="8">
        <v>12438.280290035398</v>
      </c>
      <c r="AF62" s="8">
        <v>47000</v>
      </c>
      <c r="AG62" s="8">
        <v>48291.897759998101</v>
      </c>
      <c r="AH62" s="8">
        <v>46110.232061690062</v>
      </c>
      <c r="AI62" s="8">
        <v>44900</v>
      </c>
      <c r="AJ62" s="8">
        <v>45570.162472656244</v>
      </c>
      <c r="AK62" s="8">
        <v>44496.297477990323</v>
      </c>
      <c r="AL62" s="8">
        <v>9430</v>
      </c>
      <c r="AM62" s="8">
        <v>9599.5085952830104</v>
      </c>
      <c r="AN62" s="8">
        <v>9147.1083789690765</v>
      </c>
      <c r="AO62" s="8">
        <v>16450</v>
      </c>
      <c r="AP62" s="8">
        <v>16889.862442222613</v>
      </c>
      <c r="AQ62" s="8">
        <v>16235.672551900754</v>
      </c>
      <c r="AR62" s="8">
        <v>23400</v>
      </c>
      <c r="AS62" s="8">
        <v>24968.958063828512</v>
      </c>
      <c r="AT62" s="8">
        <v>24136.401724725376</v>
      </c>
      <c r="AU62" s="8">
        <v>166500</v>
      </c>
      <c r="AV62" s="8">
        <v>171656.09070419907</v>
      </c>
      <c r="AW62" s="8">
        <v>165926.48404421308</v>
      </c>
      <c r="AX62" s="8">
        <v>610000</v>
      </c>
      <c r="AY62" s="8">
        <v>616908.8265298612</v>
      </c>
      <c r="AZ62" s="8">
        <v>600830.49494629086</v>
      </c>
      <c r="BA62" s="8">
        <v>202000</v>
      </c>
      <c r="BB62" s="8">
        <v>205428.14880327578</v>
      </c>
      <c r="BC62" s="8">
        <v>200822.08530578332</v>
      </c>
      <c r="BD62" s="8">
        <v>30600</v>
      </c>
      <c r="BE62" s="8">
        <v>30717.225872147887</v>
      </c>
      <c r="BF62" s="8">
        <v>29486.129863345974</v>
      </c>
      <c r="BG62" s="8">
        <v>30500</v>
      </c>
      <c r="BH62" s="8">
        <v>30921.322755193949</v>
      </c>
      <c r="BI62" s="8">
        <v>29766.603449397899</v>
      </c>
      <c r="BJ62" s="8">
        <v>72700</v>
      </c>
      <c r="BK62" s="8">
        <v>73790.710641528538</v>
      </c>
      <c r="BL62" s="8">
        <v>71783.754378910089</v>
      </c>
      <c r="BM62" s="8">
        <v>1124000</v>
      </c>
      <c r="BN62" s="8">
        <v>1139600.0050043256</v>
      </c>
      <c r="BO62" s="8">
        <v>1106449.9602588827</v>
      </c>
      <c r="BP62" s="8">
        <v>38000</v>
      </c>
      <c r="BQ62" s="8">
        <v>37074.973229843366</v>
      </c>
      <c r="BR62" s="8">
        <v>35382.015855454614</v>
      </c>
      <c r="BS62" s="8">
        <v>143500</v>
      </c>
      <c r="BT62" s="8">
        <v>145447.81999271695</v>
      </c>
      <c r="BU62" s="8">
        <v>140820.02833213957</v>
      </c>
      <c r="BV62" s="8">
        <v>40000</v>
      </c>
      <c r="BW62" s="8">
        <v>39360.176460717688</v>
      </c>
      <c r="BX62" s="8">
        <v>37959.266909385995</v>
      </c>
      <c r="BY62" s="8">
        <v>22550</v>
      </c>
      <c r="BZ62" s="8">
        <v>22400.223731581737</v>
      </c>
      <c r="CA62" s="8">
        <v>21286.974392665827</v>
      </c>
      <c r="CB62" s="8">
        <v>101500</v>
      </c>
      <c r="CC62" s="8">
        <v>103379.27575549498</v>
      </c>
      <c r="CD62" s="8">
        <v>100388.3605258375</v>
      </c>
      <c r="CE62" s="8">
        <v>17400</v>
      </c>
      <c r="CF62" s="8">
        <v>17251.980067804256</v>
      </c>
      <c r="CG62" s="8">
        <v>16765.168460777011</v>
      </c>
      <c r="CH62" s="8">
        <v>58000</v>
      </c>
      <c r="CI62" s="8">
        <v>57994.503254677948</v>
      </c>
      <c r="CJ62" s="8">
        <v>56160.731796544125</v>
      </c>
      <c r="CK62" s="8">
        <v>316000</v>
      </c>
      <c r="CL62" s="8">
        <v>324501.81216123165</v>
      </c>
      <c r="CM62" s="8">
        <v>319839.6229076446</v>
      </c>
      <c r="CN62" s="8">
        <v>97700</v>
      </c>
      <c r="CO62" s="8">
        <v>95924.443684150683</v>
      </c>
      <c r="CP62" s="8">
        <v>93381.362489573774</v>
      </c>
      <c r="CQ62" s="8">
        <v>88600</v>
      </c>
      <c r="CR62" s="8">
        <v>89444.820961891499</v>
      </c>
      <c r="CS62" s="8">
        <v>87914.738904426747</v>
      </c>
      <c r="CT62" s="8">
        <v>28500</v>
      </c>
      <c r="CU62" s="8">
        <v>29297.43925364652</v>
      </c>
      <c r="CV62" s="8">
        <v>28055.851612475602</v>
      </c>
      <c r="CW62" s="8">
        <v>123000</v>
      </c>
      <c r="CX62" s="8">
        <v>124078.31245696396</v>
      </c>
      <c r="CY62" s="8">
        <v>121882.82852706089</v>
      </c>
      <c r="CZ62" s="8">
        <v>23250</v>
      </c>
      <c r="DA62" s="8">
        <v>23507.27684917138</v>
      </c>
      <c r="DB62" s="8">
        <v>22640.384107932339</v>
      </c>
      <c r="DC62" s="8">
        <v>20435</v>
      </c>
      <c r="DD62" s="8">
        <v>20199.335972329809</v>
      </c>
      <c r="DE62" s="8">
        <v>19680.060358314924</v>
      </c>
      <c r="DF62" s="8">
        <v>52600</v>
      </c>
      <c r="DG62" s="8">
        <v>53303.480698062885</v>
      </c>
      <c r="DH62" s="8">
        <v>51962.034759629561</v>
      </c>
      <c r="DI62" s="8">
        <v>165500</v>
      </c>
      <c r="DJ62" s="8">
        <v>169431.9516613434</v>
      </c>
      <c r="DK62" s="8">
        <v>164399.80175890925</v>
      </c>
      <c r="DL62" s="8">
        <v>23100</v>
      </c>
      <c r="DM62" s="8">
        <v>23694.049388806052</v>
      </c>
      <c r="DN62" s="8">
        <v>22935.388860931405</v>
      </c>
      <c r="DO62" s="8">
        <v>26150</v>
      </c>
      <c r="DP62" s="8">
        <v>26533.270100643345</v>
      </c>
      <c r="DQ62" s="8">
        <v>25611.228731302301</v>
      </c>
      <c r="DR62" s="8">
        <v>4750</v>
      </c>
      <c r="DS62" s="8">
        <v>4734.9138341460293</v>
      </c>
      <c r="DT62" s="8">
        <v>4585.5944148180706</v>
      </c>
      <c r="DU62" s="8">
        <v>184500</v>
      </c>
      <c r="DV62" s="8">
        <v>185368.68917522291</v>
      </c>
      <c r="DW62" s="8">
        <v>180142.69328283591</v>
      </c>
      <c r="DX62" s="8">
        <v>54300</v>
      </c>
      <c r="DY62" s="8">
        <v>55081.982459139042</v>
      </c>
      <c r="DZ62" s="8">
        <v>52905.232696832943</v>
      </c>
      <c r="EA62" s="8">
        <v>11950</v>
      </c>
      <c r="EB62" s="8">
        <v>11807.478148031294</v>
      </c>
      <c r="EC62" s="8">
        <v>11455.795680228794</v>
      </c>
      <c r="ED62" s="8">
        <v>1486000</v>
      </c>
      <c r="EE62" s="8">
        <v>1507612.509681894</v>
      </c>
      <c r="EF62" s="8">
        <v>1473461.8296587628</v>
      </c>
      <c r="EG62" s="8">
        <v>135000</v>
      </c>
      <c r="EH62" s="8">
        <v>134680.32074969908</v>
      </c>
      <c r="EI62" s="8">
        <v>129934.83744677619</v>
      </c>
      <c r="EJ62" s="8">
        <v>286500</v>
      </c>
      <c r="EK62" s="8">
        <v>294177.62198047916</v>
      </c>
      <c r="EL62" s="8">
        <v>285330.43784882472</v>
      </c>
      <c r="EM62" s="8">
        <v>11800</v>
      </c>
      <c r="EN62" s="8">
        <v>12076.358827791908</v>
      </c>
      <c r="EO62" s="8">
        <v>11740.016691118282</v>
      </c>
      <c r="EP62" s="8">
        <v>47000</v>
      </c>
      <c r="EQ62" s="8">
        <v>46262.616558027374</v>
      </c>
      <c r="ER62" s="8">
        <v>44708.451666553774</v>
      </c>
      <c r="ES62" s="8">
        <v>11350</v>
      </c>
      <c r="ET62" s="8">
        <v>11577.903672836401</v>
      </c>
      <c r="EU62" s="8">
        <v>11110.284741558877</v>
      </c>
      <c r="EV62">
        <v>309000</v>
      </c>
      <c r="EW62">
        <v>315306.49620965804</v>
      </c>
      <c r="EX62">
        <v>301687.59664682631</v>
      </c>
      <c r="EY62">
        <v>29450</v>
      </c>
      <c r="EZ62">
        <v>29926.587527173557</v>
      </c>
      <c r="FA62">
        <v>29108.789830418082</v>
      </c>
      <c r="FB62">
        <v>2375</v>
      </c>
      <c r="FC62">
        <v>2411.0179837277651</v>
      </c>
      <c r="FD62">
        <v>2327.9837503731196</v>
      </c>
      <c r="FE62">
        <v>57700</v>
      </c>
      <c r="FF62">
        <v>60101.580829579143</v>
      </c>
      <c r="FG62">
        <v>58872.714485994096</v>
      </c>
      <c r="FH62">
        <v>45850</v>
      </c>
      <c r="FI62">
        <v>42675.446031382671</v>
      </c>
      <c r="FJ62">
        <v>40479.136222103625</v>
      </c>
      <c r="FK62">
        <v>89700</v>
      </c>
      <c r="FL62">
        <v>89493.00336707964</v>
      </c>
      <c r="FM62">
        <v>87236.810977023997</v>
      </c>
      <c r="FN62">
        <v>35200</v>
      </c>
      <c r="FO62">
        <v>36129.341459710937</v>
      </c>
      <c r="FP62">
        <v>35010.199977908196</v>
      </c>
      <c r="FQ62">
        <v>18900</v>
      </c>
      <c r="FR62">
        <v>19683.224083554127</v>
      </c>
      <c r="FS62">
        <v>18914.403822607732</v>
      </c>
      <c r="FT62">
        <v>879000</v>
      </c>
      <c r="FU62">
        <v>889606.73682504555</v>
      </c>
      <c r="FV62">
        <v>863458.55331488827</v>
      </c>
      <c r="FW62">
        <v>22200</v>
      </c>
      <c r="FX62">
        <v>22062.807976720931</v>
      </c>
      <c r="FY62">
        <v>21254.175879700641</v>
      </c>
      <c r="FZ62">
        <v>32600</v>
      </c>
      <c r="GA62">
        <v>33144.42116807968</v>
      </c>
      <c r="GB62">
        <v>31880.452351321925</v>
      </c>
      <c r="GC62">
        <v>22600</v>
      </c>
      <c r="GD62">
        <v>22495.583119621529</v>
      </c>
      <c r="GE62">
        <v>21970.475748210771</v>
      </c>
      <c r="GF62">
        <v>159500</v>
      </c>
      <c r="GG62">
        <v>162125.91941364741</v>
      </c>
      <c r="GH62">
        <v>156757.86742513732</v>
      </c>
      <c r="GI62">
        <v>4215</v>
      </c>
      <c r="GJ62">
        <v>4385.4381139462157</v>
      </c>
      <c r="GK62">
        <v>4117.090246153095</v>
      </c>
      <c r="GL62">
        <v>11100</v>
      </c>
      <c r="GM62">
        <v>11697.661094417172</v>
      </c>
      <c r="GN62">
        <v>11134.81418043862</v>
      </c>
      <c r="GO62">
        <v>870000</v>
      </c>
      <c r="GP62">
        <v>870363.42250413133</v>
      </c>
      <c r="GQ62">
        <v>838443.34508586174</v>
      </c>
      <c r="GR62">
        <v>59300</v>
      </c>
      <c r="GS62">
        <v>59021.185015343028</v>
      </c>
      <c r="GT62">
        <v>58194.239871801386</v>
      </c>
      <c r="GU62">
        <v>9340</v>
      </c>
      <c r="GV62">
        <v>9423.9931502694235</v>
      </c>
      <c r="GW62">
        <v>8981.4960503994935</v>
      </c>
      <c r="GX62">
        <v>27550</v>
      </c>
      <c r="GY62">
        <v>27753.574546356984</v>
      </c>
      <c r="GZ62">
        <v>26624.160523872761</v>
      </c>
      <c r="HA62">
        <v>5510</v>
      </c>
      <c r="HB62">
        <v>5475.7728571591715</v>
      </c>
      <c r="HC62">
        <v>5283.0081272521402</v>
      </c>
      <c r="HD62">
        <v>25600</v>
      </c>
      <c r="HE62">
        <v>25945.620230218268</v>
      </c>
      <c r="HF62">
        <v>24736.844235384517</v>
      </c>
      <c r="HG62">
        <v>9950</v>
      </c>
      <c r="HH62">
        <v>10147.530310927943</v>
      </c>
      <c r="HI62">
        <v>9799.7423889199908</v>
      </c>
      <c r="HJ62">
        <v>4705</v>
      </c>
      <c r="HK62">
        <v>4648.9150796050153</v>
      </c>
      <c r="HL62">
        <v>4473.1990979685643</v>
      </c>
    </row>
    <row r="63" spans="1:220" x14ac:dyDescent="0.4">
      <c r="A63" s="11">
        <v>41389</v>
      </c>
      <c r="B63" s="8">
        <v>313000</v>
      </c>
      <c r="C63" s="8">
        <v>323501.85887925059</v>
      </c>
      <c r="D63" s="8">
        <v>314494.17804643721</v>
      </c>
      <c r="E63" s="8">
        <v>125000</v>
      </c>
      <c r="F63" s="8">
        <v>126148.38418801014</v>
      </c>
      <c r="G63" s="8">
        <v>123438.10783823345</v>
      </c>
      <c r="H63" s="8">
        <v>62000</v>
      </c>
      <c r="I63" s="8">
        <v>65085.75556579054</v>
      </c>
      <c r="J63" s="8">
        <v>61886.891547219144</v>
      </c>
      <c r="K63" s="8">
        <v>59200</v>
      </c>
      <c r="L63" s="8">
        <v>61710.71250666173</v>
      </c>
      <c r="M63" s="8">
        <v>59288.105417564824</v>
      </c>
      <c r="N63" s="8">
        <v>257500</v>
      </c>
      <c r="O63" s="8">
        <v>256845.08789240432</v>
      </c>
      <c r="P63" s="8">
        <v>250566.52120648677</v>
      </c>
      <c r="Q63" s="8">
        <v>76100</v>
      </c>
      <c r="R63" s="8">
        <v>73169.223965364261</v>
      </c>
      <c r="S63" s="8">
        <v>71229.276109074723</v>
      </c>
      <c r="T63" s="8">
        <v>18450</v>
      </c>
      <c r="U63" s="8">
        <v>18921.402516290433</v>
      </c>
      <c r="V63" s="8">
        <v>18211.299852551292</v>
      </c>
      <c r="W63" s="8">
        <v>14650</v>
      </c>
      <c r="X63" s="8">
        <v>15067.365380213809</v>
      </c>
      <c r="Y63" s="8">
        <v>14556.908122843306</v>
      </c>
      <c r="Z63" s="8">
        <v>20200</v>
      </c>
      <c r="AA63" s="8">
        <v>22342.851046015403</v>
      </c>
      <c r="AB63" s="8">
        <v>21429.914491185857</v>
      </c>
      <c r="AC63" s="8">
        <v>12700</v>
      </c>
      <c r="AD63" s="8">
        <v>12754.413643669761</v>
      </c>
      <c r="AE63" s="8">
        <v>12340.341075153219</v>
      </c>
      <c r="AF63" s="8">
        <v>47400</v>
      </c>
      <c r="AG63" s="8">
        <v>50074.826474765934</v>
      </c>
      <c r="AH63" s="8">
        <v>47812.614047089977</v>
      </c>
      <c r="AI63" s="8">
        <v>44950</v>
      </c>
      <c r="AJ63" s="8">
        <v>44860.504770078733</v>
      </c>
      <c r="AK63" s="8">
        <v>43803.362923271903</v>
      </c>
      <c r="AL63" s="8">
        <v>9310</v>
      </c>
      <c r="AM63" s="8">
        <v>9692.3072820258112</v>
      </c>
      <c r="AN63" s="8">
        <v>9235.5337016443973</v>
      </c>
      <c r="AO63" s="8">
        <v>16500</v>
      </c>
      <c r="AP63" s="8">
        <v>16531.592632842137</v>
      </c>
      <c r="AQ63" s="8">
        <v>15891.279497769528</v>
      </c>
      <c r="AR63" s="8">
        <v>24550</v>
      </c>
      <c r="AS63" s="8">
        <v>24104.45238748418</v>
      </c>
      <c r="AT63" s="8">
        <v>23300.72182794266</v>
      </c>
      <c r="AU63" s="8">
        <v>169500</v>
      </c>
      <c r="AV63" s="8">
        <v>167098.84935807006</v>
      </c>
      <c r="AW63" s="8">
        <v>161521.35614923414</v>
      </c>
      <c r="AX63" s="8">
        <v>609000</v>
      </c>
      <c r="AY63" s="8">
        <v>610830.90705666016</v>
      </c>
      <c r="AZ63" s="8">
        <v>594910.9826808098</v>
      </c>
      <c r="BA63" s="8">
        <v>203500</v>
      </c>
      <c r="BB63" s="8">
        <v>201894.98653884619</v>
      </c>
      <c r="BC63" s="8">
        <v>197368.14280666687</v>
      </c>
      <c r="BD63" s="8">
        <v>30000</v>
      </c>
      <c r="BE63" s="8">
        <v>29642.122966622694</v>
      </c>
      <c r="BF63" s="8">
        <v>28454.11531812885</v>
      </c>
      <c r="BG63" s="8">
        <v>30250</v>
      </c>
      <c r="BH63" s="8">
        <v>31994.624867357688</v>
      </c>
      <c r="BI63" s="8">
        <v>30799.824395575328</v>
      </c>
      <c r="BJ63" s="8">
        <v>73000</v>
      </c>
      <c r="BK63" s="8">
        <v>70758.215683657487</v>
      </c>
      <c r="BL63" s="8">
        <v>68833.737075667188</v>
      </c>
      <c r="BM63" s="8">
        <v>1124000</v>
      </c>
      <c r="BN63" s="8">
        <v>1184210.6813568086</v>
      </c>
      <c r="BO63" s="8">
        <v>1149762.9480270245</v>
      </c>
      <c r="BP63" s="8">
        <v>36100</v>
      </c>
      <c r="BQ63" s="8">
        <v>36356.067931757738</v>
      </c>
      <c r="BR63" s="8">
        <v>34695.93798568123</v>
      </c>
      <c r="BS63" s="8">
        <v>143500</v>
      </c>
      <c r="BT63" s="8">
        <v>145954.60682195984</v>
      </c>
      <c r="BU63" s="8">
        <v>141310.69045176372</v>
      </c>
      <c r="BV63" s="8">
        <v>38700</v>
      </c>
      <c r="BW63" s="8">
        <v>40478.941166319477</v>
      </c>
      <c r="BX63" s="8">
        <v>39038.212480453803</v>
      </c>
      <c r="BY63" s="8">
        <v>21700</v>
      </c>
      <c r="BZ63" s="8">
        <v>22296.996894109034</v>
      </c>
      <c r="CA63" s="8">
        <v>21188.877736478447</v>
      </c>
      <c r="CB63" s="8">
        <v>102000</v>
      </c>
      <c r="CC63" s="8">
        <v>107940.12615647267</v>
      </c>
      <c r="CD63" s="8">
        <v>104817.2587843303</v>
      </c>
      <c r="CE63" s="8">
        <v>17050</v>
      </c>
      <c r="CF63" s="8">
        <v>17353.164701633039</v>
      </c>
      <c r="CG63" s="8">
        <v>16863.497894564582</v>
      </c>
      <c r="CH63" s="8">
        <v>56900</v>
      </c>
      <c r="CI63" s="8">
        <v>58504.121033717325</v>
      </c>
      <c r="CJ63" s="8">
        <v>56654.235590889883</v>
      </c>
      <c r="CK63" s="8">
        <v>322500</v>
      </c>
      <c r="CL63" s="8">
        <v>321483.19065275503</v>
      </c>
      <c r="CM63" s="8">
        <v>316864.37060152693</v>
      </c>
      <c r="CN63" s="8">
        <v>94300</v>
      </c>
      <c r="CO63" s="8">
        <v>96229.611585584935</v>
      </c>
      <c r="CP63" s="8">
        <v>93678.439994842876</v>
      </c>
      <c r="CQ63" s="8">
        <v>89000</v>
      </c>
      <c r="CR63" s="8">
        <v>87434.824985219806</v>
      </c>
      <c r="CS63" s="8">
        <v>85939.126794214928</v>
      </c>
      <c r="CT63" s="8">
        <v>28750</v>
      </c>
      <c r="CU63" s="8">
        <v>29399.343390180919</v>
      </c>
      <c r="CV63" s="8">
        <v>28153.437183301579</v>
      </c>
      <c r="CW63" s="8">
        <v>123000</v>
      </c>
      <c r="CX63" s="8">
        <v>124078.31245696396</v>
      </c>
      <c r="CY63" s="8">
        <v>121882.82852706089</v>
      </c>
      <c r="CZ63" s="8">
        <v>23000</v>
      </c>
      <c r="DA63" s="8">
        <v>24120.510158280205</v>
      </c>
      <c r="DB63" s="8">
        <v>23231.002823791448</v>
      </c>
      <c r="DC63" s="8">
        <v>19882</v>
      </c>
      <c r="DD63" s="8">
        <v>20520.379638321952</v>
      </c>
      <c r="DE63" s="8">
        <v>19992.850775437302</v>
      </c>
      <c r="DF63" s="8">
        <v>52500</v>
      </c>
      <c r="DG63" s="8">
        <v>51069.811030715449</v>
      </c>
      <c r="DH63" s="8">
        <v>49784.578064940288</v>
      </c>
      <c r="DI63" s="8">
        <v>166500</v>
      </c>
      <c r="DJ63" s="8">
        <v>168414.34234205604</v>
      </c>
      <c r="DK63" s="8">
        <v>163412.41556215903</v>
      </c>
      <c r="DL63" s="8">
        <v>23250</v>
      </c>
      <c r="DM63" s="8">
        <v>24356.463672794198</v>
      </c>
      <c r="DN63" s="8">
        <v>23576.593280699402</v>
      </c>
      <c r="DO63" s="8">
        <v>26100</v>
      </c>
      <c r="DP63" s="8">
        <v>26431.610061943553</v>
      </c>
      <c r="DQ63" s="8">
        <v>25513.10141815554</v>
      </c>
      <c r="DR63" s="8">
        <v>4650</v>
      </c>
      <c r="DS63" s="8">
        <v>4745.0964445420386</v>
      </c>
      <c r="DT63" s="8">
        <v>4595.4559081832676</v>
      </c>
      <c r="DU63" s="8">
        <v>182500</v>
      </c>
      <c r="DV63" s="8">
        <v>178766.51668405056</v>
      </c>
      <c r="DW63" s="8">
        <v>173726.65215221432</v>
      </c>
      <c r="DX63" s="8">
        <v>53900</v>
      </c>
      <c r="DY63" s="8">
        <v>57228.033723780783</v>
      </c>
      <c r="DZ63" s="8">
        <v>54966.475529177042</v>
      </c>
      <c r="EA63" s="8">
        <v>11650</v>
      </c>
      <c r="EB63" s="8">
        <v>11503.422916751506</v>
      </c>
      <c r="EC63" s="8">
        <v>11160.796649836624</v>
      </c>
      <c r="ED63" s="8">
        <v>1494000</v>
      </c>
      <c r="EE63" s="8">
        <v>1499539.6180637833</v>
      </c>
      <c r="EF63" s="8">
        <v>1465571.8064745108</v>
      </c>
      <c r="EG63" s="8">
        <v>132500</v>
      </c>
      <c r="EH63" s="8">
        <v>138237.91412799296</v>
      </c>
      <c r="EI63" s="8">
        <v>133367.07843593627</v>
      </c>
      <c r="EJ63" s="8">
        <v>289500</v>
      </c>
      <c r="EK63" s="8">
        <v>293669.5431860399</v>
      </c>
      <c r="EL63" s="8">
        <v>284837.63916514826</v>
      </c>
      <c r="EM63" s="8">
        <v>11900</v>
      </c>
      <c r="EN63" s="8">
        <v>11822.653810401334</v>
      </c>
      <c r="EO63" s="8">
        <v>11493.377685002364</v>
      </c>
      <c r="EP63" s="8">
        <v>45300</v>
      </c>
      <c r="EQ63" s="8">
        <v>45394.554216430821</v>
      </c>
      <c r="ER63" s="8">
        <v>43869.551359344689</v>
      </c>
      <c r="ES63" s="8">
        <v>11350</v>
      </c>
      <c r="ET63" s="8">
        <v>11475.895710961187</v>
      </c>
      <c r="EU63" s="8">
        <v>11012.396770267607</v>
      </c>
      <c r="EV63">
        <v>309500</v>
      </c>
      <c r="EW63">
        <v>306647.02862393204</v>
      </c>
      <c r="EX63">
        <v>293402.15376638004</v>
      </c>
      <c r="EY63">
        <v>29500</v>
      </c>
      <c r="EZ63">
        <v>29520.803289516938</v>
      </c>
      <c r="FA63">
        <v>28714.09437509035</v>
      </c>
      <c r="FB63">
        <v>2370</v>
      </c>
      <c r="FC63">
        <v>2400.8449120664668</v>
      </c>
      <c r="FD63">
        <v>2318.1610341268197</v>
      </c>
      <c r="FE63">
        <v>59700</v>
      </c>
      <c r="FF63">
        <v>60202.253494285324</v>
      </c>
      <c r="FG63">
        <v>58971.328748114713</v>
      </c>
      <c r="FH63">
        <v>41500</v>
      </c>
      <c r="FI63">
        <v>41132.96003024833</v>
      </c>
      <c r="FJ63">
        <v>39016.034912870935</v>
      </c>
      <c r="FK63">
        <v>88500</v>
      </c>
      <c r="FL63">
        <v>91009.833932623311</v>
      </c>
      <c r="FM63">
        <v>88715.40099358368</v>
      </c>
      <c r="FN63">
        <v>35700</v>
      </c>
      <c r="FO63">
        <v>36129.341459710937</v>
      </c>
      <c r="FP63">
        <v>35010.199977908196</v>
      </c>
      <c r="FQ63">
        <v>19200</v>
      </c>
      <c r="FR63">
        <v>19375.673707248599</v>
      </c>
      <c r="FS63">
        <v>18618.866262879492</v>
      </c>
      <c r="FT63">
        <v>877000</v>
      </c>
      <c r="FU63">
        <v>892649.86135238223</v>
      </c>
      <c r="FV63">
        <v>866412.23137639766</v>
      </c>
      <c r="FW63">
        <v>21750</v>
      </c>
      <c r="FX63">
        <v>21859.931581532717</v>
      </c>
      <c r="FY63">
        <v>21058.735181956294</v>
      </c>
      <c r="FZ63">
        <v>32600</v>
      </c>
      <c r="GA63">
        <v>33246.091171662745</v>
      </c>
      <c r="GB63">
        <v>31978.245149945611</v>
      </c>
      <c r="GC63">
        <v>22300</v>
      </c>
      <c r="GD63">
        <v>22546.021646795572</v>
      </c>
      <c r="GE63">
        <v>22019.736904596895</v>
      </c>
      <c r="GF63">
        <v>159500</v>
      </c>
      <c r="GG63">
        <v>161109.45596904759</v>
      </c>
      <c r="GH63">
        <v>155775.05947889804</v>
      </c>
      <c r="GI63">
        <v>4220</v>
      </c>
      <c r="GJ63">
        <v>4307.4978631059384</v>
      </c>
      <c r="GK63">
        <v>4043.9192109726482</v>
      </c>
      <c r="GL63">
        <v>11400</v>
      </c>
      <c r="GM63">
        <v>11851.57768776477</v>
      </c>
      <c r="GN63">
        <v>11281.32489333913</v>
      </c>
      <c r="GO63">
        <v>857000</v>
      </c>
      <c r="GP63">
        <v>845989.18430098053</v>
      </c>
      <c r="GQ63">
        <v>814963.01803561463</v>
      </c>
      <c r="GR63">
        <v>58700</v>
      </c>
      <c r="GS63">
        <v>57714.071888938444</v>
      </c>
      <c r="GT63">
        <v>56905.440692357697</v>
      </c>
      <c r="GU63">
        <v>9190</v>
      </c>
      <c r="GV63">
        <v>9485.5208531003518</v>
      </c>
      <c r="GW63">
        <v>9040.134762371641</v>
      </c>
      <c r="GX63">
        <v>27100</v>
      </c>
      <c r="GY63">
        <v>28521.662402805978</v>
      </c>
      <c r="GZ63">
        <v>27360.991534681049</v>
      </c>
      <c r="HA63">
        <v>5370</v>
      </c>
      <c r="HB63">
        <v>5363.6061878318887</v>
      </c>
      <c r="HC63">
        <v>5174.7900836771423</v>
      </c>
      <c r="HD63">
        <v>25250</v>
      </c>
      <c r="HE63">
        <v>25534.600503798945</v>
      </c>
      <c r="HF63">
        <v>24344.973435616022</v>
      </c>
      <c r="HG63">
        <v>9990</v>
      </c>
      <c r="HH63">
        <v>9822.4842949622707</v>
      </c>
      <c r="HI63">
        <v>9485.8367268124312</v>
      </c>
      <c r="HJ63">
        <v>4570</v>
      </c>
      <c r="HK63">
        <v>4750.6418865985597</v>
      </c>
      <c r="HL63">
        <v>4571.0809163048552</v>
      </c>
    </row>
    <row r="64" spans="1:220" x14ac:dyDescent="0.4">
      <c r="A64" s="11">
        <v>41388</v>
      </c>
      <c r="B64" s="10">
        <v>317800</v>
      </c>
      <c r="C64" s="10">
        <v>323603.65304504038</v>
      </c>
      <c r="D64" s="10">
        <v>314593.13782555837</v>
      </c>
      <c r="E64" s="10">
        <v>124500</v>
      </c>
      <c r="F64" s="10">
        <v>124121.90412073284</v>
      </c>
      <c r="G64" s="10">
        <v>121455.16634685617</v>
      </c>
      <c r="H64" s="10">
        <v>64000</v>
      </c>
      <c r="I64" s="10">
        <v>64780.666086575897</v>
      </c>
      <c r="J64" s="10">
        <v>61596.796743091552</v>
      </c>
      <c r="K64" s="10">
        <v>60400</v>
      </c>
      <c r="L64" s="10">
        <v>63038.923206308427</v>
      </c>
      <c r="M64" s="10">
        <v>60564.173911651487</v>
      </c>
      <c r="N64" s="10">
        <v>253500</v>
      </c>
      <c r="O64" s="10">
        <v>253298.90324694689</v>
      </c>
      <c r="P64" s="10">
        <v>247107.02288608145</v>
      </c>
      <c r="Q64" s="10">
        <v>72000</v>
      </c>
      <c r="R64" s="10">
        <v>73575.719654060682</v>
      </c>
      <c r="S64" s="10">
        <v>71624.994309680653</v>
      </c>
      <c r="T64" s="10">
        <v>18550</v>
      </c>
      <c r="U64" s="10">
        <v>19380.412280836568</v>
      </c>
      <c r="V64" s="10">
        <v>18653.083406925856</v>
      </c>
      <c r="W64" s="10">
        <v>14800</v>
      </c>
      <c r="X64" s="10">
        <v>14609.236027437033</v>
      </c>
      <c r="Y64" s="10">
        <v>14114.299429919012</v>
      </c>
      <c r="Z64" s="10">
        <v>21850</v>
      </c>
      <c r="AA64" s="10">
        <v>22547.362268404544</v>
      </c>
      <c r="AB64" s="10">
        <v>21626.069314903791</v>
      </c>
      <c r="AC64" s="10">
        <v>12600</v>
      </c>
      <c r="AD64" s="10">
        <v>12551.962633452784</v>
      </c>
      <c r="AE64" s="10">
        <v>12144.462645388885</v>
      </c>
      <c r="AF64" s="10">
        <v>49150</v>
      </c>
      <c r="AG64" s="10">
        <v>51042.702062782722</v>
      </c>
      <c r="AH64" s="10">
        <v>48736.76426773562</v>
      </c>
      <c r="AI64" s="10">
        <v>44250</v>
      </c>
      <c r="AJ64" s="10">
        <v>44809.8149341803</v>
      </c>
      <c r="AK64" s="10">
        <v>43753.867597934834</v>
      </c>
      <c r="AL64" s="10">
        <v>9400</v>
      </c>
      <c r="AM64" s="10">
        <v>9702.6182472194669</v>
      </c>
      <c r="AN64" s="10">
        <v>9245.3587374972212</v>
      </c>
      <c r="AO64" s="10">
        <v>16150</v>
      </c>
      <c r="AP64" s="10">
        <v>16378.048428821943</v>
      </c>
      <c r="AQ64" s="10">
        <v>15743.682474570443</v>
      </c>
      <c r="AR64" s="10">
        <v>23700</v>
      </c>
      <c r="AS64" s="10">
        <v>23087.386885902546</v>
      </c>
      <c r="AT64" s="10">
        <v>22317.569008198221</v>
      </c>
      <c r="AU64" s="10">
        <v>165000</v>
      </c>
      <c r="AV64" s="10">
        <v>167098.84935807006</v>
      </c>
      <c r="AW64" s="10">
        <v>161521.35614923414</v>
      </c>
      <c r="AX64" s="10">
        <v>603000</v>
      </c>
      <c r="AY64" s="10">
        <v>614882.85337212821</v>
      </c>
      <c r="AZ64" s="10">
        <v>598857.32419113116</v>
      </c>
      <c r="BA64" s="10">
        <v>200000</v>
      </c>
      <c r="BB64" s="10">
        <v>198866.56174076354</v>
      </c>
      <c r="BC64" s="10">
        <v>194407.62066456693</v>
      </c>
      <c r="BD64" s="10">
        <v>28950</v>
      </c>
      <c r="BE64" s="10">
        <v>30000.490601797756</v>
      </c>
      <c r="BF64" s="10">
        <v>28798.120166534554</v>
      </c>
      <c r="BG64" s="10">
        <v>31300</v>
      </c>
      <c r="BH64" s="10">
        <v>31534.638247858951</v>
      </c>
      <c r="BI64" s="10">
        <v>30357.01541864215</v>
      </c>
      <c r="BJ64" s="10">
        <v>70000</v>
      </c>
      <c r="BK64" s="10">
        <v>69646.300865771525</v>
      </c>
      <c r="BL64" s="10">
        <v>67752.064064478225</v>
      </c>
      <c r="BM64" s="10">
        <v>1168000</v>
      </c>
      <c r="BN64" s="10">
        <v>1191307.8344128863</v>
      </c>
      <c r="BO64" s="10">
        <v>1156653.6506265025</v>
      </c>
      <c r="BP64" s="10">
        <v>35400</v>
      </c>
      <c r="BQ64" s="10">
        <v>35329.060363064047</v>
      </c>
      <c r="BR64" s="10">
        <v>33715.826743147896</v>
      </c>
      <c r="BS64" s="10">
        <v>144000</v>
      </c>
      <c r="BT64" s="10">
        <v>148488.5409681742</v>
      </c>
      <c r="BU64" s="10">
        <v>143764.00104988439</v>
      </c>
      <c r="BV64" s="10">
        <v>39800</v>
      </c>
      <c r="BW64" s="10">
        <v>40122.970578173466</v>
      </c>
      <c r="BX64" s="10">
        <v>38694.911616932244</v>
      </c>
      <c r="BY64" s="10">
        <v>21600</v>
      </c>
      <c r="BZ64" s="10">
        <v>21419.568775590837</v>
      </c>
      <c r="CA64" s="10">
        <v>20355.056158885531</v>
      </c>
      <c r="CB64" s="10">
        <v>106500</v>
      </c>
      <c r="CC64" s="10">
        <v>106926.60384514437</v>
      </c>
      <c r="CD64" s="10">
        <v>103833.05917133197</v>
      </c>
      <c r="CE64" s="10">
        <v>17150</v>
      </c>
      <c r="CF64" s="10">
        <v>17100.203117061108</v>
      </c>
      <c r="CG64" s="10">
        <v>16617.674310095688</v>
      </c>
      <c r="CH64" s="10">
        <v>57400</v>
      </c>
      <c r="CI64" s="10">
        <v>60746.43926149045</v>
      </c>
      <c r="CJ64" s="10">
        <v>58825.652286011093</v>
      </c>
      <c r="CK64" s="10">
        <v>319500</v>
      </c>
      <c r="CL64" s="10">
        <v>321483.19065275503</v>
      </c>
      <c r="CM64" s="10">
        <v>316864.37060152693</v>
      </c>
      <c r="CN64" s="10">
        <v>94600</v>
      </c>
      <c r="CO64" s="10">
        <v>97552.005825133107</v>
      </c>
      <c r="CP64" s="10">
        <v>94965.775851008759</v>
      </c>
      <c r="CQ64" s="10">
        <v>87000</v>
      </c>
      <c r="CR64" s="10">
        <v>87032.825789885508</v>
      </c>
      <c r="CS64" s="10">
        <v>85544.004372172611</v>
      </c>
      <c r="CT64" s="10">
        <v>28850</v>
      </c>
      <c r="CU64" s="10">
        <v>28584.110297905572</v>
      </c>
      <c r="CV64" s="10">
        <v>27372.752616693593</v>
      </c>
      <c r="CW64" s="10">
        <v>123000</v>
      </c>
      <c r="CX64" s="10">
        <v>122565.16230504979</v>
      </c>
      <c r="CY64" s="10">
        <v>120396.45256941381</v>
      </c>
      <c r="CZ64" s="10">
        <v>23600</v>
      </c>
      <c r="DA64" s="10">
        <v>24529.332364352736</v>
      </c>
      <c r="DB64" s="10">
        <v>23624.748634364172</v>
      </c>
      <c r="DC64" s="10">
        <v>20198</v>
      </c>
      <c r="DD64" s="10">
        <v>19798.031389839598</v>
      </c>
      <c r="DE64" s="10">
        <v>19289.072336911926</v>
      </c>
      <c r="DF64" s="10">
        <v>50300</v>
      </c>
      <c r="DG64" s="10">
        <v>50308.332735028896</v>
      </c>
      <c r="DH64" s="10">
        <v>49042.263282659922</v>
      </c>
      <c r="DI64" s="10">
        <v>165500</v>
      </c>
      <c r="DJ64" s="10">
        <v>170958.36564027439</v>
      </c>
      <c r="DK64" s="10">
        <v>165880.88105403454</v>
      </c>
      <c r="DL64" s="10">
        <v>23900</v>
      </c>
      <c r="DM64" s="10">
        <v>23795.959278650393</v>
      </c>
      <c r="DN64" s="10">
        <v>23034.035694741877</v>
      </c>
      <c r="DO64" s="10">
        <v>26000</v>
      </c>
      <c r="DP64" s="10">
        <v>26024.969907144419</v>
      </c>
      <c r="DQ64" s="10">
        <v>25120.592165568531</v>
      </c>
      <c r="DR64" s="10">
        <v>4660</v>
      </c>
      <c r="DS64" s="10">
        <v>4785.8268861260885</v>
      </c>
      <c r="DT64" s="10">
        <v>4634.9018816440657</v>
      </c>
      <c r="DU64" s="10">
        <v>176000</v>
      </c>
      <c r="DV64" s="10">
        <v>175719.36014966315</v>
      </c>
      <c r="DW64" s="10">
        <v>170765.40239961958</v>
      </c>
      <c r="DX64" s="10">
        <v>56000</v>
      </c>
      <c r="DY64" s="10">
        <v>58249.962897419762</v>
      </c>
      <c r="DZ64" s="10">
        <v>55948.019735055241</v>
      </c>
      <c r="EA64" s="10">
        <v>11350</v>
      </c>
      <c r="EB64" s="10">
        <v>11300.719429231664</v>
      </c>
      <c r="EC64" s="10">
        <v>10964.130629575193</v>
      </c>
      <c r="ED64" s="10">
        <v>1486000</v>
      </c>
      <c r="EE64" s="10">
        <v>1496512.2837069917</v>
      </c>
      <c r="EF64" s="10">
        <v>1462613.0477804164</v>
      </c>
      <c r="EG64" s="10">
        <v>136000</v>
      </c>
      <c r="EH64" s="10">
        <v>137729.6865025225</v>
      </c>
      <c r="EI64" s="10">
        <v>132876.75829462777</v>
      </c>
      <c r="EJ64" s="10">
        <v>289000</v>
      </c>
      <c r="EK64" s="10">
        <v>295701.85836379771</v>
      </c>
      <c r="EL64" s="10">
        <v>286808.83389985492</v>
      </c>
      <c r="EM64" s="10">
        <v>11650</v>
      </c>
      <c r="EN64" s="10">
        <v>11822.653810401334</v>
      </c>
      <c r="EO64" s="10">
        <v>11493.377685002364</v>
      </c>
      <c r="EP64" s="10">
        <v>44450</v>
      </c>
      <c r="EQ64" s="10">
        <v>45088.179272337911</v>
      </c>
      <c r="ER64" s="10">
        <v>43573.468897976767</v>
      </c>
      <c r="ES64" s="10">
        <v>11250</v>
      </c>
      <c r="ET64" s="10">
        <v>11322.883768148369</v>
      </c>
      <c r="EU64" s="10">
        <v>10865.564813330704</v>
      </c>
      <c r="EV64">
        <v>301000</v>
      </c>
      <c r="EW64">
        <v>292384.37612979556</v>
      </c>
      <c r="EX64">
        <v>279755.54196329252</v>
      </c>
      <c r="EY64">
        <v>29100</v>
      </c>
      <c r="EZ64">
        <v>29267.188140981561</v>
      </c>
      <c r="FA64">
        <v>28467.409715510534</v>
      </c>
      <c r="FB64">
        <v>2360</v>
      </c>
      <c r="FC64">
        <v>2349.9795537599744</v>
      </c>
      <c r="FD64">
        <v>2269.0474528953196</v>
      </c>
      <c r="FE64">
        <v>59800</v>
      </c>
      <c r="FF64">
        <v>58490.818194280509</v>
      </c>
      <c r="FG64">
        <v>57294.886292064577</v>
      </c>
      <c r="FH64">
        <v>40000</v>
      </c>
      <c r="FI64">
        <v>39384.809228962775</v>
      </c>
      <c r="FJ64">
        <v>37357.853429073919</v>
      </c>
      <c r="FK64">
        <v>90000</v>
      </c>
      <c r="FL64">
        <v>91414.322083434919</v>
      </c>
      <c r="FM64">
        <v>89109.691664666228</v>
      </c>
      <c r="FN64">
        <v>35700</v>
      </c>
      <c r="FO64">
        <v>33902.883442585924</v>
      </c>
      <c r="FP64">
        <v>32852.708662743025</v>
      </c>
      <c r="FQ64">
        <v>18900</v>
      </c>
      <c r="FR64">
        <v>19119.381726993972</v>
      </c>
      <c r="FS64">
        <v>18372.584963105939</v>
      </c>
      <c r="FT64">
        <v>880000</v>
      </c>
      <c r="FU64">
        <v>892649.86135238223</v>
      </c>
      <c r="FV64">
        <v>866412.23137639766</v>
      </c>
      <c r="FW64">
        <v>21550</v>
      </c>
      <c r="FX64">
        <v>22113.527075518003</v>
      </c>
      <c r="FY64">
        <v>21303.036054136748</v>
      </c>
      <c r="FZ64">
        <v>32700</v>
      </c>
      <c r="GA64">
        <v>32381.896141206696</v>
      </c>
      <c r="GB64">
        <v>31147.006361644289</v>
      </c>
      <c r="GC64">
        <v>22350</v>
      </c>
      <c r="GD64">
        <v>22092.074902229197</v>
      </c>
      <c r="GE64">
        <v>21576.38649712177</v>
      </c>
      <c r="GF64">
        <v>158500</v>
      </c>
      <c r="GG64">
        <v>163650.61458054685</v>
      </c>
      <c r="GH64">
        <v>158232.0793444959</v>
      </c>
      <c r="GI64">
        <v>4145</v>
      </c>
      <c r="GJ64">
        <v>4333.4779467193639</v>
      </c>
      <c r="GK64">
        <v>4068.3095560327965</v>
      </c>
      <c r="GL64">
        <v>11550</v>
      </c>
      <c r="GM64">
        <v>11748.966625533038</v>
      </c>
      <c r="GN64">
        <v>11183.651084738789</v>
      </c>
      <c r="GO64">
        <v>833000</v>
      </c>
      <c r="GP64">
        <v>833802.06519940589</v>
      </c>
      <c r="GQ64">
        <v>803222.85451049183</v>
      </c>
      <c r="GR64">
        <v>57400</v>
      </c>
      <c r="GS64">
        <v>57010.241743951403</v>
      </c>
      <c r="GT64">
        <v>56211.471903426514</v>
      </c>
      <c r="GU64">
        <v>9250</v>
      </c>
      <c r="GV64">
        <v>9177.8823389457411</v>
      </c>
      <c r="GW64">
        <v>8746.9412025109341</v>
      </c>
      <c r="GX64">
        <v>27850</v>
      </c>
      <c r="GY64">
        <v>28521.662402805978</v>
      </c>
      <c r="GZ64">
        <v>27360.991534681049</v>
      </c>
      <c r="HA64">
        <v>5260</v>
      </c>
      <c r="HB64">
        <v>5384.0001277095698</v>
      </c>
      <c r="HC64">
        <v>5194.4660915998629</v>
      </c>
      <c r="HD64">
        <v>24850</v>
      </c>
      <c r="HE64">
        <v>24815.315982565178</v>
      </c>
      <c r="HF64">
        <v>23659.199536021209</v>
      </c>
      <c r="HG64">
        <v>9670</v>
      </c>
      <c r="HH64">
        <v>9985.0073029450996</v>
      </c>
      <c r="HI64">
        <v>9642.7895578662028</v>
      </c>
      <c r="HJ64">
        <v>4670</v>
      </c>
      <c r="HK64">
        <v>4765.9009076475977</v>
      </c>
      <c r="HL64">
        <v>4585.7631890553057</v>
      </c>
    </row>
    <row r="65" spans="1:220" x14ac:dyDescent="0.4">
      <c r="A65" s="73">
        <v>41387</v>
      </c>
      <c r="B65" s="8">
        <v>317900</v>
      </c>
      <c r="C65" s="8">
        <v>315052.94311871653</v>
      </c>
      <c r="D65" s="8">
        <v>306280.51637939701</v>
      </c>
      <c r="E65" s="8">
        <v>122500</v>
      </c>
      <c r="F65" s="8">
        <v>125641.764171191</v>
      </c>
      <c r="G65" s="8">
        <v>122942.37246538932</v>
      </c>
      <c r="H65" s="8">
        <v>63700</v>
      </c>
      <c r="I65" s="8">
        <v>64882.362579647393</v>
      </c>
      <c r="J65" s="8">
        <v>61693.495011134029</v>
      </c>
      <c r="K65" s="8">
        <v>61700</v>
      </c>
      <c r="L65" s="8">
        <v>60586.84191465305</v>
      </c>
      <c r="M65" s="8">
        <v>58208.35515333771</v>
      </c>
      <c r="N65" s="8">
        <v>250000</v>
      </c>
      <c r="O65" s="8">
        <v>257858.28350539197</v>
      </c>
      <c r="P65" s="8">
        <v>251554.94929803096</v>
      </c>
      <c r="Q65" s="8">
        <v>72400</v>
      </c>
      <c r="R65" s="8">
        <v>74185.463187105357</v>
      </c>
      <c r="S65" s="8">
        <v>72218.57161058957</v>
      </c>
      <c r="T65" s="8">
        <v>19000</v>
      </c>
      <c r="U65" s="8">
        <v>19380.412280836568</v>
      </c>
      <c r="V65" s="8">
        <v>18653.083406925856</v>
      </c>
      <c r="W65" s="8">
        <v>14350</v>
      </c>
      <c r="X65" s="8">
        <v>15067.365380213809</v>
      </c>
      <c r="Y65" s="8">
        <v>14556.908122843306</v>
      </c>
      <c r="Z65" s="8">
        <v>22050</v>
      </c>
      <c r="AA65" s="8">
        <v>22036.084212431684</v>
      </c>
      <c r="AB65" s="8">
        <v>21135.68225560895</v>
      </c>
      <c r="AC65" s="8">
        <v>12400</v>
      </c>
      <c r="AD65" s="8">
        <v>12754.413643669761</v>
      </c>
      <c r="AE65" s="8">
        <v>12340.341075153219</v>
      </c>
      <c r="AF65" s="8">
        <v>50100</v>
      </c>
      <c r="AG65" s="8">
        <v>50125.767295187827</v>
      </c>
      <c r="AH65" s="8">
        <v>47861.253532387076</v>
      </c>
      <c r="AI65" s="8">
        <v>44200</v>
      </c>
      <c r="AJ65" s="8">
        <v>45367.403129062644</v>
      </c>
      <c r="AK65" s="8">
        <v>44298.316176642184</v>
      </c>
      <c r="AL65" s="8">
        <v>9410</v>
      </c>
      <c r="AM65" s="8">
        <v>9620.1305256702981</v>
      </c>
      <c r="AN65" s="8">
        <v>9166.7584506747044</v>
      </c>
      <c r="AO65" s="8">
        <v>16000</v>
      </c>
      <c r="AP65" s="8">
        <v>15405.60180336064</v>
      </c>
      <c r="AQ65" s="8">
        <v>14808.901327642821</v>
      </c>
      <c r="AR65" s="8">
        <v>22700</v>
      </c>
      <c r="AS65" s="8">
        <v>23239.946711139808</v>
      </c>
      <c r="AT65" s="8">
        <v>22465.041931159907</v>
      </c>
      <c r="AU65" s="8">
        <v>165000</v>
      </c>
      <c r="AV65" s="8">
        <v>169630.65010591946</v>
      </c>
      <c r="AW65" s="8">
        <v>163968.64942422239</v>
      </c>
      <c r="AX65" s="8">
        <v>607000</v>
      </c>
      <c r="AY65" s="8">
        <v>607791.94732006022</v>
      </c>
      <c r="AZ65" s="8">
        <v>591951.22654806974</v>
      </c>
      <c r="BA65" s="8">
        <v>197000</v>
      </c>
      <c r="BB65" s="8">
        <v>199876.03667345777</v>
      </c>
      <c r="BC65" s="8">
        <v>195394.46137860024</v>
      </c>
      <c r="BD65" s="8">
        <v>29300</v>
      </c>
      <c r="BE65" s="8">
        <v>29642.122966622694</v>
      </c>
      <c r="BF65" s="8">
        <v>28454.11531812885</v>
      </c>
      <c r="BG65" s="8">
        <v>30850</v>
      </c>
      <c r="BH65" s="8">
        <v>31636.857496636447</v>
      </c>
      <c r="BI65" s="8">
        <v>30455.417413516188</v>
      </c>
      <c r="BJ65" s="8">
        <v>68900</v>
      </c>
      <c r="BK65" s="8">
        <v>72476.629493117813</v>
      </c>
      <c r="BL65" s="8">
        <v>70505.413547504882</v>
      </c>
      <c r="BM65" s="8">
        <v>1175000</v>
      </c>
      <c r="BN65" s="8">
        <v>1223751.9626692361</v>
      </c>
      <c r="BO65" s="8">
        <v>1188154.0053669678</v>
      </c>
      <c r="BP65" s="8">
        <v>34400</v>
      </c>
      <c r="BQ65" s="8">
        <v>35020.958092455912</v>
      </c>
      <c r="BR65" s="8">
        <v>33421.793370387866</v>
      </c>
      <c r="BS65" s="8">
        <v>146500</v>
      </c>
      <c r="BT65" s="8">
        <v>146968.1804804455</v>
      </c>
      <c r="BU65" s="8">
        <v>142292.01469101192</v>
      </c>
      <c r="BV65" s="8">
        <v>39450</v>
      </c>
      <c r="BW65" s="8">
        <v>40224.676460500901</v>
      </c>
      <c r="BX65" s="8">
        <v>38792.997577938404</v>
      </c>
      <c r="BY65" s="8">
        <v>20750</v>
      </c>
      <c r="BZ65" s="8">
        <v>21109.888263172656</v>
      </c>
      <c r="CA65" s="8">
        <v>20060.766190323327</v>
      </c>
      <c r="CB65" s="8">
        <v>105500</v>
      </c>
      <c r="CC65" s="8">
        <v>105406.32037815168</v>
      </c>
      <c r="CD65" s="8">
        <v>102356.75975183424</v>
      </c>
      <c r="CE65" s="8">
        <v>16900</v>
      </c>
      <c r="CF65" s="8">
        <v>16695.464581746048</v>
      </c>
      <c r="CG65" s="8">
        <v>16224.35657494549</v>
      </c>
      <c r="CH65" s="8">
        <v>59600</v>
      </c>
      <c r="CI65" s="8">
        <v>60338.745038259003</v>
      </c>
      <c r="CJ65" s="8">
        <v>58430.849250534535</v>
      </c>
      <c r="CK65" s="8">
        <v>319500</v>
      </c>
      <c r="CL65" s="8">
        <v>322489.39782224753</v>
      </c>
      <c r="CM65" s="8">
        <v>317856.12137023307</v>
      </c>
      <c r="CN65" s="8">
        <v>95900</v>
      </c>
      <c r="CO65" s="8">
        <v>96941.670022264647</v>
      </c>
      <c r="CP65" s="8">
        <v>94371.620840470583</v>
      </c>
      <c r="CQ65" s="8">
        <v>86600</v>
      </c>
      <c r="CR65" s="8">
        <v>87434.824985219806</v>
      </c>
      <c r="CS65" s="8">
        <v>85939.126794214928</v>
      </c>
      <c r="CT65" s="8">
        <v>28050</v>
      </c>
      <c r="CU65" s="8">
        <v>28889.822707508814</v>
      </c>
      <c r="CV65" s="8">
        <v>27665.509329171575</v>
      </c>
      <c r="CW65" s="8">
        <v>121500</v>
      </c>
      <c r="CX65" s="8">
        <v>122565.16230504979</v>
      </c>
      <c r="CY65" s="8">
        <v>120396.45256941381</v>
      </c>
      <c r="CZ65" s="8">
        <v>24000</v>
      </c>
      <c r="DA65" s="8">
        <v>23660.5851764486</v>
      </c>
      <c r="DB65" s="8">
        <v>22788.03878689713</v>
      </c>
      <c r="DC65" s="8">
        <v>19487</v>
      </c>
      <c r="DD65" s="8">
        <v>19610.078610698598</v>
      </c>
      <c r="DE65" s="8">
        <v>19105.951364862402</v>
      </c>
      <c r="DF65" s="8">
        <v>49550</v>
      </c>
      <c r="DG65" s="8">
        <v>50409.863174453727</v>
      </c>
      <c r="DH65" s="8">
        <v>49141.238586963933</v>
      </c>
      <c r="DI65" s="8">
        <v>168000</v>
      </c>
      <c r="DJ65" s="8">
        <v>169940.75632098698</v>
      </c>
      <c r="DK65" s="8">
        <v>164893.49485728427</v>
      </c>
      <c r="DL65" s="8">
        <v>23350</v>
      </c>
      <c r="DM65" s="8">
        <v>23184.499939584402</v>
      </c>
      <c r="DN65" s="8">
        <v>22442.154691879103</v>
      </c>
      <c r="DO65" s="8">
        <v>25600</v>
      </c>
      <c r="DP65" s="8">
        <v>25669.159771695213</v>
      </c>
      <c r="DQ65" s="8">
        <v>24777.14656955493</v>
      </c>
      <c r="DR65" s="8">
        <v>4700</v>
      </c>
      <c r="DS65" s="8">
        <v>4862.1964640961896</v>
      </c>
      <c r="DT65" s="8">
        <v>4708.8630818830707</v>
      </c>
      <c r="DU65" s="8">
        <v>173000</v>
      </c>
      <c r="DV65" s="8">
        <v>172672.20361527608</v>
      </c>
      <c r="DW65" s="8">
        <v>167804.15264702516</v>
      </c>
      <c r="DX65" s="8">
        <v>57000</v>
      </c>
      <c r="DY65" s="8">
        <v>56614.87621959739</v>
      </c>
      <c r="DZ65" s="8">
        <v>54377.549005650122</v>
      </c>
      <c r="EA65" s="8">
        <v>11150</v>
      </c>
      <c r="EB65" s="8">
        <v>11503.422916751506</v>
      </c>
      <c r="EC65" s="8">
        <v>11160.796649836624</v>
      </c>
      <c r="ED65" s="8">
        <v>1483000</v>
      </c>
      <c r="EE65" s="8">
        <v>1516694.5127522652</v>
      </c>
      <c r="EF65" s="8">
        <v>1482338.1057410429</v>
      </c>
      <c r="EG65" s="8">
        <v>135500</v>
      </c>
      <c r="EH65" s="8">
        <v>134680.32074969908</v>
      </c>
      <c r="EI65" s="8">
        <v>129934.83744677619</v>
      </c>
      <c r="EJ65" s="8">
        <v>291000</v>
      </c>
      <c r="EK65" s="8">
        <v>293669.5431860399</v>
      </c>
      <c r="EL65" s="8">
        <v>284837.63916514826</v>
      </c>
      <c r="EM65" s="8">
        <v>11650</v>
      </c>
      <c r="EN65" s="8">
        <v>11518.207789532618</v>
      </c>
      <c r="EO65" s="8">
        <v>11197.410877663235</v>
      </c>
      <c r="EP65" s="8">
        <v>44150</v>
      </c>
      <c r="EQ65" s="8">
        <v>44730.741837562855</v>
      </c>
      <c r="ER65" s="8">
        <v>43228.039359714203</v>
      </c>
      <c r="ES65" s="8">
        <v>11100</v>
      </c>
      <c r="ET65" s="8">
        <v>11526.899691898807</v>
      </c>
      <c r="EU65" s="8">
        <v>11061.340755913254</v>
      </c>
      <c r="EV65">
        <v>287000</v>
      </c>
      <c r="EW65">
        <v>291874.99568357639</v>
      </c>
      <c r="EX65">
        <v>279268.16297032509</v>
      </c>
      <c r="EY65">
        <v>28850</v>
      </c>
      <c r="EZ65">
        <v>29419.357230102803</v>
      </c>
      <c r="FA65">
        <v>28615.420511258439</v>
      </c>
      <c r="FB65">
        <v>2310</v>
      </c>
      <c r="FC65">
        <v>2380.4987687438693</v>
      </c>
      <c r="FD65">
        <v>2298.5156016342194</v>
      </c>
      <c r="FE65">
        <v>58100</v>
      </c>
      <c r="FF65">
        <v>58591.490858986712</v>
      </c>
      <c r="FG65">
        <v>57393.500554185215</v>
      </c>
      <c r="FH65">
        <v>38300</v>
      </c>
      <c r="FI65">
        <v>40978.71143013495</v>
      </c>
      <c r="FJ65">
        <v>38869.72478194772</v>
      </c>
      <c r="FK65">
        <v>90400</v>
      </c>
      <c r="FL65">
        <v>90908.71189492043</v>
      </c>
      <c r="FM65">
        <v>88616.828325813069</v>
      </c>
      <c r="FN65">
        <v>33500</v>
      </c>
      <c r="FO65">
        <v>33902.883442585924</v>
      </c>
      <c r="FP65">
        <v>32852.708662743025</v>
      </c>
      <c r="FQ65">
        <v>18650</v>
      </c>
      <c r="FR65">
        <v>19068.123330943072</v>
      </c>
      <c r="FS65">
        <v>18323.328703151248</v>
      </c>
      <c r="FT65">
        <v>880000</v>
      </c>
      <c r="FU65">
        <v>882506.11292792461</v>
      </c>
      <c r="FV65">
        <v>856566.6378380307</v>
      </c>
      <c r="FW65">
        <v>21800</v>
      </c>
      <c r="FX65">
        <v>22620.718063488606</v>
      </c>
      <c r="FY65">
        <v>21791.63779849769</v>
      </c>
      <c r="FZ65">
        <v>31850</v>
      </c>
      <c r="GA65">
        <v>32890.24615912202</v>
      </c>
      <c r="GB65">
        <v>31635.970354762714</v>
      </c>
      <c r="GC65">
        <v>21900</v>
      </c>
      <c r="GD65">
        <v>22394.706065273425</v>
      </c>
      <c r="GE65">
        <v>21871.9534354385</v>
      </c>
      <c r="GF65">
        <v>161000</v>
      </c>
      <c r="GG65">
        <v>163142.38285824697</v>
      </c>
      <c r="GH65">
        <v>157740.6753713763</v>
      </c>
      <c r="GI65">
        <v>4170</v>
      </c>
      <c r="GJ65">
        <v>4458.1823480638059</v>
      </c>
      <c r="GK65">
        <v>4185.3832123215097</v>
      </c>
      <c r="GL65">
        <v>11450</v>
      </c>
      <c r="GM65">
        <v>11595.050032185452</v>
      </c>
      <c r="GN65">
        <v>11037.14037183829</v>
      </c>
      <c r="GO65">
        <v>821000</v>
      </c>
      <c r="GP65">
        <v>856145.11688562727</v>
      </c>
      <c r="GQ65">
        <v>824746.48763988481</v>
      </c>
      <c r="GR65">
        <v>56700</v>
      </c>
      <c r="GS65">
        <v>57110.788907520968</v>
      </c>
      <c r="GT65">
        <v>56310.610301845241</v>
      </c>
      <c r="GU65">
        <v>8950</v>
      </c>
      <c r="GV65">
        <v>8449.8045221131688</v>
      </c>
      <c r="GW65">
        <v>8053.049777507269</v>
      </c>
      <c r="GX65">
        <v>27850</v>
      </c>
      <c r="GY65">
        <v>28880.103402482178</v>
      </c>
      <c r="GZ65">
        <v>27704.846006391585</v>
      </c>
      <c r="HA65">
        <v>5280</v>
      </c>
      <c r="HB65">
        <v>5404.3940675872573</v>
      </c>
      <c r="HC65">
        <v>5214.1420995225899</v>
      </c>
      <c r="HD65">
        <v>24150</v>
      </c>
      <c r="HE65">
        <v>24763.938516762773</v>
      </c>
      <c r="HF65">
        <v>23610.21568605016</v>
      </c>
      <c r="HG65">
        <v>9830</v>
      </c>
      <c r="HH65">
        <v>9842.7996709601266</v>
      </c>
      <c r="HI65">
        <v>9505.4558306941544</v>
      </c>
      <c r="HJ65">
        <v>4685</v>
      </c>
      <c r="HK65">
        <v>4679.4331217030822</v>
      </c>
      <c r="HL65">
        <v>4502.5636434694552</v>
      </c>
    </row>
    <row r="66" spans="1:220" x14ac:dyDescent="0.4">
      <c r="A66" s="11">
        <v>41386</v>
      </c>
      <c r="B66" s="8">
        <v>309500</v>
      </c>
      <c r="C66" s="8">
        <v>315561.91394766414</v>
      </c>
      <c r="D66" s="8">
        <v>306775.31527500169</v>
      </c>
      <c r="E66" s="8">
        <v>124000</v>
      </c>
      <c r="F66" s="8">
        <v>125135.14415437168</v>
      </c>
      <c r="G66" s="8">
        <v>122446.63709254499</v>
      </c>
      <c r="H66" s="8">
        <v>63800</v>
      </c>
      <c r="I66" s="8">
        <v>62746.736225144916</v>
      </c>
      <c r="J66" s="8">
        <v>59662.831382240925</v>
      </c>
      <c r="K66" s="8">
        <v>59300</v>
      </c>
      <c r="L66" s="8">
        <v>60178.161699377066</v>
      </c>
      <c r="M66" s="8">
        <v>57815.718693618663</v>
      </c>
      <c r="N66" s="8">
        <v>254500</v>
      </c>
      <c r="O66" s="8">
        <v>254312.09885993469</v>
      </c>
      <c r="P66" s="8">
        <v>248095.45097762579</v>
      </c>
      <c r="Q66" s="8">
        <v>73000</v>
      </c>
      <c r="R66" s="8">
        <v>72254.608665797175</v>
      </c>
      <c r="S66" s="8">
        <v>70338.91015771126</v>
      </c>
      <c r="T66" s="8">
        <v>19000</v>
      </c>
      <c r="U66" s="8">
        <v>18717.398176492163</v>
      </c>
      <c r="V66" s="8">
        <v>18014.951606162609</v>
      </c>
      <c r="W66" s="8">
        <v>14800</v>
      </c>
      <c r="X66" s="8">
        <v>14965.558857374528</v>
      </c>
      <c r="Y66" s="8">
        <v>14458.550635526799</v>
      </c>
      <c r="Z66" s="8">
        <v>21550</v>
      </c>
      <c r="AA66" s="8">
        <v>21678.189573250627</v>
      </c>
      <c r="AB66" s="8">
        <v>20792.411314102508</v>
      </c>
      <c r="AC66" s="8">
        <v>12600</v>
      </c>
      <c r="AD66" s="8">
        <v>12653.188138561276</v>
      </c>
      <c r="AE66" s="8">
        <v>12242.401860271055</v>
      </c>
      <c r="AF66" s="8">
        <v>49200</v>
      </c>
      <c r="AG66" s="8">
        <v>49361.654988858805</v>
      </c>
      <c r="AH66" s="8">
        <v>47131.661252930018</v>
      </c>
      <c r="AI66" s="8">
        <v>44750</v>
      </c>
      <c r="AJ66" s="8">
        <v>43897.397888009247</v>
      </c>
      <c r="AK66" s="8">
        <v>42862.951741868332</v>
      </c>
      <c r="AL66" s="8">
        <v>9330</v>
      </c>
      <c r="AM66" s="8">
        <v>9558.264734508437</v>
      </c>
      <c r="AN66" s="8">
        <v>9107.8082355578299</v>
      </c>
      <c r="AO66" s="8">
        <v>15050</v>
      </c>
      <c r="AP66" s="8">
        <v>15354.420402020574</v>
      </c>
      <c r="AQ66" s="8">
        <v>14759.702319909791</v>
      </c>
      <c r="AR66" s="8">
        <v>22850</v>
      </c>
      <c r="AS66" s="8">
        <v>22477.147584953567</v>
      </c>
      <c r="AT66" s="8">
        <v>21727.677316351561</v>
      </c>
      <c r="AU66" s="8">
        <v>167500</v>
      </c>
      <c r="AV66" s="8">
        <v>166086.12905893003</v>
      </c>
      <c r="AW66" s="8">
        <v>160542.4388392386</v>
      </c>
      <c r="AX66" s="8">
        <v>600000</v>
      </c>
      <c r="AY66" s="8">
        <v>597662.08153139288</v>
      </c>
      <c r="AZ66" s="8">
        <v>582085.37277226883</v>
      </c>
      <c r="BA66" s="8">
        <v>198000</v>
      </c>
      <c r="BB66" s="8">
        <v>196847.61187537492</v>
      </c>
      <c r="BC66" s="8">
        <v>192433.9392365001</v>
      </c>
      <c r="BD66" s="8">
        <v>28950</v>
      </c>
      <c r="BE66" s="8">
        <v>29693.318343076291</v>
      </c>
      <c r="BF66" s="8">
        <v>28503.258867901106</v>
      </c>
      <c r="BG66" s="8">
        <v>30950</v>
      </c>
      <c r="BH66" s="8">
        <v>29694.69176986397</v>
      </c>
      <c r="BI66" s="8">
        <v>28585.779510909415</v>
      </c>
      <c r="BJ66" s="8">
        <v>71700</v>
      </c>
      <c r="BK66" s="8">
        <v>72779.878988904937</v>
      </c>
      <c r="BL66" s="8">
        <v>70800.415277829205</v>
      </c>
      <c r="BM66" s="8">
        <v>1207000</v>
      </c>
      <c r="BN66" s="8">
        <v>1198404.9874689623</v>
      </c>
      <c r="BO66" s="8">
        <v>1163544.3532259788</v>
      </c>
      <c r="BP66" s="8">
        <v>34100</v>
      </c>
      <c r="BQ66" s="8">
        <v>34918.257335586575</v>
      </c>
      <c r="BR66" s="8">
        <v>33323.782246134564</v>
      </c>
      <c r="BS66" s="8">
        <v>145000</v>
      </c>
      <c r="BT66" s="8">
        <v>148488.5409681742</v>
      </c>
      <c r="BU66" s="8">
        <v>143764.00104988439</v>
      </c>
      <c r="BV66" s="8">
        <v>39550</v>
      </c>
      <c r="BW66" s="8">
        <v>38749.941166753044</v>
      </c>
      <c r="BX66" s="8">
        <v>37370.751143348971</v>
      </c>
      <c r="BY66" s="8">
        <v>20450</v>
      </c>
      <c r="BZ66" s="8">
        <v>20645.367494545368</v>
      </c>
      <c r="CA66" s="8">
        <v>19619.331237480015</v>
      </c>
      <c r="CB66" s="8">
        <v>104000</v>
      </c>
      <c r="CC66" s="8">
        <v>104899.55922248756</v>
      </c>
      <c r="CD66" s="8">
        <v>101864.65994533511</v>
      </c>
      <c r="CE66" s="8">
        <v>16500</v>
      </c>
      <c r="CF66" s="8">
        <v>17403.757018547411</v>
      </c>
      <c r="CG66" s="8">
        <v>16912.662611458345</v>
      </c>
      <c r="CH66" s="8">
        <v>59200</v>
      </c>
      <c r="CI66" s="8">
        <v>59625.280147603888</v>
      </c>
      <c r="CJ66" s="8">
        <v>57739.943938450488</v>
      </c>
      <c r="CK66" s="8">
        <v>320500</v>
      </c>
      <c r="CL66" s="8">
        <v>322489.39782224753</v>
      </c>
      <c r="CM66" s="8">
        <v>317856.12137023307</v>
      </c>
      <c r="CN66" s="8">
        <v>95300</v>
      </c>
      <c r="CO66" s="8">
        <v>95822.721050339271</v>
      </c>
      <c r="CP66" s="8">
        <v>93282.336654484083</v>
      </c>
      <c r="CQ66" s="8">
        <v>87000</v>
      </c>
      <c r="CR66" s="8">
        <v>88037.823778221325</v>
      </c>
      <c r="CS66" s="8">
        <v>86531.810427278499</v>
      </c>
      <c r="CT66" s="8">
        <v>28350</v>
      </c>
      <c r="CU66" s="8">
        <v>28736.966502707201</v>
      </c>
      <c r="CV66" s="8">
        <v>27519.130972932591</v>
      </c>
      <c r="CW66" s="8">
        <v>121500</v>
      </c>
      <c r="CX66" s="8">
        <v>121556.39553710687</v>
      </c>
      <c r="CY66" s="8">
        <v>119405.53526431565</v>
      </c>
      <c r="CZ66" s="8">
        <v>23150</v>
      </c>
      <c r="DA66" s="8">
        <v>23149.557418857923</v>
      </c>
      <c r="DB66" s="8">
        <v>22295.856523681214</v>
      </c>
      <c r="DC66" s="8">
        <v>19302</v>
      </c>
      <c r="DD66" s="8">
        <v>19690.339527196662</v>
      </c>
      <c r="DE66" s="8">
        <v>19184.148969143022</v>
      </c>
      <c r="DF66" s="8">
        <v>49650</v>
      </c>
      <c r="DG66" s="8">
        <v>51171.341470140338</v>
      </c>
      <c r="DH66" s="8">
        <v>49883.55336924435</v>
      </c>
      <c r="DI66" s="8">
        <v>167000</v>
      </c>
      <c r="DJ66" s="8">
        <v>168923.14700169981</v>
      </c>
      <c r="DK66" s="8">
        <v>163906.10866053423</v>
      </c>
      <c r="DL66" s="8">
        <v>22750</v>
      </c>
      <c r="DM66" s="8">
        <v>22420.175765751963</v>
      </c>
      <c r="DN66" s="8">
        <v>21702.303438300685</v>
      </c>
      <c r="DO66" s="8">
        <v>25250</v>
      </c>
      <c r="DP66" s="8">
        <v>25110.029558846385</v>
      </c>
      <c r="DQ66" s="8">
        <v>24237.446347247773</v>
      </c>
      <c r="DR66" s="8">
        <v>4775</v>
      </c>
      <c r="DS66" s="8">
        <v>4928.3834316702714</v>
      </c>
      <c r="DT66" s="8">
        <v>4772.9627887568695</v>
      </c>
      <c r="DU66" s="8">
        <v>170000</v>
      </c>
      <c r="DV66" s="8">
        <v>168101.46881369516</v>
      </c>
      <c r="DW66" s="8">
        <v>163362.27801813325</v>
      </c>
      <c r="DX66" s="8">
        <v>55400</v>
      </c>
      <c r="DY66" s="8">
        <v>55490.754128594534</v>
      </c>
      <c r="DZ66" s="8">
        <v>53297.850379184121</v>
      </c>
      <c r="EA66" s="8">
        <v>11350</v>
      </c>
      <c r="EB66" s="8">
        <v>11503.422916751506</v>
      </c>
      <c r="EC66" s="8">
        <v>11160.796649836624</v>
      </c>
      <c r="ED66" s="8">
        <v>1503000</v>
      </c>
      <c r="EE66" s="8">
        <v>1488439.3920888824</v>
      </c>
      <c r="EF66" s="8">
        <v>1454723.0245961659</v>
      </c>
      <c r="EG66" s="8">
        <v>132500</v>
      </c>
      <c r="EH66" s="8">
        <v>132647.410247817</v>
      </c>
      <c r="EI66" s="8">
        <v>127973.55688154201</v>
      </c>
      <c r="EJ66" s="8">
        <v>289000</v>
      </c>
      <c r="EK66" s="8">
        <v>295701.85836379771</v>
      </c>
      <c r="EL66" s="8">
        <v>286808.83389985492</v>
      </c>
      <c r="EM66" s="8">
        <v>11350</v>
      </c>
      <c r="EN66" s="8">
        <v>11315.243775620156</v>
      </c>
      <c r="EO66" s="8">
        <v>11000.099672770499</v>
      </c>
      <c r="EP66" s="8">
        <v>43800</v>
      </c>
      <c r="EQ66" s="8">
        <v>43556.304551873407</v>
      </c>
      <c r="ER66" s="8">
        <v>42093.056591137225</v>
      </c>
      <c r="ES66" s="8">
        <v>11300</v>
      </c>
      <c r="ET66" s="8">
        <v>11271.879787210783</v>
      </c>
      <c r="EU66" s="8">
        <v>10816.620827685087</v>
      </c>
      <c r="EV66">
        <v>286500</v>
      </c>
      <c r="EW66">
        <v>289837.47389870021</v>
      </c>
      <c r="EX66">
        <v>277318.64699845581</v>
      </c>
      <c r="EY66">
        <v>29000</v>
      </c>
      <c r="EZ66">
        <v>29216.46511127449</v>
      </c>
      <c r="FA66">
        <v>28418.072783594569</v>
      </c>
      <c r="FB66">
        <v>2340</v>
      </c>
      <c r="FC66">
        <v>2360.1526254212736</v>
      </c>
      <c r="FD66">
        <v>2278.8701691416204</v>
      </c>
      <c r="FE66">
        <v>58200</v>
      </c>
      <c r="FF66">
        <v>59598.217506048364</v>
      </c>
      <c r="FG66">
        <v>58379.64317539116</v>
      </c>
      <c r="FH66">
        <v>39850</v>
      </c>
      <c r="FI66">
        <v>40875.879030059288</v>
      </c>
      <c r="FJ66">
        <v>38772.184694665506</v>
      </c>
      <c r="FK66">
        <v>89900</v>
      </c>
      <c r="FL66">
        <v>88886.271140862067</v>
      </c>
      <c r="FM66">
        <v>86645.374970400022</v>
      </c>
      <c r="FN66">
        <v>33500</v>
      </c>
      <c r="FO66">
        <v>34105.288716870025</v>
      </c>
      <c r="FP66">
        <v>33048.844236848956</v>
      </c>
      <c r="FQ66">
        <v>18600</v>
      </c>
      <c r="FR66">
        <v>19119.381726993972</v>
      </c>
      <c r="FS66">
        <v>18372.584963105939</v>
      </c>
      <c r="FT66">
        <v>870000</v>
      </c>
      <c r="FU66">
        <v>879462.9884005856</v>
      </c>
      <c r="FV66">
        <v>853612.95977651898</v>
      </c>
      <c r="FW66">
        <v>22300</v>
      </c>
      <c r="FX66">
        <v>21707.774285141506</v>
      </c>
      <c r="FY66">
        <v>20912.154658647978</v>
      </c>
      <c r="FZ66">
        <v>32350</v>
      </c>
      <c r="GA66">
        <v>31161.856098209882</v>
      </c>
      <c r="GB66">
        <v>29973.492778160031</v>
      </c>
      <c r="GC66">
        <v>22200</v>
      </c>
      <c r="GD66">
        <v>22646.898701143629</v>
      </c>
      <c r="GE66">
        <v>22118.259217369119</v>
      </c>
      <c r="GF66">
        <v>160500</v>
      </c>
      <c r="GG66">
        <v>157551.83391294884</v>
      </c>
      <c r="GH66">
        <v>152335.23166706128</v>
      </c>
      <c r="GI66">
        <v>4290</v>
      </c>
      <c r="GJ66">
        <v>4265.929729324459</v>
      </c>
      <c r="GK66">
        <v>4004.8946588764115</v>
      </c>
      <c r="GL66">
        <v>11300</v>
      </c>
      <c r="GM66">
        <v>10671.550472099882</v>
      </c>
      <c r="GN66">
        <v>10158.076094435237</v>
      </c>
      <c r="GO66">
        <v>843000</v>
      </c>
      <c r="GP66">
        <v>853098.33711023361</v>
      </c>
      <c r="GQ66">
        <v>821811.44675860414</v>
      </c>
      <c r="GR66">
        <v>56800</v>
      </c>
      <c r="GS66">
        <v>57110.788907520968</v>
      </c>
      <c r="GT66">
        <v>56310.610301845241</v>
      </c>
      <c r="GU66">
        <v>8240</v>
      </c>
      <c r="GV66">
        <v>8008.8559851582395</v>
      </c>
      <c r="GW66">
        <v>7632.8056750402693</v>
      </c>
      <c r="GX66">
        <v>28200</v>
      </c>
      <c r="GY66">
        <v>28163.221403129788</v>
      </c>
      <c r="GZ66">
        <v>27017.13706297052</v>
      </c>
      <c r="HA66">
        <v>5300</v>
      </c>
      <c r="HB66">
        <v>5200.4546688103883</v>
      </c>
      <c r="HC66">
        <v>5017.3820202953302</v>
      </c>
      <c r="HD66">
        <v>24100</v>
      </c>
      <c r="HE66">
        <v>24763.938516762773</v>
      </c>
      <c r="HF66">
        <v>23610.21568605016</v>
      </c>
      <c r="HG66">
        <v>9690</v>
      </c>
      <c r="HH66">
        <v>9649.8035989805157</v>
      </c>
      <c r="HI66">
        <v>9319.0743438177979</v>
      </c>
      <c r="HJ66">
        <v>4600</v>
      </c>
      <c r="HK66">
        <v>4679.4331217030822</v>
      </c>
      <c r="HL66">
        <v>4502.5636434694552</v>
      </c>
    </row>
    <row r="67" spans="1:220" x14ac:dyDescent="0.4">
      <c r="A67" s="11">
        <v>41383</v>
      </c>
      <c r="B67" s="8">
        <v>310000</v>
      </c>
      <c r="C67" s="8">
        <v>318921.12141871988</v>
      </c>
      <c r="D67" s="8">
        <v>310040.98798599356</v>
      </c>
      <c r="E67" s="8">
        <v>123500</v>
      </c>
      <c r="F67" s="8">
        <v>124121.90412073284</v>
      </c>
      <c r="G67" s="8">
        <v>121455.16634685617</v>
      </c>
      <c r="H67" s="8">
        <v>61700</v>
      </c>
      <c r="I67" s="8">
        <v>65797.631017291351</v>
      </c>
      <c r="J67" s="8">
        <v>62563.779423516833</v>
      </c>
      <c r="K67" s="8">
        <v>58900</v>
      </c>
      <c r="L67" s="8">
        <v>60075.991645558141</v>
      </c>
      <c r="M67" s="8">
        <v>57717.559578688975</v>
      </c>
      <c r="N67" s="8">
        <v>251000</v>
      </c>
      <c r="O67" s="8">
        <v>248739.52298850211</v>
      </c>
      <c r="P67" s="8">
        <v>242659.09647413224</v>
      </c>
      <c r="Q67" s="8">
        <v>71100</v>
      </c>
      <c r="R67" s="8">
        <v>73169.223965364261</v>
      </c>
      <c r="S67" s="8">
        <v>71229.276109074723</v>
      </c>
      <c r="T67" s="8">
        <v>18350</v>
      </c>
      <c r="U67" s="8">
        <v>18972.403601240032</v>
      </c>
      <c r="V67" s="8">
        <v>18260.386914148494</v>
      </c>
      <c r="W67" s="8">
        <v>14700</v>
      </c>
      <c r="X67" s="8">
        <v>15067.365380213809</v>
      </c>
      <c r="Y67" s="8">
        <v>14556.908122843306</v>
      </c>
      <c r="Z67" s="8">
        <v>21200</v>
      </c>
      <c r="AA67" s="8">
        <v>22496.234462807268</v>
      </c>
      <c r="AB67" s="8">
        <v>21577.030608974314</v>
      </c>
      <c r="AC67" s="8">
        <v>12500</v>
      </c>
      <c r="AD67" s="8">
        <v>12248.286118127326</v>
      </c>
      <c r="AE67" s="8">
        <v>11850.64500074239</v>
      </c>
      <c r="AF67" s="8">
        <v>48450</v>
      </c>
      <c r="AG67" s="8">
        <v>49361.654988858805</v>
      </c>
      <c r="AH67" s="8">
        <v>47131.661252930018</v>
      </c>
      <c r="AI67" s="8">
        <v>43300</v>
      </c>
      <c r="AJ67" s="8">
        <v>44657.745426485177</v>
      </c>
      <c r="AK67" s="8">
        <v>43605.381621923807</v>
      </c>
      <c r="AL67" s="8">
        <v>9270</v>
      </c>
      <c r="AM67" s="8">
        <v>9310.8015698609706</v>
      </c>
      <c r="AN67" s="8">
        <v>8872.0073750903157</v>
      </c>
      <c r="AO67" s="8">
        <v>15000</v>
      </c>
      <c r="AP67" s="8">
        <v>15507.96460604079</v>
      </c>
      <c r="AQ67" s="8">
        <v>14907.2993431089</v>
      </c>
      <c r="AR67" s="8">
        <v>22100</v>
      </c>
      <c r="AS67" s="8">
        <v>23138.240160981615</v>
      </c>
      <c r="AT67" s="8">
        <v>22366.726649185432</v>
      </c>
      <c r="AU67" s="8">
        <v>164000</v>
      </c>
      <c r="AV67" s="8">
        <v>164567.04861022037</v>
      </c>
      <c r="AW67" s="8">
        <v>159074.0628742456</v>
      </c>
      <c r="AX67" s="8">
        <v>590000</v>
      </c>
      <c r="AY67" s="8">
        <v>594623.12179479247</v>
      </c>
      <c r="AZ67" s="8">
        <v>579125.61663952842</v>
      </c>
      <c r="BA67" s="8">
        <v>195000</v>
      </c>
      <c r="BB67" s="8">
        <v>192809.71214459802</v>
      </c>
      <c r="BC67" s="8">
        <v>188486.57638036675</v>
      </c>
      <c r="BD67" s="8">
        <v>29000</v>
      </c>
      <c r="BE67" s="8">
        <v>29386.146084354797</v>
      </c>
      <c r="BF67" s="8">
        <v>28208.397569267632</v>
      </c>
      <c r="BG67" s="8">
        <v>29050</v>
      </c>
      <c r="BH67" s="8">
        <v>29439.143647920188</v>
      </c>
      <c r="BI67" s="8">
        <v>28339.774523724274</v>
      </c>
      <c r="BJ67" s="8">
        <v>72000</v>
      </c>
      <c r="BK67" s="8">
        <v>71162.548344706956</v>
      </c>
      <c r="BL67" s="8">
        <v>69227.072716099574</v>
      </c>
      <c r="BM67" s="8">
        <v>1182000</v>
      </c>
      <c r="BN67" s="8">
        <v>1180155.1653247641</v>
      </c>
      <c r="BO67" s="8">
        <v>1145825.4036844654</v>
      </c>
      <c r="BP67" s="8">
        <v>34000</v>
      </c>
      <c r="BQ67" s="8">
        <v>34969.607714021207</v>
      </c>
      <c r="BR67" s="8">
        <v>33372.787808261179</v>
      </c>
      <c r="BS67" s="8">
        <v>146500</v>
      </c>
      <c r="BT67" s="8">
        <v>149502.11462666016</v>
      </c>
      <c r="BU67" s="8">
        <v>144745.32528913289</v>
      </c>
      <c r="BV67" s="8">
        <v>38100</v>
      </c>
      <c r="BW67" s="8">
        <v>39970.41175468226</v>
      </c>
      <c r="BX67" s="8">
        <v>38547.782675422939</v>
      </c>
      <c r="BY67" s="8">
        <v>20000</v>
      </c>
      <c r="BZ67" s="8">
        <v>20800.207750754493</v>
      </c>
      <c r="CA67" s="8">
        <v>19766.476221761146</v>
      </c>
      <c r="CB67" s="8">
        <v>103500</v>
      </c>
      <c r="CC67" s="8">
        <v>102872.5145998308</v>
      </c>
      <c r="CD67" s="8">
        <v>99896.260719338316</v>
      </c>
      <c r="CE67" s="8">
        <v>17200</v>
      </c>
      <c r="CF67" s="8">
        <v>17454.349335461804</v>
      </c>
      <c r="CG67" s="8">
        <v>16961.82732835213</v>
      </c>
      <c r="CH67" s="8">
        <v>58500</v>
      </c>
      <c r="CI67" s="8">
        <v>57382.961919830799</v>
      </c>
      <c r="CJ67" s="8">
        <v>55568.527243329314</v>
      </c>
      <c r="CK67" s="8">
        <v>320500</v>
      </c>
      <c r="CL67" s="8">
        <v>317458.3619747865</v>
      </c>
      <c r="CM67" s="8">
        <v>312897.36752670363</v>
      </c>
      <c r="CN67" s="8">
        <v>94200</v>
      </c>
      <c r="CO67" s="8">
        <v>95720.998416527917</v>
      </c>
      <c r="CP67" s="8">
        <v>93183.310819394435</v>
      </c>
      <c r="CQ67" s="8">
        <v>87600</v>
      </c>
      <c r="CR67" s="8">
        <v>88540.322772389336</v>
      </c>
      <c r="CS67" s="8">
        <v>87025.713454831537</v>
      </c>
      <c r="CT67" s="8">
        <v>28200</v>
      </c>
      <c r="CU67" s="8">
        <v>28482.206161371105</v>
      </c>
      <c r="CV67" s="8">
        <v>27275.167045867551</v>
      </c>
      <c r="CW67" s="8">
        <v>120500</v>
      </c>
      <c r="CX67" s="8">
        <v>121556.39553710687</v>
      </c>
      <c r="CY67" s="8">
        <v>119405.53526431565</v>
      </c>
      <c r="CZ67" s="8">
        <v>22650</v>
      </c>
      <c r="DA67" s="8">
        <v>23200.660194616972</v>
      </c>
      <c r="DB67" s="8">
        <v>22345.07475000279</v>
      </c>
      <c r="DC67" s="8">
        <v>19381</v>
      </c>
      <c r="DD67" s="8">
        <v>20332.426859180981</v>
      </c>
      <c r="DE67" s="8">
        <v>19809.729803387811</v>
      </c>
      <c r="DF67" s="8">
        <v>50400</v>
      </c>
      <c r="DG67" s="8">
        <v>51780.524106689656</v>
      </c>
      <c r="DH67" s="8">
        <v>50477.405195068714</v>
      </c>
      <c r="DI67" s="8">
        <v>166000</v>
      </c>
      <c r="DJ67" s="8">
        <v>159764.66312811355</v>
      </c>
      <c r="DK67" s="8">
        <v>155019.63288978225</v>
      </c>
      <c r="DL67" s="8">
        <v>22000</v>
      </c>
      <c r="DM67" s="8">
        <v>22980.680159895757</v>
      </c>
      <c r="DN67" s="8">
        <v>22244.8610242582</v>
      </c>
      <c r="DO67" s="8">
        <v>24700</v>
      </c>
      <c r="DP67" s="8">
        <v>24601.729365347495</v>
      </c>
      <c r="DQ67" s="8">
        <v>23746.809781514035</v>
      </c>
      <c r="DR67" s="8">
        <v>4840</v>
      </c>
      <c r="DS67" s="8">
        <v>4867.2877692941938</v>
      </c>
      <c r="DT67" s="8">
        <v>4713.7938285656683</v>
      </c>
      <c r="DU67" s="8">
        <v>165500</v>
      </c>
      <c r="DV67" s="8">
        <v>169625.0470808887</v>
      </c>
      <c r="DW67" s="8">
        <v>164842.90289443044</v>
      </c>
      <c r="DX67" s="8">
        <v>54300</v>
      </c>
      <c r="DY67" s="8">
        <v>54877.596624411191</v>
      </c>
      <c r="DZ67" s="8">
        <v>52708.923855657253</v>
      </c>
      <c r="EA67" s="8">
        <v>11350</v>
      </c>
      <c r="EB67" s="8">
        <v>11098.015941711803</v>
      </c>
      <c r="EC67" s="8">
        <v>10767.464609313745</v>
      </c>
      <c r="ED67" s="8">
        <v>1475000</v>
      </c>
      <c r="EE67" s="8">
        <v>1496512.2837069917</v>
      </c>
      <c r="EF67" s="8">
        <v>1462613.0477804164</v>
      </c>
      <c r="EG67" s="8">
        <v>130500</v>
      </c>
      <c r="EH67" s="8">
        <v>134172.0931242285</v>
      </c>
      <c r="EI67" s="8">
        <v>129444.5173054676</v>
      </c>
      <c r="EJ67" s="8">
        <v>291000</v>
      </c>
      <c r="EK67" s="8">
        <v>294685.70077491883</v>
      </c>
      <c r="EL67" s="8">
        <v>285823.23653250159</v>
      </c>
      <c r="EM67" s="8">
        <v>11150</v>
      </c>
      <c r="EN67" s="8">
        <v>11264.502772142027</v>
      </c>
      <c r="EO67" s="8">
        <v>10950.7718715473</v>
      </c>
      <c r="EP67" s="8">
        <v>42650</v>
      </c>
      <c r="EQ67" s="8">
        <v>43913.741986648442</v>
      </c>
      <c r="ER67" s="8">
        <v>42438.486129399767</v>
      </c>
      <c r="ES67" s="8">
        <v>11050</v>
      </c>
      <c r="ET67" s="8">
        <v>11373.887749085987</v>
      </c>
      <c r="EU67" s="8">
        <v>10914.508798976351</v>
      </c>
      <c r="EV67">
        <v>284500</v>
      </c>
      <c r="EW67">
        <v>272518.53872724855</v>
      </c>
      <c r="EX67">
        <v>260747.76123756362</v>
      </c>
      <c r="EY67">
        <v>28800</v>
      </c>
      <c r="EZ67">
        <v>28303.450576547177</v>
      </c>
      <c r="FA67">
        <v>27530.008009107252</v>
      </c>
      <c r="FB67">
        <v>2320</v>
      </c>
      <c r="FC67">
        <v>2324.5468746067272</v>
      </c>
      <c r="FD67">
        <v>2244.4906622795688</v>
      </c>
      <c r="FE67">
        <v>59200</v>
      </c>
      <c r="FF67">
        <v>59396.872176635967</v>
      </c>
      <c r="FG67">
        <v>58182.414651149913</v>
      </c>
      <c r="FH67">
        <v>39750</v>
      </c>
      <c r="FI67">
        <v>40310.300829643362</v>
      </c>
      <c r="FJ67">
        <v>38235.714214613516</v>
      </c>
      <c r="FK67">
        <v>87900</v>
      </c>
      <c r="FL67">
        <v>86964.952424506686</v>
      </c>
      <c r="FM67">
        <v>84772.494282757703</v>
      </c>
      <c r="FN67">
        <v>33700</v>
      </c>
      <c r="FO67">
        <v>32283.641248313135</v>
      </c>
      <c r="FP67">
        <v>31283.624069895566</v>
      </c>
      <c r="FQ67">
        <v>18650</v>
      </c>
      <c r="FR67">
        <v>19016.864934892117</v>
      </c>
      <c r="FS67">
        <v>18274.072443196514</v>
      </c>
      <c r="FT67">
        <v>867000</v>
      </c>
      <c r="FU67">
        <v>887577.98714015272</v>
      </c>
      <c r="FV67">
        <v>861489.43460721348</v>
      </c>
      <c r="FW67">
        <v>21400</v>
      </c>
      <c r="FX67">
        <v>22417.841668300338</v>
      </c>
      <c r="FY67">
        <v>21596.197100753285</v>
      </c>
      <c r="FZ67">
        <v>30650</v>
      </c>
      <c r="GA67">
        <v>32280.226137623609</v>
      </c>
      <c r="GB67">
        <v>31049.213563020581</v>
      </c>
      <c r="GC67">
        <v>22450</v>
      </c>
      <c r="GD67">
        <v>23201.722500058062</v>
      </c>
      <c r="GE67">
        <v>22660.131937616472</v>
      </c>
      <c r="GF67">
        <v>155000</v>
      </c>
      <c r="GG67">
        <v>163650.61458054685</v>
      </c>
      <c r="GH67">
        <v>158232.0793444959</v>
      </c>
      <c r="GI67">
        <v>4105</v>
      </c>
      <c r="GJ67">
        <v>4203.5775286522385</v>
      </c>
      <c r="GK67">
        <v>3946.3578307320549</v>
      </c>
      <c r="GL67">
        <v>10400</v>
      </c>
      <c r="GM67">
        <v>10671.550472099882</v>
      </c>
      <c r="GN67">
        <v>10158.076094435237</v>
      </c>
      <c r="GO67">
        <v>840000</v>
      </c>
      <c r="GP67">
        <v>873410.20227952476</v>
      </c>
      <c r="GQ67">
        <v>841378.38596714218</v>
      </c>
      <c r="GR67">
        <v>56800</v>
      </c>
      <c r="GS67">
        <v>57110.788907520968</v>
      </c>
      <c r="GT67">
        <v>56310.610301845241</v>
      </c>
      <c r="GU67">
        <v>7810</v>
      </c>
      <c r="GV67">
        <v>8224.2029450664559</v>
      </c>
      <c r="GW67">
        <v>7838.041166942754</v>
      </c>
      <c r="GX67">
        <v>27500</v>
      </c>
      <c r="GY67">
        <v>26627.045690231764</v>
      </c>
      <c r="GZ67">
        <v>25543.475041353911</v>
      </c>
      <c r="HA67">
        <v>5100</v>
      </c>
      <c r="HB67">
        <v>4935.3334504004415</v>
      </c>
      <c r="HC67">
        <v>4761.5939172998769</v>
      </c>
      <c r="HD67">
        <v>24100</v>
      </c>
      <c r="HE67">
        <v>24661.183585157927</v>
      </c>
      <c r="HF67">
        <v>23512.247986108025</v>
      </c>
      <c r="HG67">
        <v>9500</v>
      </c>
      <c r="HH67">
        <v>9670.1189749783825</v>
      </c>
      <c r="HI67">
        <v>9338.693447699532</v>
      </c>
      <c r="HJ67">
        <v>4600</v>
      </c>
      <c r="HK67">
        <v>4806.5916304450138</v>
      </c>
      <c r="HL67">
        <v>4624.9159163898203</v>
      </c>
    </row>
    <row r="68" spans="1:220" x14ac:dyDescent="0.4">
      <c r="A68" s="11">
        <v>41382</v>
      </c>
      <c r="B68" s="8">
        <v>313300</v>
      </c>
      <c r="C68" s="8">
        <v>314543.97228976822</v>
      </c>
      <c r="D68" s="8">
        <v>305785.71748379176</v>
      </c>
      <c r="E68" s="8">
        <v>122500</v>
      </c>
      <c r="F68" s="8">
        <v>128174.86425528745</v>
      </c>
      <c r="G68" s="8">
        <v>125421.04932961073</v>
      </c>
      <c r="H68" s="8">
        <v>64700</v>
      </c>
      <c r="I68" s="8">
        <v>66204.416989577498</v>
      </c>
      <c r="J68" s="8">
        <v>62950.572495686902</v>
      </c>
      <c r="K68" s="8">
        <v>58800</v>
      </c>
      <c r="L68" s="8">
        <v>58952.121053549374</v>
      </c>
      <c r="M68" s="8">
        <v>56637.809314461767</v>
      </c>
      <c r="N68" s="8">
        <v>245500</v>
      </c>
      <c r="O68" s="8">
        <v>246206.53395603265</v>
      </c>
      <c r="P68" s="8">
        <v>240188.02624527144</v>
      </c>
      <c r="Q68" s="8">
        <v>72000</v>
      </c>
      <c r="R68" s="8">
        <v>73474.09573188654</v>
      </c>
      <c r="S68" s="8">
        <v>71526.064759529138</v>
      </c>
      <c r="T68" s="8">
        <v>18600</v>
      </c>
      <c r="U68" s="8">
        <v>18921.402516290433</v>
      </c>
      <c r="V68" s="8">
        <v>18211.299852551292</v>
      </c>
      <c r="W68" s="8">
        <v>14800</v>
      </c>
      <c r="X68" s="8">
        <v>14965.558857374528</v>
      </c>
      <c r="Y68" s="8">
        <v>14458.550635526799</v>
      </c>
      <c r="Z68" s="8">
        <v>22000</v>
      </c>
      <c r="AA68" s="8">
        <v>22393.978851612683</v>
      </c>
      <c r="AB68" s="8">
        <v>21478.953197115334</v>
      </c>
      <c r="AC68" s="8">
        <v>12100</v>
      </c>
      <c r="AD68" s="8">
        <v>12096.44786046459</v>
      </c>
      <c r="AE68" s="8">
        <v>11703.736178419138</v>
      </c>
      <c r="AF68" s="8">
        <v>48450</v>
      </c>
      <c r="AG68" s="8">
        <v>51552.110267002179</v>
      </c>
      <c r="AH68" s="8">
        <v>49223.159120707103</v>
      </c>
      <c r="AI68" s="8">
        <v>44050</v>
      </c>
      <c r="AJ68" s="8">
        <v>45468.782800859422</v>
      </c>
      <c r="AK68" s="8">
        <v>44397.306827316235</v>
      </c>
      <c r="AL68" s="8">
        <v>9030</v>
      </c>
      <c r="AM68" s="8">
        <v>9651.0634212512359</v>
      </c>
      <c r="AN68" s="8">
        <v>9196.2335582331471</v>
      </c>
      <c r="AO68" s="8">
        <v>15150</v>
      </c>
      <c r="AP68" s="8">
        <v>14944.969191300028</v>
      </c>
      <c r="AQ68" s="8">
        <v>14366.110258045532</v>
      </c>
      <c r="AR68" s="8">
        <v>22750</v>
      </c>
      <c r="AS68" s="8">
        <v>23138.240160981615</v>
      </c>
      <c r="AT68" s="8">
        <v>22366.726649185432</v>
      </c>
      <c r="AU68" s="8">
        <v>162500</v>
      </c>
      <c r="AV68" s="8">
        <v>164567.04861022037</v>
      </c>
      <c r="AW68" s="8">
        <v>159074.0628742456</v>
      </c>
      <c r="AX68" s="8">
        <v>587000</v>
      </c>
      <c r="AY68" s="8">
        <v>582467.28284839122</v>
      </c>
      <c r="AZ68" s="8">
        <v>567286.59210856701</v>
      </c>
      <c r="BA68" s="8">
        <v>191000</v>
      </c>
      <c r="BB68" s="8">
        <v>194828.66200998647</v>
      </c>
      <c r="BC68" s="8">
        <v>190460.25780843344</v>
      </c>
      <c r="BD68" s="8">
        <v>28700</v>
      </c>
      <c r="BE68" s="8">
        <v>29642.122966622694</v>
      </c>
      <c r="BF68" s="8">
        <v>28454.11531812885</v>
      </c>
      <c r="BG68" s="8">
        <v>28800</v>
      </c>
      <c r="BH68" s="8">
        <v>30359.11688691772</v>
      </c>
      <c r="BI68" s="8">
        <v>29225.392477590685</v>
      </c>
      <c r="BJ68" s="8">
        <v>70400</v>
      </c>
      <c r="BK68" s="8">
        <v>71971.213666805983</v>
      </c>
      <c r="BL68" s="8">
        <v>70013.743996964433</v>
      </c>
      <c r="BM68" s="8">
        <v>1164000</v>
      </c>
      <c r="BN68" s="8">
        <v>1206516.01953305</v>
      </c>
      <c r="BO68" s="8">
        <v>1171419.4419110955</v>
      </c>
      <c r="BP68" s="8">
        <v>34050</v>
      </c>
      <c r="BQ68" s="8">
        <v>35020.958092455912</v>
      </c>
      <c r="BR68" s="8">
        <v>33421.793370387866</v>
      </c>
      <c r="BS68" s="8">
        <v>147500</v>
      </c>
      <c r="BT68" s="8">
        <v>153556.40926060351</v>
      </c>
      <c r="BU68" s="8">
        <v>148670.62224612632</v>
      </c>
      <c r="BV68" s="8">
        <v>39300</v>
      </c>
      <c r="BW68" s="8">
        <v>40631.499989810625</v>
      </c>
      <c r="BX68" s="8">
        <v>39185.341421963043</v>
      </c>
      <c r="BY68" s="8">
        <v>20150</v>
      </c>
      <c r="BZ68" s="8">
        <v>20645.367494545368</v>
      </c>
      <c r="CA68" s="8">
        <v>19619.331237480015</v>
      </c>
      <c r="CB68" s="8">
        <v>101500</v>
      </c>
      <c r="CC68" s="8">
        <v>102872.5145998308</v>
      </c>
      <c r="CD68" s="8">
        <v>99896.260719338316</v>
      </c>
      <c r="CE68" s="8">
        <v>17250</v>
      </c>
      <c r="CF68" s="8">
        <v>17504.941652376172</v>
      </c>
      <c r="CG68" s="8">
        <v>17010.99204524589</v>
      </c>
      <c r="CH68" s="8">
        <v>56300</v>
      </c>
      <c r="CI68" s="8">
        <v>58096.426810485893</v>
      </c>
      <c r="CJ68" s="8">
        <v>56259.432555413347</v>
      </c>
      <c r="CK68" s="8">
        <v>315500</v>
      </c>
      <c r="CL68" s="8">
        <v>321986.29423750116</v>
      </c>
      <c r="CM68" s="8">
        <v>317360.24598587985</v>
      </c>
      <c r="CN68" s="8">
        <v>94100</v>
      </c>
      <c r="CO68" s="8">
        <v>95924.443684150683</v>
      </c>
      <c r="CP68" s="8">
        <v>93381.362489573774</v>
      </c>
      <c r="CQ68" s="8">
        <v>88100</v>
      </c>
      <c r="CR68" s="8">
        <v>88640.82257122283</v>
      </c>
      <c r="CS68" s="8">
        <v>87124.494060342025</v>
      </c>
      <c r="CT68" s="8">
        <v>27950</v>
      </c>
      <c r="CU68" s="8">
        <v>29348.391321913707</v>
      </c>
      <c r="CV68" s="8">
        <v>28104.644397888576</v>
      </c>
      <c r="CW68" s="8">
        <v>120500</v>
      </c>
      <c r="CX68" s="8">
        <v>123069.54568902124</v>
      </c>
      <c r="CY68" s="8">
        <v>120891.9112219629</v>
      </c>
      <c r="CZ68" s="8">
        <v>22700</v>
      </c>
      <c r="DA68" s="8">
        <v>22996.249091580692</v>
      </c>
      <c r="DB68" s="8">
        <v>22148.201844716416</v>
      </c>
      <c r="DC68" s="8">
        <v>20013</v>
      </c>
      <c r="DD68" s="8">
        <v>20813.992358169213</v>
      </c>
      <c r="DE68" s="8">
        <v>20278.915429071392</v>
      </c>
      <c r="DF68" s="8">
        <v>51000</v>
      </c>
      <c r="DG68" s="8">
        <v>52795.828500938434</v>
      </c>
      <c r="DH68" s="8">
        <v>51467.158238109245</v>
      </c>
      <c r="DI68" s="8">
        <v>157000</v>
      </c>
      <c r="DJ68" s="8">
        <v>155694.22585096417</v>
      </c>
      <c r="DK68" s="8">
        <v>151070.08810278145</v>
      </c>
      <c r="DL68" s="8">
        <v>22550</v>
      </c>
      <c r="DM68" s="8">
        <v>23031.635104817946</v>
      </c>
      <c r="DN68" s="8">
        <v>22294.184441163452</v>
      </c>
      <c r="DO68" s="8">
        <v>24200</v>
      </c>
      <c r="DP68" s="8">
        <v>25110.029558846385</v>
      </c>
      <c r="DQ68" s="8">
        <v>24237.446347247773</v>
      </c>
      <c r="DR68" s="8">
        <v>4780</v>
      </c>
      <c r="DS68" s="8">
        <v>4755.2790549380497</v>
      </c>
      <c r="DT68" s="8">
        <v>4605.3174015484656</v>
      </c>
      <c r="DU68" s="8">
        <v>167000</v>
      </c>
      <c r="DV68" s="8">
        <v>168609.32823609313</v>
      </c>
      <c r="DW68" s="8">
        <v>163855.81964356577</v>
      </c>
      <c r="DX68" s="8">
        <v>53700</v>
      </c>
      <c r="DY68" s="8">
        <v>55184.175376502884</v>
      </c>
      <c r="DZ68" s="8">
        <v>53003.387117420709</v>
      </c>
      <c r="EA68" s="8">
        <v>10950</v>
      </c>
      <c r="EB68" s="8">
        <v>11250.043557351688</v>
      </c>
      <c r="EC68" s="8">
        <v>10914.964124509821</v>
      </c>
      <c r="ED68" s="8">
        <v>1483000</v>
      </c>
      <c r="EE68" s="8">
        <v>1531831.1845362193</v>
      </c>
      <c r="EF68" s="8">
        <v>1497131.8992115117</v>
      </c>
      <c r="EG68" s="8">
        <v>132000</v>
      </c>
      <c r="EH68" s="8">
        <v>139254.36937893432</v>
      </c>
      <c r="EI68" s="8">
        <v>134347.71871855366</v>
      </c>
      <c r="EJ68" s="8">
        <v>290000</v>
      </c>
      <c r="EK68" s="8">
        <v>300782.64630819298</v>
      </c>
      <c r="EL68" s="8">
        <v>291736.82073662226</v>
      </c>
      <c r="EM68" s="8">
        <v>11100</v>
      </c>
      <c r="EN68" s="8">
        <v>11213.761768663928</v>
      </c>
      <c r="EO68" s="8">
        <v>10901.444070324131</v>
      </c>
      <c r="EP68" s="8">
        <v>43000</v>
      </c>
      <c r="EQ68" s="8">
        <v>43760.554514602009</v>
      </c>
      <c r="ER68" s="8">
        <v>42290.444898715832</v>
      </c>
      <c r="ES68" s="8">
        <v>11150</v>
      </c>
      <c r="ET68" s="8">
        <v>11577.903672836401</v>
      </c>
      <c r="EU68" s="8">
        <v>11110.284741558877</v>
      </c>
      <c r="EV68">
        <v>267500</v>
      </c>
      <c r="EW68">
        <v>271499.77783481049</v>
      </c>
      <c r="EX68">
        <v>259773.00325162904</v>
      </c>
      <c r="EY68">
        <v>27900</v>
      </c>
      <c r="EZ68">
        <v>29165.742081567441</v>
      </c>
      <c r="FA68">
        <v>28368.735851678633</v>
      </c>
      <c r="FB68">
        <v>2285</v>
      </c>
      <c r="FC68">
        <v>2349.9795537599744</v>
      </c>
      <c r="FD68">
        <v>2269.0474528953196</v>
      </c>
      <c r="FE68">
        <v>59000</v>
      </c>
      <c r="FF68">
        <v>61410.325470759322</v>
      </c>
      <c r="FG68">
        <v>60154.699893561869</v>
      </c>
      <c r="FH68">
        <v>39200</v>
      </c>
      <c r="FI68">
        <v>41030.127630172727</v>
      </c>
      <c r="FJ68">
        <v>38918.494825588779</v>
      </c>
      <c r="FK68">
        <v>86000</v>
      </c>
      <c r="FL68">
        <v>87369.440575318324</v>
      </c>
      <c r="FM68">
        <v>85166.784953840281</v>
      </c>
      <c r="FN68">
        <v>31900</v>
      </c>
      <c r="FO68">
        <v>31980.033336887005</v>
      </c>
      <c r="FP68">
        <v>30989.420708736685</v>
      </c>
      <c r="FQ68">
        <v>18550</v>
      </c>
      <c r="FR68">
        <v>18914.348142790292</v>
      </c>
      <c r="FS68">
        <v>18175.559923287114</v>
      </c>
      <c r="FT68">
        <v>875000</v>
      </c>
      <c r="FU68">
        <v>902793.60977684218</v>
      </c>
      <c r="FV68">
        <v>876257.82491476682</v>
      </c>
      <c r="FW68">
        <v>22100</v>
      </c>
      <c r="FX68">
        <v>23178.628150256267</v>
      </c>
      <c r="FY68">
        <v>22329.099717294721</v>
      </c>
      <c r="FZ68">
        <v>31750</v>
      </c>
      <c r="GA68">
        <v>33296.92617345426</v>
      </c>
      <c r="GB68">
        <v>32027.141549257442</v>
      </c>
      <c r="GC68">
        <v>23000</v>
      </c>
      <c r="GD68">
        <v>23706.10777179847</v>
      </c>
      <c r="GE68">
        <v>23152.743501477715</v>
      </c>
      <c r="GF68">
        <v>161000</v>
      </c>
      <c r="GG68">
        <v>162634.15113594712</v>
      </c>
      <c r="GH68">
        <v>157249.27139825671</v>
      </c>
      <c r="GI68">
        <v>4045</v>
      </c>
      <c r="GJ68">
        <v>4198.3815119295532</v>
      </c>
      <c r="GK68">
        <v>3941.4797617200252</v>
      </c>
      <c r="GL68">
        <v>10400</v>
      </c>
      <c r="GM68">
        <v>10774.161534331601</v>
      </c>
      <c r="GN68">
        <v>10255.749903035565</v>
      </c>
      <c r="GO68">
        <v>860000</v>
      </c>
      <c r="GP68">
        <v>871379.01576259581</v>
      </c>
      <c r="GQ68">
        <v>839421.69204628863</v>
      </c>
      <c r="GR68">
        <v>56800</v>
      </c>
      <c r="GS68">
        <v>57714.071888938444</v>
      </c>
      <c r="GT68">
        <v>56905.440692357697</v>
      </c>
      <c r="GU68">
        <v>8020</v>
      </c>
      <c r="GV68">
        <v>8234.4575622049415</v>
      </c>
      <c r="GW68">
        <v>7847.8142856047753</v>
      </c>
      <c r="GX68">
        <v>26000</v>
      </c>
      <c r="GY68">
        <v>27036.692547004583</v>
      </c>
      <c r="GZ68">
        <v>25936.451580451685</v>
      </c>
      <c r="HA68">
        <v>4840</v>
      </c>
      <c r="HB68">
        <v>4833.3637510120025</v>
      </c>
      <c r="HC68">
        <v>4663.213877686243</v>
      </c>
      <c r="HD68">
        <v>24000</v>
      </c>
      <c r="HE68">
        <v>24763.938516762773</v>
      </c>
      <c r="HF68">
        <v>23610.21568605016</v>
      </c>
      <c r="HG68">
        <v>9520</v>
      </c>
      <c r="HH68">
        <v>9558.3844069901861</v>
      </c>
      <c r="HI68">
        <v>9230.7883763500631</v>
      </c>
      <c r="HJ68">
        <v>4725</v>
      </c>
      <c r="HK68">
        <v>4704.8648234514703</v>
      </c>
      <c r="HL68">
        <v>4527.0340980535293</v>
      </c>
    </row>
    <row r="69" spans="1:220" x14ac:dyDescent="0.4">
      <c r="A69" s="11">
        <v>41381</v>
      </c>
      <c r="B69" s="10">
        <v>309000</v>
      </c>
      <c r="C69" s="10">
        <v>310472.2056581857</v>
      </c>
      <c r="D69" s="10">
        <v>301827.32631895324</v>
      </c>
      <c r="E69" s="10">
        <v>126500</v>
      </c>
      <c r="F69" s="10">
        <v>128681.48427210675</v>
      </c>
      <c r="G69" s="10">
        <v>125916.78470245503</v>
      </c>
      <c r="H69" s="10">
        <v>65100</v>
      </c>
      <c r="I69" s="10">
        <v>69560.401260938568</v>
      </c>
      <c r="J69" s="10">
        <v>66141.615341090393</v>
      </c>
      <c r="K69" s="10">
        <v>57700</v>
      </c>
      <c r="L69" s="10">
        <v>60586.84191465305</v>
      </c>
      <c r="M69" s="10">
        <v>58208.35515333771</v>
      </c>
      <c r="N69" s="10">
        <v>243000</v>
      </c>
      <c r="O69" s="10">
        <v>242660.34931057514</v>
      </c>
      <c r="P69" s="10">
        <v>236728.52792486604</v>
      </c>
      <c r="Q69" s="10">
        <v>72300</v>
      </c>
      <c r="R69" s="10">
        <v>74185.463187105357</v>
      </c>
      <c r="S69" s="10">
        <v>72218.57161058957</v>
      </c>
      <c r="T69" s="10">
        <v>18550</v>
      </c>
      <c r="U69" s="10">
        <v>18513.393836693886</v>
      </c>
      <c r="V69" s="10">
        <v>17818.603359773919</v>
      </c>
      <c r="W69" s="10">
        <v>14700</v>
      </c>
      <c r="X69" s="10">
        <v>14863.752334535247</v>
      </c>
      <c r="Y69" s="10">
        <v>14360.193148210294</v>
      </c>
      <c r="Z69" s="10">
        <v>21900</v>
      </c>
      <c r="AA69" s="10">
        <v>22087.212018028971</v>
      </c>
      <c r="AB69" s="10">
        <v>21184.720961538434</v>
      </c>
      <c r="AC69" s="10">
        <v>11950</v>
      </c>
      <c r="AD69" s="10">
        <v>12602.575386007034</v>
      </c>
      <c r="AE69" s="10">
        <v>12193.432252829974</v>
      </c>
      <c r="AF69" s="10">
        <v>50600</v>
      </c>
      <c r="AG69" s="10">
        <v>50023.885654343947</v>
      </c>
      <c r="AH69" s="10">
        <v>47763.974561792798</v>
      </c>
      <c r="AI69" s="10">
        <v>44850</v>
      </c>
      <c r="AJ69" s="10">
        <v>44607.055590586759</v>
      </c>
      <c r="AK69" s="10">
        <v>43555.886296586752</v>
      </c>
      <c r="AL69" s="10">
        <v>9360</v>
      </c>
      <c r="AM69" s="10">
        <v>9187.0699875372429</v>
      </c>
      <c r="AN69" s="10">
        <v>8754.1069448565613</v>
      </c>
      <c r="AO69" s="10">
        <v>14600</v>
      </c>
      <c r="AP69" s="10">
        <v>14893.78778995995</v>
      </c>
      <c r="AQ69" s="10">
        <v>14316.911250312492</v>
      </c>
      <c r="AR69" s="10">
        <v>22750</v>
      </c>
      <c r="AS69" s="10">
        <v>22985.680335744408</v>
      </c>
      <c r="AT69" s="10">
        <v>22219.253726223804</v>
      </c>
      <c r="AU69" s="10">
        <v>162500</v>
      </c>
      <c r="AV69" s="10">
        <v>161528.88771280105</v>
      </c>
      <c r="AW69" s="10">
        <v>156137.31094425966</v>
      </c>
      <c r="AX69" s="10">
        <v>575000</v>
      </c>
      <c r="AY69" s="10">
        <v>578415.33653292363</v>
      </c>
      <c r="AZ69" s="10">
        <v>563340.25059824612</v>
      </c>
      <c r="BA69" s="10">
        <v>193000</v>
      </c>
      <c r="BB69" s="10">
        <v>193819.18707729221</v>
      </c>
      <c r="BC69" s="10">
        <v>189473.41709440007</v>
      </c>
      <c r="BD69" s="10">
        <v>28950</v>
      </c>
      <c r="BE69" s="10">
        <v>29642.122966622694</v>
      </c>
      <c r="BF69" s="10">
        <v>28454.11531812885</v>
      </c>
      <c r="BG69" s="10">
        <v>29700</v>
      </c>
      <c r="BH69" s="10">
        <v>29541.362896697712</v>
      </c>
      <c r="BI69" s="10">
        <v>28438.176518598342</v>
      </c>
      <c r="BJ69" s="10">
        <v>71200</v>
      </c>
      <c r="BK69" s="10">
        <v>73083.128484691973</v>
      </c>
      <c r="BL69" s="10">
        <v>71095.417008153425</v>
      </c>
      <c r="BM69" s="10">
        <v>1190000</v>
      </c>
      <c r="BN69" s="10">
        <v>1230849.115725314</v>
      </c>
      <c r="BO69" s="10">
        <v>1195044.7079664459</v>
      </c>
      <c r="BP69" s="10">
        <v>34100</v>
      </c>
      <c r="BQ69" s="10">
        <v>34404.753551239693</v>
      </c>
      <c r="BR69" s="10">
        <v>32833.726624867864</v>
      </c>
      <c r="BS69" s="10">
        <v>151500</v>
      </c>
      <c r="BT69" s="10">
        <v>149502.11462666016</v>
      </c>
      <c r="BU69" s="10">
        <v>144745.32528913289</v>
      </c>
      <c r="BV69" s="10">
        <v>39950</v>
      </c>
      <c r="BW69" s="10">
        <v>40936.617636792907</v>
      </c>
      <c r="BX69" s="10">
        <v>39479.599304981522</v>
      </c>
      <c r="BY69" s="10">
        <v>20000</v>
      </c>
      <c r="BZ69" s="10">
        <v>20696.980913281761</v>
      </c>
      <c r="CA69" s="10">
        <v>19668.379565573741</v>
      </c>
      <c r="CB69" s="10">
        <v>101500</v>
      </c>
      <c r="CC69" s="10">
        <v>100136.00435924414</v>
      </c>
      <c r="CD69" s="10">
        <v>97238.921764242565</v>
      </c>
      <c r="CE69" s="10">
        <v>17300</v>
      </c>
      <c r="CF69" s="10">
        <v>17251.980067804256</v>
      </c>
      <c r="CG69" s="10">
        <v>16765.168460777011</v>
      </c>
      <c r="CH69" s="10">
        <v>57000</v>
      </c>
      <c r="CI69" s="10">
        <v>55242.567247865525</v>
      </c>
      <c r="CJ69" s="10">
        <v>53495.811307077245</v>
      </c>
      <c r="CK69" s="10">
        <v>320000</v>
      </c>
      <c r="CL69" s="10">
        <v>322489.39782224753</v>
      </c>
      <c r="CM69" s="10">
        <v>317856.12137023307</v>
      </c>
      <c r="CN69" s="10">
        <v>94300</v>
      </c>
      <c r="CO69" s="10">
        <v>94093.436275545522</v>
      </c>
      <c r="CP69" s="10">
        <v>91598.897457959465</v>
      </c>
      <c r="CQ69" s="10">
        <v>88200</v>
      </c>
      <c r="CR69" s="10">
        <v>89444.820961891499</v>
      </c>
      <c r="CS69" s="10">
        <v>87914.738904426747</v>
      </c>
      <c r="CT69" s="10">
        <v>28800</v>
      </c>
      <c r="CU69" s="10">
        <v>28227.445820035056</v>
      </c>
      <c r="CV69" s="10">
        <v>27031.20311880255</v>
      </c>
      <c r="CW69" s="10">
        <v>122000</v>
      </c>
      <c r="CX69" s="10">
        <v>124078.31245696396</v>
      </c>
      <c r="CY69" s="10">
        <v>121882.82852706089</v>
      </c>
      <c r="CZ69" s="10">
        <v>22500</v>
      </c>
      <c r="DA69" s="10">
        <v>22945.146315821628</v>
      </c>
      <c r="DB69" s="10">
        <v>22098.983618394828</v>
      </c>
      <c r="DC69" s="10">
        <v>20487</v>
      </c>
      <c r="DD69" s="10">
        <v>20171.905026184912</v>
      </c>
      <c r="DE69" s="10">
        <v>19653.334594826621</v>
      </c>
      <c r="DF69" s="10">
        <v>52000</v>
      </c>
      <c r="DG69" s="10">
        <v>52288.176303814042</v>
      </c>
      <c r="DH69" s="10">
        <v>50972.281716588972</v>
      </c>
      <c r="DI69" s="10">
        <v>153000</v>
      </c>
      <c r="DJ69" s="10">
        <v>147044.54663702176</v>
      </c>
      <c r="DK69" s="10">
        <v>142677.30543040475</v>
      </c>
      <c r="DL69" s="10">
        <v>22600</v>
      </c>
      <c r="DM69" s="10">
        <v>23337.364774350906</v>
      </c>
      <c r="DN69" s="10">
        <v>22590.124942594804</v>
      </c>
      <c r="DO69" s="10">
        <v>24700</v>
      </c>
      <c r="DP69" s="10">
        <v>23991.769133148777</v>
      </c>
      <c r="DQ69" s="10">
        <v>23158.045902633501</v>
      </c>
      <c r="DR69" s="10">
        <v>4670</v>
      </c>
      <c r="DS69" s="10">
        <v>4602.5398989978567</v>
      </c>
      <c r="DT69" s="10">
        <v>4457.3950010704648</v>
      </c>
      <c r="DU69" s="10">
        <v>166000</v>
      </c>
      <c r="DV69" s="10">
        <v>158959.9992105336</v>
      </c>
      <c r="DW69" s="10">
        <v>154478.52876034967</v>
      </c>
      <c r="DX69" s="10">
        <v>54000</v>
      </c>
      <c r="DY69" s="10">
        <v>55388.561211230714</v>
      </c>
      <c r="DZ69" s="10">
        <v>53199.695958596378</v>
      </c>
      <c r="EA69" s="10">
        <v>11100</v>
      </c>
      <c r="EB69" s="10">
        <v>11402.071172991578</v>
      </c>
      <c r="EC69" s="10">
        <v>11062.463639705902</v>
      </c>
      <c r="ED69" s="10">
        <v>1518000</v>
      </c>
      <c r="EE69" s="10">
        <v>1541922.2990588569</v>
      </c>
      <c r="EF69" s="10">
        <v>1506994.4281918257</v>
      </c>
      <c r="EG69" s="10">
        <v>137000</v>
      </c>
      <c r="EH69" s="10">
        <v>130106.27212046413</v>
      </c>
      <c r="EI69" s="10">
        <v>125521.956174999</v>
      </c>
      <c r="EJ69" s="10">
        <v>296000</v>
      </c>
      <c r="EK69" s="10">
        <v>309419.9858136648</v>
      </c>
      <c r="EL69" s="10">
        <v>300114.39835912676</v>
      </c>
      <c r="EM69" s="10">
        <v>11050</v>
      </c>
      <c r="EN69" s="10">
        <v>11112.279761707678</v>
      </c>
      <c r="EO69" s="10">
        <v>10802.788467877745</v>
      </c>
      <c r="EP69" s="10">
        <v>42850</v>
      </c>
      <c r="EQ69" s="10">
        <v>44679.679346880715</v>
      </c>
      <c r="ER69" s="10">
        <v>43178.69228281956</v>
      </c>
      <c r="ES69" s="10">
        <v>11350</v>
      </c>
      <c r="ET69" s="10">
        <v>11577.903672836401</v>
      </c>
      <c r="EU69" s="10">
        <v>11110.284741558877</v>
      </c>
      <c r="EV69">
        <v>266500</v>
      </c>
      <c r="EW69">
        <v>276084.20185078279</v>
      </c>
      <c r="EX69">
        <v>264159.41418833559</v>
      </c>
      <c r="EY69">
        <v>28750</v>
      </c>
      <c r="EZ69">
        <v>29520.803289516938</v>
      </c>
      <c r="FA69">
        <v>28714.09437509035</v>
      </c>
      <c r="FB69">
        <v>2310</v>
      </c>
      <c r="FC69">
        <v>2390.6718404051694</v>
      </c>
      <c r="FD69">
        <v>2308.3383178805207</v>
      </c>
      <c r="FE69">
        <v>61000</v>
      </c>
      <c r="FF69">
        <v>62819.742776645537</v>
      </c>
      <c r="FG69">
        <v>61535.299563250112</v>
      </c>
      <c r="FH69">
        <v>39900</v>
      </c>
      <c r="FI69">
        <v>41492.873430513057</v>
      </c>
      <c r="FJ69">
        <v>39357.425218358607</v>
      </c>
      <c r="FK69">
        <v>86400</v>
      </c>
      <c r="FL69">
        <v>87066.074462209595</v>
      </c>
      <c r="FM69">
        <v>84871.066950528344</v>
      </c>
      <c r="FN69">
        <v>31600</v>
      </c>
      <c r="FO69">
        <v>33447.471575446732</v>
      </c>
      <c r="FP69">
        <v>32411.403621004702</v>
      </c>
      <c r="FQ69">
        <v>18450</v>
      </c>
      <c r="FR69">
        <v>18453.022578331995</v>
      </c>
      <c r="FS69">
        <v>17732.25358369475</v>
      </c>
      <c r="FT69">
        <v>890000</v>
      </c>
      <c r="FU69">
        <v>896707.36072216672</v>
      </c>
      <c r="FV69">
        <v>870350.46879174584</v>
      </c>
      <c r="FW69">
        <v>22850</v>
      </c>
      <c r="FX69">
        <v>23381.504545444477</v>
      </c>
      <c r="FY69">
        <v>22524.540415039068</v>
      </c>
      <c r="FZ69">
        <v>32750</v>
      </c>
      <c r="GA69">
        <v>32076.886130457515</v>
      </c>
      <c r="GB69">
        <v>30853.627965773248</v>
      </c>
      <c r="GC69">
        <v>23500</v>
      </c>
      <c r="GD69">
        <v>23706.10777179847</v>
      </c>
      <c r="GE69">
        <v>23152.743501477715</v>
      </c>
      <c r="GF69">
        <v>160000</v>
      </c>
      <c r="GG69">
        <v>164667.07802514642</v>
      </c>
      <c r="GH69">
        <v>159214.88729073491</v>
      </c>
      <c r="GI69">
        <v>4040</v>
      </c>
      <c r="GJ69">
        <v>4110.0492276439027</v>
      </c>
      <c r="GK69">
        <v>3858.5525885155157</v>
      </c>
      <c r="GL69">
        <v>10500</v>
      </c>
      <c r="GM69">
        <v>11030.689189910941</v>
      </c>
      <c r="GN69">
        <v>10499.934424536428</v>
      </c>
      <c r="GO69">
        <v>858000</v>
      </c>
      <c r="GP69">
        <v>850051.55733484006</v>
      </c>
      <c r="GQ69">
        <v>818876.40587732347</v>
      </c>
      <c r="GR69">
        <v>57400</v>
      </c>
      <c r="GS69">
        <v>58015.713379647175</v>
      </c>
      <c r="GT69">
        <v>57202.855887613914</v>
      </c>
      <c r="GU69">
        <v>8030</v>
      </c>
      <c r="GV69">
        <v>8378.0222021437658</v>
      </c>
      <c r="GW69">
        <v>7984.637946873112</v>
      </c>
      <c r="GX69">
        <v>26400</v>
      </c>
      <c r="GY69">
        <v>26780.663261521571</v>
      </c>
      <c r="GZ69">
        <v>25690.841243515577</v>
      </c>
      <c r="HA69">
        <v>4740</v>
      </c>
      <c r="HB69">
        <v>4843.5607209508444</v>
      </c>
      <c r="HC69">
        <v>4673.0518816476051</v>
      </c>
      <c r="HD69">
        <v>24100</v>
      </c>
      <c r="HE69">
        <v>24763.938516762773</v>
      </c>
      <c r="HF69">
        <v>23610.21568605016</v>
      </c>
      <c r="HG69">
        <v>9410</v>
      </c>
      <c r="HH69">
        <v>10127.214934930076</v>
      </c>
      <c r="HI69">
        <v>9780.1232850382548</v>
      </c>
      <c r="HJ69">
        <v>4625</v>
      </c>
      <c r="HK69">
        <v>4679.4331217030822</v>
      </c>
      <c r="HL69">
        <v>4502.5636434694552</v>
      </c>
    </row>
    <row r="70" spans="1:220" x14ac:dyDescent="0.4">
      <c r="A70" s="73">
        <v>41380</v>
      </c>
      <c r="B70" s="8">
        <v>305000</v>
      </c>
      <c r="C70" s="8">
        <v>307418.38068449887</v>
      </c>
      <c r="D70" s="8">
        <v>298858.53294532443</v>
      </c>
      <c r="E70" s="8">
        <v>127000</v>
      </c>
      <c r="F70" s="8">
        <v>128681.48427210675</v>
      </c>
      <c r="G70" s="8">
        <v>125916.78470245503</v>
      </c>
      <c r="H70" s="8">
        <v>68400</v>
      </c>
      <c r="I70" s="8">
        <v>67221.381920292959</v>
      </c>
      <c r="J70" s="8">
        <v>63917.555176112197</v>
      </c>
      <c r="K70" s="8">
        <v>59300</v>
      </c>
      <c r="L70" s="8">
        <v>61915.052614299653</v>
      </c>
      <c r="M70" s="8">
        <v>59484.423647424286</v>
      </c>
      <c r="N70" s="8">
        <v>239500</v>
      </c>
      <c r="O70" s="8">
        <v>245193.33834304477</v>
      </c>
      <c r="P70" s="8">
        <v>239199.59815372704</v>
      </c>
      <c r="Q70" s="8">
        <v>73000</v>
      </c>
      <c r="R70" s="8">
        <v>74591.958875801851</v>
      </c>
      <c r="S70" s="8">
        <v>72614.289811195573</v>
      </c>
      <c r="T70" s="8">
        <v>18150</v>
      </c>
      <c r="U70" s="8">
        <v>18258.388411946042</v>
      </c>
      <c r="V70" s="8">
        <v>17573.16805178806</v>
      </c>
      <c r="W70" s="8">
        <v>14600</v>
      </c>
      <c r="X70" s="8">
        <v>14660.139288856673</v>
      </c>
      <c r="Y70" s="8">
        <v>14163.478173577265</v>
      </c>
      <c r="Z70" s="8">
        <v>21600</v>
      </c>
      <c r="AA70" s="8">
        <v>22445.106657209988</v>
      </c>
      <c r="AB70" s="8">
        <v>21527.99190304484</v>
      </c>
      <c r="AC70" s="8">
        <v>12450</v>
      </c>
      <c r="AD70" s="8">
        <v>12805.026396224019</v>
      </c>
      <c r="AE70" s="8">
        <v>12389.310682594314</v>
      </c>
      <c r="AF70" s="8">
        <v>49100</v>
      </c>
      <c r="AG70" s="8">
        <v>50686.116319829162</v>
      </c>
      <c r="AH70" s="8">
        <v>48396.287870655644</v>
      </c>
      <c r="AI70" s="8">
        <v>44000</v>
      </c>
      <c r="AJ70" s="8">
        <v>43390.49952902527</v>
      </c>
      <c r="AK70" s="8">
        <v>42367.998488497986</v>
      </c>
      <c r="AL70" s="8">
        <v>8910</v>
      </c>
      <c r="AM70" s="8">
        <v>9001.4726140516341</v>
      </c>
      <c r="AN70" s="8">
        <v>8577.2562995059161</v>
      </c>
      <c r="AO70" s="8">
        <v>14550</v>
      </c>
      <c r="AP70" s="8">
        <v>15456.7832047007</v>
      </c>
      <c r="AQ70" s="8">
        <v>14858.100335375846</v>
      </c>
      <c r="AR70" s="8">
        <v>22600</v>
      </c>
      <c r="AS70" s="8">
        <v>22477.147584953567</v>
      </c>
      <c r="AT70" s="8">
        <v>21727.677316351561</v>
      </c>
      <c r="AU70" s="8">
        <v>159500</v>
      </c>
      <c r="AV70" s="8">
        <v>164567.04861022037</v>
      </c>
      <c r="AW70" s="8">
        <v>159074.0628742456</v>
      </c>
      <c r="AX70" s="8">
        <v>571000</v>
      </c>
      <c r="AY70" s="8">
        <v>575376.37679632334</v>
      </c>
      <c r="AZ70" s="8">
        <v>560380.4944655057</v>
      </c>
      <c r="BA70" s="8">
        <v>192000</v>
      </c>
      <c r="BB70" s="8">
        <v>192809.71214459802</v>
      </c>
      <c r="BC70" s="8">
        <v>188486.57638036675</v>
      </c>
      <c r="BD70" s="8">
        <v>28950</v>
      </c>
      <c r="BE70" s="8">
        <v>29693.318343076291</v>
      </c>
      <c r="BF70" s="8">
        <v>28503.258867901106</v>
      </c>
      <c r="BG70" s="8">
        <v>28900</v>
      </c>
      <c r="BH70" s="8">
        <v>29950.239891807694</v>
      </c>
      <c r="BI70" s="8">
        <v>28831.784498094494</v>
      </c>
      <c r="BJ70" s="8">
        <v>72300</v>
      </c>
      <c r="BK70" s="8">
        <v>75003.708624676947</v>
      </c>
      <c r="BL70" s="8">
        <v>72963.761300207232</v>
      </c>
      <c r="BM70" s="8">
        <v>1214000</v>
      </c>
      <c r="BN70" s="8">
        <v>1220710.325645203</v>
      </c>
      <c r="BO70" s="8">
        <v>1185200.8471100489</v>
      </c>
      <c r="BP70" s="8">
        <v>33500</v>
      </c>
      <c r="BQ70" s="8">
        <v>33634.497874719367</v>
      </c>
      <c r="BR70" s="8">
        <v>32098.643192967804</v>
      </c>
      <c r="BS70" s="8">
        <v>147500</v>
      </c>
      <c r="BT70" s="8">
        <v>144941.03316347382</v>
      </c>
      <c r="BU70" s="8">
        <v>140329.36621251519</v>
      </c>
      <c r="BV70" s="8">
        <v>40250</v>
      </c>
      <c r="BW70" s="8">
        <v>40122.970578173466</v>
      </c>
      <c r="BX70" s="8">
        <v>38694.911616932244</v>
      </c>
      <c r="BY70" s="8">
        <v>20050</v>
      </c>
      <c r="BZ70" s="8">
        <v>20077.619888445402</v>
      </c>
      <c r="CA70" s="8">
        <v>19079.799628449346</v>
      </c>
      <c r="CB70" s="8">
        <v>98800</v>
      </c>
      <c r="CC70" s="8">
        <v>98311.664198853017</v>
      </c>
      <c r="CD70" s="8">
        <v>95467.362460845412</v>
      </c>
      <c r="CE70" s="8">
        <v>17050</v>
      </c>
      <c r="CF70" s="8">
        <v>17707.310920033717</v>
      </c>
      <c r="CG70" s="8">
        <v>17207.650912821002</v>
      </c>
      <c r="CH70" s="8">
        <v>54200</v>
      </c>
      <c r="CI70" s="8">
        <v>55956.032138520597</v>
      </c>
      <c r="CJ70" s="8">
        <v>54186.716619161249</v>
      </c>
      <c r="CK70" s="8">
        <v>320500</v>
      </c>
      <c r="CL70" s="8">
        <v>326011.12291546987</v>
      </c>
      <c r="CM70" s="8">
        <v>321327.24906070333</v>
      </c>
      <c r="CN70" s="8">
        <v>92500</v>
      </c>
      <c r="CO70" s="8">
        <v>89719.363021655256</v>
      </c>
      <c r="CP70" s="8">
        <v>87340.786549102937</v>
      </c>
      <c r="CQ70" s="8">
        <v>89000</v>
      </c>
      <c r="CR70" s="8">
        <v>89545.320760725124</v>
      </c>
      <c r="CS70" s="8">
        <v>88013.519509937381</v>
      </c>
      <c r="CT70" s="8">
        <v>27700</v>
      </c>
      <c r="CU70" s="8">
        <v>28482.206161371105</v>
      </c>
      <c r="CV70" s="8">
        <v>27275.167045867551</v>
      </c>
      <c r="CW70" s="8">
        <v>123000</v>
      </c>
      <c r="CX70" s="8">
        <v>127104.6127607924</v>
      </c>
      <c r="CY70" s="8">
        <v>124855.5804423551</v>
      </c>
      <c r="CZ70" s="8">
        <v>22450</v>
      </c>
      <c r="DA70" s="8">
        <v>22996.249091580692</v>
      </c>
      <c r="DB70" s="8">
        <v>22148.201844716416</v>
      </c>
      <c r="DC70" s="8">
        <v>19855</v>
      </c>
      <c r="DD70" s="8">
        <v>19690.339527196662</v>
      </c>
      <c r="DE70" s="8">
        <v>19184.148969143022</v>
      </c>
      <c r="DF70" s="8">
        <v>51500</v>
      </c>
      <c r="DG70" s="8">
        <v>52186.645864389167</v>
      </c>
      <c r="DH70" s="8">
        <v>50873.306412284925</v>
      </c>
      <c r="DI70" s="8">
        <v>144500</v>
      </c>
      <c r="DJ70" s="8">
        <v>150097.37459488385</v>
      </c>
      <c r="DK70" s="8">
        <v>145639.4640206554</v>
      </c>
      <c r="DL70" s="8">
        <v>22900</v>
      </c>
      <c r="DM70" s="8">
        <v>23541.184554039566</v>
      </c>
      <c r="DN70" s="8">
        <v>22787.418610215725</v>
      </c>
      <c r="DO70" s="8">
        <v>23600</v>
      </c>
      <c r="DP70" s="8">
        <v>24601.729365347495</v>
      </c>
      <c r="DQ70" s="8">
        <v>23746.809781514035</v>
      </c>
      <c r="DR70" s="8">
        <v>4520</v>
      </c>
      <c r="DS70" s="8">
        <v>4515.9877106317508</v>
      </c>
      <c r="DT70" s="8">
        <v>4373.5723074662674</v>
      </c>
      <c r="DU70" s="8">
        <v>156500</v>
      </c>
      <c r="DV70" s="8">
        <v>162007.15574492083</v>
      </c>
      <c r="DW70" s="8">
        <v>157439.77851294423</v>
      </c>
      <c r="DX70" s="8">
        <v>54200</v>
      </c>
      <c r="DY70" s="8">
        <v>54366.632037591764</v>
      </c>
      <c r="DZ70" s="8">
        <v>52218.151752718215</v>
      </c>
      <c r="EA70" s="8">
        <v>11250</v>
      </c>
      <c r="EB70" s="8">
        <v>12010.181635551144</v>
      </c>
      <c r="EC70" s="8">
        <v>11652.46170049023</v>
      </c>
      <c r="ED70" s="8">
        <v>1528000</v>
      </c>
      <c r="EE70" s="8">
        <v>1536876.7417975371</v>
      </c>
      <c r="EF70" s="8">
        <v>1502063.1637016679</v>
      </c>
      <c r="EG70" s="8">
        <v>128000</v>
      </c>
      <c r="EH70" s="8">
        <v>128073.36161858191</v>
      </c>
      <c r="EI70" s="8">
        <v>123560.67560976467</v>
      </c>
      <c r="EJ70" s="8">
        <v>304500</v>
      </c>
      <c r="EK70" s="8">
        <v>292145.30680272134</v>
      </c>
      <c r="EL70" s="8">
        <v>283359.24311411806</v>
      </c>
      <c r="EM70" s="8">
        <v>10950</v>
      </c>
      <c r="EN70" s="8">
        <v>11518.207789532618</v>
      </c>
      <c r="EO70" s="8">
        <v>11197.410877663235</v>
      </c>
      <c r="EP70" s="8">
        <v>43750</v>
      </c>
      <c r="EQ70" s="8">
        <v>45751.991651205819</v>
      </c>
      <c r="ER70" s="8">
        <v>44214.980897607202</v>
      </c>
      <c r="ES70" s="8">
        <v>11350</v>
      </c>
      <c r="ET70" s="8">
        <v>11577.903672836401</v>
      </c>
      <c r="EU70" s="8">
        <v>11110.284741558877</v>
      </c>
      <c r="EV70">
        <v>271000</v>
      </c>
      <c r="EW70">
        <v>290346.85434491921</v>
      </c>
      <c r="EX70">
        <v>277806.02599142311</v>
      </c>
      <c r="EY70">
        <v>29100</v>
      </c>
      <c r="EZ70">
        <v>29571.526319223995</v>
      </c>
      <c r="FA70">
        <v>28763.431307006296</v>
      </c>
      <c r="FB70">
        <v>2350</v>
      </c>
      <c r="FC70">
        <v>2385.5853045745193</v>
      </c>
      <c r="FD70">
        <v>2303.4269597573702</v>
      </c>
      <c r="FE70">
        <v>62400</v>
      </c>
      <c r="FF70">
        <v>63222.433435470222</v>
      </c>
      <c r="FG70">
        <v>61929.756611732519</v>
      </c>
      <c r="FH70">
        <v>40350</v>
      </c>
      <c r="FI70">
        <v>42469.781231231427</v>
      </c>
      <c r="FJ70">
        <v>40284.05604753927</v>
      </c>
      <c r="FK70">
        <v>86100</v>
      </c>
      <c r="FL70">
        <v>85953.732047477592</v>
      </c>
      <c r="FM70">
        <v>83786.767605051267</v>
      </c>
      <c r="FN70">
        <v>33050</v>
      </c>
      <c r="FO70">
        <v>35977.537503997897</v>
      </c>
      <c r="FP70">
        <v>34863.098297328783</v>
      </c>
      <c r="FQ70">
        <v>18000</v>
      </c>
      <c r="FR70">
        <v>18658.056162535682</v>
      </c>
      <c r="FS70">
        <v>17929.278623513575</v>
      </c>
      <c r="FT70">
        <v>884000</v>
      </c>
      <c r="FU70">
        <v>894678.61103727517</v>
      </c>
      <c r="FV70">
        <v>868381.35008407244</v>
      </c>
      <c r="FW70">
        <v>23050</v>
      </c>
      <c r="FX70">
        <v>23280.066347850359</v>
      </c>
      <c r="FY70">
        <v>22426.820066166882</v>
      </c>
      <c r="FZ70">
        <v>31550</v>
      </c>
      <c r="GA70">
        <v>32839.411157330469</v>
      </c>
      <c r="GB70">
        <v>31587.073955450858</v>
      </c>
      <c r="GC70">
        <v>23500</v>
      </c>
      <c r="GD70">
        <v>23706.10777179847</v>
      </c>
      <c r="GE70">
        <v>23152.743501477715</v>
      </c>
      <c r="GF70">
        <v>162000</v>
      </c>
      <c r="GG70">
        <v>166700.00491434574</v>
      </c>
      <c r="GH70">
        <v>161180.50318321309</v>
      </c>
      <c r="GI70">
        <v>3955</v>
      </c>
      <c r="GJ70">
        <v>3574.8595052073433</v>
      </c>
      <c r="GK70">
        <v>3356.1114802764578</v>
      </c>
      <c r="GL70">
        <v>10750</v>
      </c>
      <c r="GM70">
        <v>10876.772596563331</v>
      </c>
      <c r="GN70">
        <v>10353.423711635904</v>
      </c>
      <c r="GO70">
        <v>837000</v>
      </c>
      <c r="GP70">
        <v>848020.37081791041</v>
      </c>
      <c r="GQ70">
        <v>816919.71195646923</v>
      </c>
      <c r="GR70">
        <v>57700</v>
      </c>
      <c r="GS70">
        <v>58116.260543216806</v>
      </c>
      <c r="GT70">
        <v>57301.994286032706</v>
      </c>
      <c r="GU70">
        <v>8170</v>
      </c>
      <c r="GV70">
        <v>8408.7860535592226</v>
      </c>
      <c r="GW70">
        <v>8013.9573028591767</v>
      </c>
      <c r="GX70">
        <v>26150</v>
      </c>
      <c r="GY70">
        <v>26268.604690555589</v>
      </c>
      <c r="GZ70">
        <v>25199.620569643397</v>
      </c>
      <c r="HA70">
        <v>4750</v>
      </c>
      <c r="HB70">
        <v>4914.9395105227513</v>
      </c>
      <c r="HC70">
        <v>4741.9179093771472</v>
      </c>
      <c r="HD70">
        <v>24100</v>
      </c>
      <c r="HE70">
        <v>25380.468106391709</v>
      </c>
      <c r="HF70">
        <v>24198.021885702852</v>
      </c>
      <c r="HG70">
        <v>9970</v>
      </c>
      <c r="HH70">
        <v>10259.26487891613</v>
      </c>
      <c r="HI70">
        <v>9907.6474602694525</v>
      </c>
      <c r="HJ70">
        <v>4600</v>
      </c>
      <c r="HK70">
        <v>4531.929251562442</v>
      </c>
      <c r="HL70">
        <v>4360.6350068818319</v>
      </c>
    </row>
    <row r="71" spans="1:220" x14ac:dyDescent="0.4">
      <c r="A71" s="11">
        <v>41379</v>
      </c>
      <c r="B71" s="8">
        <v>302000</v>
      </c>
      <c r="C71" s="8">
        <v>295203.08078975027</v>
      </c>
      <c r="D71" s="8">
        <v>286983.35945080791</v>
      </c>
      <c r="E71" s="8">
        <v>127000</v>
      </c>
      <c r="F71" s="8">
        <v>126655.00420482943</v>
      </c>
      <c r="G71" s="8">
        <v>123933.84321107774</v>
      </c>
      <c r="H71" s="8">
        <v>66100</v>
      </c>
      <c r="I71" s="8">
        <v>72001.117094655725</v>
      </c>
      <c r="J71" s="8">
        <v>68462.373774111125</v>
      </c>
      <c r="K71" s="8">
        <v>60600</v>
      </c>
      <c r="L71" s="8">
        <v>61812.882560480721</v>
      </c>
      <c r="M71" s="8">
        <v>59386.264532494584</v>
      </c>
      <c r="N71" s="8">
        <v>242000</v>
      </c>
      <c r="O71" s="8">
        <v>246713.13176252632</v>
      </c>
      <c r="P71" s="8">
        <v>240682.24029104339</v>
      </c>
      <c r="Q71" s="8">
        <v>73400</v>
      </c>
      <c r="R71" s="8">
        <v>76217.94163058768</v>
      </c>
      <c r="S71" s="8">
        <v>74197.162613619425</v>
      </c>
      <c r="T71" s="8">
        <v>17900</v>
      </c>
      <c r="U71" s="8">
        <v>16830.358033358065</v>
      </c>
      <c r="V71" s="8">
        <v>16198.730327067187</v>
      </c>
      <c r="W71" s="8">
        <v>14400</v>
      </c>
      <c r="X71" s="8">
        <v>15220.07516447273</v>
      </c>
      <c r="Y71" s="8">
        <v>14704.444353818068</v>
      </c>
      <c r="Z71" s="8">
        <v>21950</v>
      </c>
      <c r="AA71" s="8">
        <v>22036.084212431684</v>
      </c>
      <c r="AB71" s="8">
        <v>21135.68225560895</v>
      </c>
      <c r="AC71" s="8">
        <v>12650</v>
      </c>
      <c r="AD71" s="8">
        <v>13867.894199863156</v>
      </c>
      <c r="AE71" s="8">
        <v>13417.672438857075</v>
      </c>
      <c r="AF71" s="8">
        <v>49750</v>
      </c>
      <c r="AG71" s="8">
        <v>47986.252837466403</v>
      </c>
      <c r="AH71" s="8">
        <v>45818.395149907148</v>
      </c>
      <c r="AI71" s="8">
        <v>42800</v>
      </c>
      <c r="AJ71" s="8">
        <v>42731.531662346148</v>
      </c>
      <c r="AK71" s="8">
        <v>41724.559259116599</v>
      </c>
      <c r="AL71" s="8">
        <v>8730</v>
      </c>
      <c r="AM71" s="8">
        <v>8743.6984842105248</v>
      </c>
      <c r="AN71" s="8">
        <v>8331.6304031855889</v>
      </c>
      <c r="AO71" s="8">
        <v>15100</v>
      </c>
      <c r="AP71" s="8">
        <v>15405.60180336064</v>
      </c>
      <c r="AQ71" s="8">
        <v>14808.901327642821</v>
      </c>
      <c r="AR71" s="8">
        <v>22100</v>
      </c>
      <c r="AS71" s="8">
        <v>22477.147584953567</v>
      </c>
      <c r="AT71" s="8">
        <v>21727.677316351561</v>
      </c>
      <c r="AU71" s="8">
        <v>162500</v>
      </c>
      <c r="AV71" s="8">
        <v>166086.12905893003</v>
      </c>
      <c r="AW71" s="8">
        <v>160542.4388392386</v>
      </c>
      <c r="AX71" s="8">
        <v>568000</v>
      </c>
      <c r="AY71" s="8">
        <v>586519.22916385776</v>
      </c>
      <c r="AZ71" s="8">
        <v>571232.93361888698</v>
      </c>
      <c r="BA71" s="8">
        <v>191000</v>
      </c>
      <c r="BB71" s="8">
        <v>189781.28734651548</v>
      </c>
      <c r="BC71" s="8">
        <v>185526.05423826692</v>
      </c>
      <c r="BD71" s="8">
        <v>29000</v>
      </c>
      <c r="BE71" s="8">
        <v>29539.732213715532</v>
      </c>
      <c r="BF71" s="8">
        <v>28355.82821858436</v>
      </c>
      <c r="BG71" s="8">
        <v>29300</v>
      </c>
      <c r="BH71" s="8">
        <v>30103.568764973927</v>
      </c>
      <c r="BI71" s="8">
        <v>28979.387490405541</v>
      </c>
      <c r="BJ71" s="8">
        <v>74200</v>
      </c>
      <c r="BK71" s="8">
        <v>76317.789773087818</v>
      </c>
      <c r="BL71" s="8">
        <v>74242.102131612555</v>
      </c>
      <c r="BM71" s="8">
        <v>1204000</v>
      </c>
      <c r="BN71" s="8">
        <v>1207529.8985410603</v>
      </c>
      <c r="BO71" s="8">
        <v>1172403.8279967343</v>
      </c>
      <c r="BP71" s="8">
        <v>32750</v>
      </c>
      <c r="BQ71" s="8">
        <v>33172.344468807205</v>
      </c>
      <c r="BR71" s="8">
        <v>31657.593133827795</v>
      </c>
      <c r="BS71" s="8">
        <v>143000</v>
      </c>
      <c r="BT71" s="8">
        <v>143927.45950498819</v>
      </c>
      <c r="BU71" s="8">
        <v>139348.04197326701</v>
      </c>
      <c r="BV71" s="8">
        <v>39450</v>
      </c>
      <c r="BW71" s="8">
        <v>40122.970578173466</v>
      </c>
      <c r="BX71" s="8">
        <v>38694.911616932244</v>
      </c>
      <c r="BY71" s="8">
        <v>19450</v>
      </c>
      <c r="BZ71" s="8">
        <v>18271.150232672651</v>
      </c>
      <c r="CA71" s="8">
        <v>17363.108145169812</v>
      </c>
      <c r="CB71" s="8">
        <v>97000</v>
      </c>
      <c r="CC71" s="8">
        <v>98818.425354517211</v>
      </c>
      <c r="CD71" s="8">
        <v>95959.462267344614</v>
      </c>
      <c r="CE71" s="8">
        <v>17500</v>
      </c>
      <c r="CF71" s="8">
        <v>17504.941652376172</v>
      </c>
      <c r="CG71" s="8">
        <v>17010.99204524589</v>
      </c>
      <c r="CH71" s="8">
        <v>54900</v>
      </c>
      <c r="CI71" s="8">
        <v>56261.802805944193</v>
      </c>
      <c r="CJ71" s="8">
        <v>54482.81889576868</v>
      </c>
      <c r="CK71" s="8">
        <v>324000</v>
      </c>
      <c r="CL71" s="8">
        <v>322489.39782224753</v>
      </c>
      <c r="CM71" s="8">
        <v>317856.12137023307</v>
      </c>
      <c r="CN71" s="8">
        <v>88200</v>
      </c>
      <c r="CO71" s="8">
        <v>86972.851908747471</v>
      </c>
      <c r="CP71" s="8">
        <v>84667.089001681452</v>
      </c>
      <c r="CQ71" s="8">
        <v>89100</v>
      </c>
      <c r="CR71" s="8">
        <v>88439.822973555696</v>
      </c>
      <c r="CS71" s="8">
        <v>86926.932849320889</v>
      </c>
      <c r="CT71" s="8">
        <v>27950</v>
      </c>
      <c r="CU71" s="8">
        <v>27616.021000828547</v>
      </c>
      <c r="CV71" s="8">
        <v>26445.689693846565</v>
      </c>
      <c r="CW71" s="8">
        <v>126000</v>
      </c>
      <c r="CX71" s="8">
        <v>128113.37952873508</v>
      </c>
      <c r="CY71" s="8">
        <v>125846.49774745305</v>
      </c>
      <c r="CZ71" s="8">
        <v>22500</v>
      </c>
      <c r="DA71" s="8">
        <v>22280.810230953753</v>
      </c>
      <c r="DB71" s="8">
        <v>21459.146676214143</v>
      </c>
      <c r="DC71" s="8">
        <v>19381</v>
      </c>
      <c r="DD71" s="8">
        <v>19021.837210035737</v>
      </c>
      <c r="DE71" s="8">
        <v>18532.832214502057</v>
      </c>
      <c r="DF71" s="8">
        <v>51400</v>
      </c>
      <c r="DG71" s="8">
        <v>52897.358940363316</v>
      </c>
      <c r="DH71" s="8">
        <v>51566.133542413299</v>
      </c>
      <c r="DI71" s="8">
        <v>147500</v>
      </c>
      <c r="DJ71" s="8">
        <v>149079.76527559635</v>
      </c>
      <c r="DK71" s="8">
        <v>144652.07782390504</v>
      </c>
      <c r="DL71" s="8">
        <v>23100</v>
      </c>
      <c r="DM71" s="8">
        <v>23846.914223572563</v>
      </c>
      <c r="DN71" s="8">
        <v>23083.359111647111</v>
      </c>
      <c r="DO71" s="8">
        <v>24200</v>
      </c>
      <c r="DP71" s="8">
        <v>24906.709481446822</v>
      </c>
      <c r="DQ71" s="8">
        <v>24041.19172095427</v>
      </c>
      <c r="DR71" s="8">
        <v>4435</v>
      </c>
      <c r="DS71" s="8">
        <v>4480.348574245706</v>
      </c>
      <c r="DT71" s="8">
        <v>4339.0570806880669</v>
      </c>
      <c r="DU71" s="8">
        <v>159500</v>
      </c>
      <c r="DV71" s="8">
        <v>174195.78188246969</v>
      </c>
      <c r="DW71" s="8">
        <v>169284.77752332244</v>
      </c>
      <c r="DX71" s="8">
        <v>53200</v>
      </c>
      <c r="DY71" s="8">
        <v>53242.509946588871</v>
      </c>
      <c r="DZ71" s="8">
        <v>51138.453126252185</v>
      </c>
      <c r="EA71" s="8">
        <v>11850</v>
      </c>
      <c r="EB71" s="8">
        <v>11908.829891791214</v>
      </c>
      <c r="EC71" s="8">
        <v>11554.128690359506</v>
      </c>
      <c r="ED71" s="8">
        <v>1523000</v>
      </c>
      <c r="EE71" s="8">
        <v>1530822.073083957</v>
      </c>
      <c r="EF71" s="8">
        <v>1496145.6463134817</v>
      </c>
      <c r="EG71" s="8">
        <v>126000</v>
      </c>
      <c r="EH71" s="8">
        <v>129598.04449499342</v>
      </c>
      <c r="EI71" s="8">
        <v>125031.63603369027</v>
      </c>
      <c r="EJ71" s="8">
        <v>287500</v>
      </c>
      <c r="EK71" s="8">
        <v>296718.01595267694</v>
      </c>
      <c r="EL71" s="8">
        <v>287794.43126720854</v>
      </c>
      <c r="EM71" s="8">
        <v>11350</v>
      </c>
      <c r="EN71" s="8">
        <v>11518.207789532618</v>
      </c>
      <c r="EO71" s="8">
        <v>11197.410877663235</v>
      </c>
      <c r="EP71" s="8">
        <v>44800</v>
      </c>
      <c r="EQ71" s="8">
        <v>45956.241613934428</v>
      </c>
      <c r="ER71" s="8">
        <v>44412.369205185816</v>
      </c>
      <c r="ES71" s="8">
        <v>11350</v>
      </c>
      <c r="ET71" s="8">
        <v>11577.903672836401</v>
      </c>
      <c r="EU71" s="8">
        <v>11110.284741558877</v>
      </c>
      <c r="EV71">
        <v>285000</v>
      </c>
      <c r="EW71">
        <v>337719.23584330064</v>
      </c>
      <c r="EX71">
        <v>323132.27233739203</v>
      </c>
      <c r="EY71">
        <v>29150</v>
      </c>
      <c r="EZ71">
        <v>29216.46511127449</v>
      </c>
      <c r="FA71">
        <v>28418.072783594569</v>
      </c>
      <c r="FB71">
        <v>2345</v>
      </c>
      <c r="FC71">
        <v>2395.7583762358186</v>
      </c>
      <c r="FD71">
        <v>2313.2496760036706</v>
      </c>
      <c r="FE71">
        <v>62800</v>
      </c>
      <c r="FF71">
        <v>63121.760770764027</v>
      </c>
      <c r="FG71">
        <v>61831.142349611895</v>
      </c>
      <c r="FH71">
        <v>41300</v>
      </c>
      <c r="FI71">
        <v>43703.770032138877</v>
      </c>
      <c r="FJ71">
        <v>41454.537094925392</v>
      </c>
      <c r="FK71">
        <v>85000</v>
      </c>
      <c r="FL71">
        <v>86155.976122883352</v>
      </c>
      <c r="FM71">
        <v>83983.912940592505</v>
      </c>
      <c r="FN71">
        <v>35550</v>
      </c>
      <c r="FO71">
        <v>37546.178379699602</v>
      </c>
      <c r="FP71">
        <v>36383.148996649703</v>
      </c>
      <c r="FQ71">
        <v>18200</v>
      </c>
      <c r="FR71">
        <v>18863.089746739377</v>
      </c>
      <c r="FS71">
        <v>18126.303663332415</v>
      </c>
      <c r="FT71">
        <v>882000</v>
      </c>
      <c r="FU71">
        <v>901779.23493439553</v>
      </c>
      <c r="FV71">
        <v>875273.26556092931</v>
      </c>
      <c r="FW71">
        <v>22950</v>
      </c>
      <c r="FX71">
        <v>22671.437162285671</v>
      </c>
      <c r="FY71">
        <v>21840.497972933787</v>
      </c>
      <c r="FZ71">
        <v>32300</v>
      </c>
      <c r="GA71">
        <v>33144.42116807968</v>
      </c>
      <c r="GB71">
        <v>31880.452351321925</v>
      </c>
      <c r="GC71">
        <v>23500</v>
      </c>
      <c r="GD71">
        <v>23201.722500058062</v>
      </c>
      <c r="GE71">
        <v>22660.131937616472</v>
      </c>
      <c r="GF71">
        <v>164000</v>
      </c>
      <c r="GG71">
        <v>165683.54146974633</v>
      </c>
      <c r="GH71">
        <v>160197.69523697422</v>
      </c>
      <c r="GI71">
        <v>3440</v>
      </c>
      <c r="GJ71">
        <v>3398.1949366360482</v>
      </c>
      <c r="GK71">
        <v>3190.2571338674447</v>
      </c>
      <c r="GL71">
        <v>10600</v>
      </c>
      <c r="GM71">
        <v>10312.411754288829</v>
      </c>
      <c r="GN71">
        <v>9816.217764334051</v>
      </c>
      <c r="GO71">
        <v>835000</v>
      </c>
      <c r="GP71">
        <v>821614.94609783113</v>
      </c>
      <c r="GQ71">
        <v>791482.69098536891</v>
      </c>
      <c r="GR71">
        <v>57800</v>
      </c>
      <c r="GS71">
        <v>58618.996361064623</v>
      </c>
      <c r="GT71">
        <v>57797.686278126341</v>
      </c>
      <c r="GU71">
        <v>8200</v>
      </c>
      <c r="GV71">
        <v>8121.6567736815941</v>
      </c>
      <c r="GW71">
        <v>7740.3099803225259</v>
      </c>
      <c r="GX71">
        <v>25650</v>
      </c>
      <c r="GY71">
        <v>25500.516834106595</v>
      </c>
      <c r="GZ71">
        <v>24462.789558835109</v>
      </c>
      <c r="HA71">
        <v>4820</v>
      </c>
      <c r="HB71">
        <v>4986.3183000946601</v>
      </c>
      <c r="HC71">
        <v>4810.783937106693</v>
      </c>
      <c r="HD71">
        <v>24700</v>
      </c>
      <c r="HE71">
        <v>25894.242764415831</v>
      </c>
      <c r="HF71">
        <v>24687.860385413431</v>
      </c>
      <c r="HG71">
        <v>10100</v>
      </c>
      <c r="HH71">
        <v>10259.26487891613</v>
      </c>
      <c r="HI71">
        <v>9907.6474602694525</v>
      </c>
      <c r="HJ71">
        <v>4455</v>
      </c>
      <c r="HK71">
        <v>4531.929251562442</v>
      </c>
      <c r="HL71">
        <v>4360.6350068818319</v>
      </c>
    </row>
    <row r="72" spans="1:220" x14ac:dyDescent="0.4">
      <c r="A72" s="11">
        <v>41376</v>
      </c>
      <c r="B72" s="8">
        <v>290000</v>
      </c>
      <c r="C72" s="8">
        <v>285939.81170289952</v>
      </c>
      <c r="D72" s="8">
        <v>277978.01955079986</v>
      </c>
      <c r="E72" s="8">
        <v>125000</v>
      </c>
      <c r="F72" s="8">
        <v>129694.72430574548</v>
      </c>
      <c r="G72" s="8">
        <v>126908.25544814374</v>
      </c>
      <c r="H72" s="8">
        <v>70800</v>
      </c>
      <c r="I72" s="8">
        <v>76882.548762090111</v>
      </c>
      <c r="J72" s="8">
        <v>73103.890640152647</v>
      </c>
      <c r="K72" s="8">
        <v>60500</v>
      </c>
      <c r="L72" s="8">
        <v>58952.121053549374</v>
      </c>
      <c r="M72" s="8">
        <v>56637.809314461767</v>
      </c>
      <c r="N72" s="8">
        <v>243500</v>
      </c>
      <c r="O72" s="8">
        <v>257858.28350539197</v>
      </c>
      <c r="P72" s="8">
        <v>251554.94929803096</v>
      </c>
      <c r="Q72" s="8">
        <v>75000</v>
      </c>
      <c r="R72" s="8">
        <v>74693.58279797592</v>
      </c>
      <c r="S72" s="8">
        <v>72713.21936134703</v>
      </c>
      <c r="T72" s="8">
        <v>16500</v>
      </c>
      <c r="U72" s="8">
        <v>16422.349353761529</v>
      </c>
      <c r="V72" s="8">
        <v>15806.033834289821</v>
      </c>
      <c r="W72" s="8">
        <v>14950</v>
      </c>
      <c r="X72" s="8">
        <v>15118.268641633456</v>
      </c>
      <c r="Y72" s="8">
        <v>14606.086866501568</v>
      </c>
      <c r="Z72" s="8">
        <v>21550</v>
      </c>
      <c r="AA72" s="8">
        <v>22036.084212431684</v>
      </c>
      <c r="AB72" s="8">
        <v>21135.68225560895</v>
      </c>
      <c r="AC72" s="8">
        <v>13700</v>
      </c>
      <c r="AD72" s="8">
        <v>14171.570715188631</v>
      </c>
      <c r="AE72" s="8">
        <v>13711.490083503584</v>
      </c>
      <c r="AF72" s="8">
        <v>47100</v>
      </c>
      <c r="AG72" s="8">
        <v>47731.548735356744</v>
      </c>
      <c r="AH72" s="8">
        <v>45575.197723421479</v>
      </c>
      <c r="AI72" s="8">
        <v>42150</v>
      </c>
      <c r="AJ72" s="8">
        <v>41768.424780276713</v>
      </c>
      <c r="AK72" s="8">
        <v>40784.148077713071</v>
      </c>
      <c r="AL72" s="8">
        <v>8480</v>
      </c>
      <c r="AM72" s="8">
        <v>8754.0094494041732</v>
      </c>
      <c r="AN72" s="8">
        <v>8341.4554390384055</v>
      </c>
      <c r="AO72" s="8">
        <v>15050</v>
      </c>
      <c r="AP72" s="8">
        <v>15763.871612741132</v>
      </c>
      <c r="AQ72" s="8">
        <v>15153.294381774062</v>
      </c>
      <c r="AR72" s="8">
        <v>22100</v>
      </c>
      <c r="AS72" s="8">
        <v>23646.772911772434</v>
      </c>
      <c r="AT72" s="8">
        <v>22858.303059057653</v>
      </c>
      <c r="AU72" s="8">
        <v>164000</v>
      </c>
      <c r="AV72" s="8">
        <v>177732.41249903795</v>
      </c>
      <c r="AW72" s="8">
        <v>171799.98790418523</v>
      </c>
      <c r="AX72" s="8">
        <v>579000</v>
      </c>
      <c r="AY72" s="8">
        <v>597662.08153139288</v>
      </c>
      <c r="AZ72" s="8">
        <v>582085.37277226883</v>
      </c>
      <c r="BA72" s="8">
        <v>188000</v>
      </c>
      <c r="BB72" s="8">
        <v>201894.98653884619</v>
      </c>
      <c r="BC72" s="8">
        <v>197368.14280666687</v>
      </c>
      <c r="BD72" s="8">
        <v>28850</v>
      </c>
      <c r="BE72" s="8">
        <v>29283.755331447646</v>
      </c>
      <c r="BF72" s="8">
        <v>28110.110469723157</v>
      </c>
      <c r="BG72" s="8">
        <v>29450</v>
      </c>
      <c r="BH72" s="8">
        <v>29643.582145475208</v>
      </c>
      <c r="BI72" s="8">
        <v>28536.578513472377</v>
      </c>
      <c r="BJ72" s="8">
        <v>75500</v>
      </c>
      <c r="BK72" s="8">
        <v>77530.787756236139</v>
      </c>
      <c r="BL72" s="8">
        <v>75422.109052909625</v>
      </c>
      <c r="BM72" s="8">
        <v>1191000</v>
      </c>
      <c r="BN72" s="8">
        <v>1192321.7134208961</v>
      </c>
      <c r="BO72" s="8">
        <v>1157638.0367121408</v>
      </c>
      <c r="BP72" s="8">
        <v>32300</v>
      </c>
      <c r="BQ72" s="8">
        <v>32864.242198199114</v>
      </c>
      <c r="BR72" s="8">
        <v>31363.559761067809</v>
      </c>
      <c r="BS72" s="8">
        <v>142000</v>
      </c>
      <c r="BT72" s="8">
        <v>141393.52535877342</v>
      </c>
      <c r="BU72" s="8">
        <v>136894.73137514593</v>
      </c>
      <c r="BV72" s="8">
        <v>39450</v>
      </c>
      <c r="BW72" s="8">
        <v>37326.058814168944</v>
      </c>
      <c r="BX72" s="8">
        <v>35997.547689262661</v>
      </c>
      <c r="BY72" s="8">
        <v>17700</v>
      </c>
      <c r="BZ72" s="8">
        <v>18322.763651409037</v>
      </c>
      <c r="CA72" s="8">
        <v>17412.156473263534</v>
      </c>
      <c r="CB72" s="8">
        <v>97500</v>
      </c>
      <c r="CC72" s="8">
        <v>97399.494118657545</v>
      </c>
      <c r="CD72" s="8">
        <v>94581.582809146916</v>
      </c>
      <c r="CE72" s="8">
        <v>17300</v>
      </c>
      <c r="CF72" s="8">
        <v>18010.864821519997</v>
      </c>
      <c r="CG72" s="8">
        <v>17502.63921418364</v>
      </c>
      <c r="CH72" s="8">
        <v>55200</v>
      </c>
      <c r="CI72" s="8">
        <v>55854.108582712703</v>
      </c>
      <c r="CJ72" s="8">
        <v>54088.015860292078</v>
      </c>
      <c r="CK72" s="8">
        <v>320500</v>
      </c>
      <c r="CL72" s="8">
        <v>323998.70857648569</v>
      </c>
      <c r="CM72" s="8">
        <v>319343.74752329173</v>
      </c>
      <c r="CN72" s="8">
        <v>85500</v>
      </c>
      <c r="CO72" s="8">
        <v>88396.96878210704</v>
      </c>
      <c r="CP72" s="8">
        <v>86053.450692937011</v>
      </c>
      <c r="CQ72" s="8">
        <v>88000</v>
      </c>
      <c r="CR72" s="8">
        <v>90047.819754893004</v>
      </c>
      <c r="CS72" s="8">
        <v>88507.422537490289</v>
      </c>
      <c r="CT72" s="8">
        <v>27100</v>
      </c>
      <c r="CU72" s="8">
        <v>27616.021000828547</v>
      </c>
      <c r="CV72" s="8">
        <v>26445.689693846565</v>
      </c>
      <c r="CW72" s="8">
        <v>127000</v>
      </c>
      <c r="CX72" s="8">
        <v>129626.52968064943</v>
      </c>
      <c r="CY72" s="8">
        <v>127332.87370510027</v>
      </c>
      <c r="CZ72" s="8">
        <v>21800</v>
      </c>
      <c r="DA72" s="8">
        <v>21360.960267290528</v>
      </c>
      <c r="DB72" s="8">
        <v>20573.218602425488</v>
      </c>
      <c r="DC72" s="8">
        <v>18723</v>
      </c>
      <c r="DD72" s="8">
        <v>18887.730362216233</v>
      </c>
      <c r="DE72" s="8">
        <v>18402.172926337011</v>
      </c>
      <c r="DF72" s="8">
        <v>52100</v>
      </c>
      <c r="DG72" s="8">
        <v>54014.19377403707</v>
      </c>
      <c r="DH72" s="8">
        <v>52654.861889757973</v>
      </c>
      <c r="DI72" s="8">
        <v>146500</v>
      </c>
      <c r="DJ72" s="8">
        <v>150097.37459488385</v>
      </c>
      <c r="DK72" s="8">
        <v>145639.4640206554</v>
      </c>
      <c r="DL72" s="8">
        <v>23400</v>
      </c>
      <c r="DM72" s="8">
        <v>24254.55378294985</v>
      </c>
      <c r="DN72" s="8">
        <v>23477.946446888924</v>
      </c>
      <c r="DO72" s="8">
        <v>24500</v>
      </c>
      <c r="DP72" s="8">
        <v>26990.740274792384</v>
      </c>
      <c r="DQ72" s="8">
        <v>26052.801640462698</v>
      </c>
      <c r="DR72" s="8">
        <v>4400</v>
      </c>
      <c r="DS72" s="8">
        <v>4663.6355613739388</v>
      </c>
      <c r="DT72" s="8">
        <v>4516.5639612616696</v>
      </c>
      <c r="DU72" s="8">
        <v>171500</v>
      </c>
      <c r="DV72" s="8">
        <v>175719.36014966315</v>
      </c>
      <c r="DW72" s="8">
        <v>170765.40239961958</v>
      </c>
      <c r="DX72" s="8">
        <v>52100</v>
      </c>
      <c r="DY72" s="8">
        <v>51096.458681947122</v>
      </c>
      <c r="DZ72" s="8">
        <v>49077.210293908072</v>
      </c>
      <c r="EA72" s="8">
        <v>11750</v>
      </c>
      <c r="EB72" s="8">
        <v>12314.236866830901</v>
      </c>
      <c r="EC72" s="8">
        <v>11947.460730882371</v>
      </c>
      <c r="ED72" s="8">
        <v>1517000</v>
      </c>
      <c r="EE72" s="8">
        <v>1554031.6364860197</v>
      </c>
      <c r="EF72" s="8">
        <v>1518829.4629682004</v>
      </c>
      <c r="EG72" s="8">
        <v>127500</v>
      </c>
      <c r="EH72" s="8">
        <v>127565.13399311117</v>
      </c>
      <c r="EI72" s="8">
        <v>123070.35546845591</v>
      </c>
      <c r="EJ72" s="8">
        <v>292000</v>
      </c>
      <c r="EK72" s="8">
        <v>284524.12488612847</v>
      </c>
      <c r="EL72" s="8">
        <v>275967.26285896701</v>
      </c>
      <c r="EM72" s="8">
        <v>11350</v>
      </c>
      <c r="EN72" s="8">
        <v>11467.466786054512</v>
      </c>
      <c r="EO72" s="8">
        <v>11148.08307644006</v>
      </c>
      <c r="EP72" s="8">
        <v>45000</v>
      </c>
      <c r="EQ72" s="8">
        <v>44577.554365516378</v>
      </c>
      <c r="ER72" s="8">
        <v>43079.998129030224</v>
      </c>
      <c r="ES72" s="8">
        <v>11350</v>
      </c>
      <c r="ET72" s="8">
        <v>11781.919596586826</v>
      </c>
      <c r="EU72" s="8">
        <v>11306.060684141416</v>
      </c>
      <c r="EV72">
        <v>331500</v>
      </c>
      <c r="EW72">
        <v>347397.464321465</v>
      </c>
      <c r="EX72">
        <v>332392.47320377314</v>
      </c>
      <c r="EY72">
        <v>28800</v>
      </c>
      <c r="EZ72">
        <v>29419.357230102803</v>
      </c>
      <c r="FA72">
        <v>28615.420511258439</v>
      </c>
      <c r="FB72">
        <v>2355</v>
      </c>
      <c r="FC72">
        <v>2365.2391612519218</v>
      </c>
      <c r="FD72">
        <v>2283.7815272647695</v>
      </c>
      <c r="FE72">
        <v>62700</v>
      </c>
      <c r="FF72">
        <v>64128.487417825687</v>
      </c>
      <c r="FG72">
        <v>62817.284970817855</v>
      </c>
      <c r="FH72">
        <v>42500</v>
      </c>
      <c r="FI72">
        <v>42675.446031382671</v>
      </c>
      <c r="FJ72">
        <v>40479.136222103625</v>
      </c>
      <c r="FK72">
        <v>85200</v>
      </c>
      <c r="FL72">
        <v>87571.684650724259</v>
      </c>
      <c r="FM72">
        <v>85363.930289381678</v>
      </c>
      <c r="FN72">
        <v>37100</v>
      </c>
      <c r="FO72">
        <v>37748.583653983718</v>
      </c>
      <c r="FP72">
        <v>36579.284570755655</v>
      </c>
      <c r="FQ72">
        <v>18400</v>
      </c>
      <c r="FR72">
        <v>19221.898519095808</v>
      </c>
      <c r="FS72">
        <v>18471.097483015343</v>
      </c>
      <c r="FT72">
        <v>889000</v>
      </c>
      <c r="FU72">
        <v>911922.98335885408</v>
      </c>
      <c r="FV72">
        <v>885118.8590992972</v>
      </c>
      <c r="FW72">
        <v>22350</v>
      </c>
      <c r="FX72">
        <v>22620.718063488606</v>
      </c>
      <c r="FY72">
        <v>21791.63779849769</v>
      </c>
      <c r="FZ72">
        <v>32600</v>
      </c>
      <c r="GA72">
        <v>33195.256169871231</v>
      </c>
      <c r="GB72">
        <v>31929.348750633791</v>
      </c>
      <c r="GC72">
        <v>23000</v>
      </c>
      <c r="GD72">
        <v>23050.406918535966</v>
      </c>
      <c r="GE72">
        <v>22512.348468458124</v>
      </c>
      <c r="GF72">
        <v>163000</v>
      </c>
      <c r="GG72">
        <v>166191.77319204615</v>
      </c>
      <c r="GH72">
        <v>160689.09921009376</v>
      </c>
      <c r="GI72">
        <v>3270</v>
      </c>
      <c r="GJ72">
        <v>3486.5272209216951</v>
      </c>
      <c r="GK72">
        <v>3273.1843070719506</v>
      </c>
      <c r="GL72">
        <v>10050</v>
      </c>
      <c r="GM72">
        <v>10363.717285404688</v>
      </c>
      <c r="GN72">
        <v>9865.054668634215</v>
      </c>
      <c r="GO72">
        <v>809000</v>
      </c>
      <c r="GP72">
        <v>813490.20003011532</v>
      </c>
      <c r="GQ72">
        <v>783655.91530195426</v>
      </c>
      <c r="GR72">
        <v>58300</v>
      </c>
      <c r="GS72">
        <v>59222.279342482099</v>
      </c>
      <c r="GT72">
        <v>58392.516668638789</v>
      </c>
      <c r="GU72">
        <v>7920</v>
      </c>
      <c r="GV72">
        <v>8295.9852650358735</v>
      </c>
      <c r="GW72">
        <v>7906.4529975769265</v>
      </c>
      <c r="GX72">
        <v>24900</v>
      </c>
      <c r="GY72">
        <v>25398.105119913384</v>
      </c>
      <c r="GZ72">
        <v>24364.545424060663</v>
      </c>
      <c r="HA72">
        <v>4890</v>
      </c>
      <c r="HB72">
        <v>4986.3183000946601</v>
      </c>
      <c r="HC72">
        <v>4810.783937106693</v>
      </c>
      <c r="HD72">
        <v>25200</v>
      </c>
      <c r="HE72">
        <v>26767.659683056834</v>
      </c>
      <c r="HF72">
        <v>25520.585834921418</v>
      </c>
      <c r="HG72">
        <v>10100</v>
      </c>
      <c r="HH72">
        <v>10614.783958878576</v>
      </c>
      <c r="HI72">
        <v>10250.981778199586</v>
      </c>
      <c r="HJ72">
        <v>4455</v>
      </c>
      <c r="HK72">
        <v>4491.238528765025</v>
      </c>
      <c r="HL72">
        <v>4321.4822795473146</v>
      </c>
    </row>
    <row r="73" spans="1:220" x14ac:dyDescent="0.4">
      <c r="A73" s="11">
        <v>41375</v>
      </c>
      <c r="B73" s="8">
        <v>280900</v>
      </c>
      <c r="C73" s="8">
        <v>283903.92838710808</v>
      </c>
      <c r="D73" s="8">
        <v>275998.8239683804</v>
      </c>
      <c r="E73" s="8">
        <v>128000</v>
      </c>
      <c r="F73" s="8">
        <v>128174.86425528745</v>
      </c>
      <c r="G73" s="8">
        <v>125421.04932961073</v>
      </c>
      <c r="H73" s="8">
        <v>75600</v>
      </c>
      <c r="I73" s="8">
        <v>74340.136435301305</v>
      </c>
      <c r="J73" s="8">
        <v>70686.433939089286</v>
      </c>
      <c r="K73" s="8">
        <v>57700</v>
      </c>
      <c r="L73" s="8">
        <v>58441.270784454522</v>
      </c>
      <c r="M73" s="8">
        <v>56147.013739813083</v>
      </c>
      <c r="N73" s="8">
        <v>254500</v>
      </c>
      <c r="O73" s="8">
        <v>256845.08789240432</v>
      </c>
      <c r="P73" s="8">
        <v>250566.52120648677</v>
      </c>
      <c r="Q73" s="8">
        <v>73500</v>
      </c>
      <c r="R73" s="8">
        <v>74998.454564498345</v>
      </c>
      <c r="S73" s="8">
        <v>73010.008011801576</v>
      </c>
      <c r="T73" s="8">
        <v>16100</v>
      </c>
      <c r="U73" s="8">
        <v>16575.352608610232</v>
      </c>
      <c r="V73" s="8">
        <v>15953.295019081335</v>
      </c>
      <c r="W73" s="8">
        <v>14850</v>
      </c>
      <c r="X73" s="8">
        <v>14660.139288856673</v>
      </c>
      <c r="Y73" s="8">
        <v>14163.478173577265</v>
      </c>
      <c r="Z73" s="8">
        <v>21550</v>
      </c>
      <c r="AA73" s="8">
        <v>21422.550545264174</v>
      </c>
      <c r="AB73" s="8">
        <v>20547.217784455068</v>
      </c>
      <c r="AC73" s="8">
        <v>14000</v>
      </c>
      <c r="AD73" s="8">
        <v>14272.796220297128</v>
      </c>
      <c r="AE73" s="8">
        <v>13809.429298385759</v>
      </c>
      <c r="AF73" s="8">
        <v>46850</v>
      </c>
      <c r="AG73" s="8">
        <v>45388.27099594754</v>
      </c>
      <c r="AH73" s="8">
        <v>43337.781399752959</v>
      </c>
      <c r="AI73" s="8">
        <v>41200</v>
      </c>
      <c r="AJ73" s="8">
        <v>40856.007734105558</v>
      </c>
      <c r="AK73" s="8">
        <v>39893.23222164646</v>
      </c>
      <c r="AL73" s="8">
        <v>8490</v>
      </c>
      <c r="AM73" s="8">
        <v>8331.2598764647501</v>
      </c>
      <c r="AN73" s="8">
        <v>7938.6289690730655</v>
      </c>
      <c r="AO73" s="8">
        <v>15400</v>
      </c>
      <c r="AP73" s="8">
        <v>15763.871612741132</v>
      </c>
      <c r="AQ73" s="8">
        <v>15153.294381774062</v>
      </c>
      <c r="AR73" s="8">
        <v>23250</v>
      </c>
      <c r="AS73" s="8">
        <v>23545.066361614285</v>
      </c>
      <c r="AT73" s="8">
        <v>22759.987777083221</v>
      </c>
      <c r="AU73" s="8">
        <v>175500</v>
      </c>
      <c r="AV73" s="8">
        <v>184315.09444344681</v>
      </c>
      <c r="AW73" s="8">
        <v>178162.9504191551</v>
      </c>
      <c r="AX73" s="8">
        <v>590000</v>
      </c>
      <c r="AY73" s="8">
        <v>587532.21574272483</v>
      </c>
      <c r="AZ73" s="8">
        <v>572219.51899646746</v>
      </c>
      <c r="BA73" s="8">
        <v>200000</v>
      </c>
      <c r="BB73" s="8">
        <v>203409.1989378875</v>
      </c>
      <c r="BC73" s="8">
        <v>198848.40387771683</v>
      </c>
      <c r="BD73" s="8">
        <v>28600</v>
      </c>
      <c r="BE73" s="8">
        <v>29693.318343076291</v>
      </c>
      <c r="BF73" s="8">
        <v>28503.258867901106</v>
      </c>
      <c r="BG73" s="8">
        <v>29000</v>
      </c>
      <c r="BH73" s="8">
        <v>28774.718530866456</v>
      </c>
      <c r="BI73" s="8">
        <v>27700.161557043022</v>
      </c>
      <c r="BJ73" s="8">
        <v>76700</v>
      </c>
      <c r="BK73" s="8">
        <v>78541.619408859828</v>
      </c>
      <c r="BL73" s="8">
        <v>76405.448153990597</v>
      </c>
      <c r="BM73" s="8">
        <v>1176000</v>
      </c>
      <c r="BN73" s="8">
        <v>1135544.4889722818</v>
      </c>
      <c r="BO73" s="8">
        <v>1102512.4159163244</v>
      </c>
      <c r="BP73" s="8">
        <v>32000</v>
      </c>
      <c r="BQ73" s="8">
        <v>32042.636143244115</v>
      </c>
      <c r="BR73" s="8">
        <v>30579.470767041097</v>
      </c>
      <c r="BS73" s="8">
        <v>139500</v>
      </c>
      <c r="BT73" s="8">
        <v>137339.23072483015</v>
      </c>
      <c r="BU73" s="8">
        <v>132969.43441815255</v>
      </c>
      <c r="BV73" s="8">
        <v>36700</v>
      </c>
      <c r="BW73" s="8">
        <v>38597.382343261896</v>
      </c>
      <c r="BX73" s="8">
        <v>37223.622201839724</v>
      </c>
      <c r="BY73" s="8">
        <v>17750</v>
      </c>
      <c r="BZ73" s="8">
        <v>17909.856301518113</v>
      </c>
      <c r="CA73" s="8">
        <v>17019.769848513919</v>
      </c>
      <c r="CB73" s="8">
        <v>96100</v>
      </c>
      <c r="CC73" s="8">
        <v>99325.186510181447</v>
      </c>
      <c r="CD73" s="8">
        <v>96451.562073843859</v>
      </c>
      <c r="CE73" s="8">
        <v>17800</v>
      </c>
      <c r="CF73" s="8">
        <v>17606.126286204944</v>
      </c>
      <c r="CG73" s="8">
        <v>17109.32147903345</v>
      </c>
      <c r="CH73" s="8">
        <v>54800</v>
      </c>
      <c r="CI73" s="8">
        <v>55752.185026904808</v>
      </c>
      <c r="CJ73" s="8">
        <v>53989.315101422915</v>
      </c>
      <c r="CK73" s="8">
        <v>322000</v>
      </c>
      <c r="CL73" s="8">
        <v>321986.29423750116</v>
      </c>
      <c r="CM73" s="8">
        <v>317360.24598587985</v>
      </c>
      <c r="CN73" s="8">
        <v>86900</v>
      </c>
      <c r="CO73" s="8">
        <v>84938.399232519383</v>
      </c>
      <c r="CP73" s="8">
        <v>82686.572299887644</v>
      </c>
      <c r="CQ73" s="8">
        <v>89600</v>
      </c>
      <c r="CR73" s="8">
        <v>89645.820559558779</v>
      </c>
      <c r="CS73" s="8">
        <v>88112.30011544803</v>
      </c>
      <c r="CT73" s="8">
        <v>27100</v>
      </c>
      <c r="CU73" s="8">
        <v>26546.027567217079</v>
      </c>
      <c r="CV73" s="8">
        <v>25421.041200173517</v>
      </c>
      <c r="CW73" s="8">
        <v>128500</v>
      </c>
      <c r="CX73" s="8">
        <v>129122.14629667797</v>
      </c>
      <c r="CY73" s="8">
        <v>126837.41505255118</v>
      </c>
      <c r="CZ73" s="8">
        <v>20900</v>
      </c>
      <c r="DA73" s="8">
        <v>20952.138061217989</v>
      </c>
      <c r="DB73" s="8">
        <v>20179.472791852757</v>
      </c>
      <c r="DC73" s="8">
        <v>18591</v>
      </c>
      <c r="DD73" s="8">
        <v>18967.991278714264</v>
      </c>
      <c r="DE73" s="8">
        <v>18480.370530617598</v>
      </c>
      <c r="DF73" s="8">
        <v>53200</v>
      </c>
      <c r="DG73" s="8">
        <v>53201.950258638004</v>
      </c>
      <c r="DH73" s="8">
        <v>51863.059455325507</v>
      </c>
      <c r="DI73" s="8">
        <v>147500</v>
      </c>
      <c r="DJ73" s="8">
        <v>149079.76527559635</v>
      </c>
      <c r="DK73" s="8">
        <v>144652.07782390504</v>
      </c>
      <c r="DL73" s="8">
        <v>23800</v>
      </c>
      <c r="DM73" s="8">
        <v>24560.283452482839</v>
      </c>
      <c r="DN73" s="8">
        <v>23773.886948320305</v>
      </c>
      <c r="DO73" s="8">
        <v>26550</v>
      </c>
      <c r="DP73" s="8">
        <v>27346.550410241602</v>
      </c>
      <c r="DQ73" s="8">
        <v>26396.247236476309</v>
      </c>
      <c r="DR73" s="8">
        <v>4580</v>
      </c>
      <c r="DS73" s="8">
        <v>4454.8920482556732</v>
      </c>
      <c r="DT73" s="8">
        <v>4314.4033472750662</v>
      </c>
      <c r="DU73" s="8">
        <v>173000</v>
      </c>
      <c r="DV73" s="8">
        <v>175719.36014966315</v>
      </c>
      <c r="DW73" s="8">
        <v>170765.40239961958</v>
      </c>
      <c r="DX73" s="8">
        <v>50000</v>
      </c>
      <c r="DY73" s="8">
        <v>49052.600334669209</v>
      </c>
      <c r="DZ73" s="8">
        <v>47114.121882151725</v>
      </c>
      <c r="EA73" s="8">
        <v>12150</v>
      </c>
      <c r="EB73" s="8">
        <v>11858.154019911255</v>
      </c>
      <c r="EC73" s="8">
        <v>11504.962185294151</v>
      </c>
      <c r="ED73" s="8">
        <v>1540000</v>
      </c>
      <c r="EE73" s="8">
        <v>1534858.5188930104</v>
      </c>
      <c r="EF73" s="8">
        <v>1500090.6579056059</v>
      </c>
      <c r="EG73" s="8">
        <v>125500</v>
      </c>
      <c r="EH73" s="8">
        <v>126548.67874217007</v>
      </c>
      <c r="EI73" s="8">
        <v>122089.71518583875</v>
      </c>
      <c r="EJ73" s="8">
        <v>280000</v>
      </c>
      <c r="EK73" s="8">
        <v>276394.86417509615</v>
      </c>
      <c r="EL73" s="8">
        <v>268082.48392013938</v>
      </c>
      <c r="EM73" s="8">
        <v>11300</v>
      </c>
      <c r="EN73" s="8">
        <v>11518.207789532618</v>
      </c>
      <c r="EO73" s="8">
        <v>11197.410877663235</v>
      </c>
      <c r="EP73" s="8">
        <v>43650</v>
      </c>
      <c r="EQ73" s="8">
        <v>43709.492023919847</v>
      </c>
      <c r="ER73" s="8">
        <v>42241.097821821168</v>
      </c>
      <c r="ES73" s="8">
        <v>11550</v>
      </c>
      <c r="ET73" s="8">
        <v>11883.927558462045</v>
      </c>
      <c r="EU73" s="8">
        <v>11403.948655432692</v>
      </c>
      <c r="EV73">
        <v>341000</v>
      </c>
      <c r="EW73">
        <v>347906.84476768412</v>
      </c>
      <c r="EX73">
        <v>332879.85219674051</v>
      </c>
      <c r="EY73">
        <v>29000</v>
      </c>
      <c r="EZ73">
        <v>28354.173606254226</v>
      </c>
      <c r="FA73">
        <v>27579.344941023195</v>
      </c>
      <c r="FB73">
        <v>2325</v>
      </c>
      <c r="FC73">
        <v>2497.4890928488039</v>
      </c>
      <c r="FD73">
        <v>2411.4768384666709</v>
      </c>
      <c r="FE73">
        <v>63700</v>
      </c>
      <c r="FF73">
        <v>66242.613376655063</v>
      </c>
      <c r="FG73">
        <v>64888.184475350274</v>
      </c>
      <c r="FH73">
        <v>41500</v>
      </c>
      <c r="FI73">
        <v>41235.792430324</v>
      </c>
      <c r="FJ73">
        <v>39113.575000153163</v>
      </c>
      <c r="FK73">
        <v>86600</v>
      </c>
      <c r="FL73">
        <v>85953.732047477592</v>
      </c>
      <c r="FM73">
        <v>83786.767605051267</v>
      </c>
      <c r="FN73">
        <v>37300</v>
      </c>
      <c r="FO73">
        <v>37799.184972554729</v>
      </c>
      <c r="FP73">
        <v>36628.318464282122</v>
      </c>
      <c r="FQ73">
        <v>18750</v>
      </c>
      <c r="FR73">
        <v>20759.650400623505</v>
      </c>
      <c r="FS73">
        <v>19948.785281656601</v>
      </c>
      <c r="FT73">
        <v>899000</v>
      </c>
      <c r="FU73">
        <v>898736.11040705792</v>
      </c>
      <c r="FV73">
        <v>872319.58749941888</v>
      </c>
      <c r="FW73">
        <v>22300</v>
      </c>
      <c r="FX73">
        <v>22265.684371909188</v>
      </c>
      <c r="FY73">
        <v>21449.616577445035</v>
      </c>
      <c r="FZ73">
        <v>32650</v>
      </c>
      <c r="GA73">
        <v>33347.761175245818</v>
      </c>
      <c r="GB73">
        <v>32076.037948569308</v>
      </c>
      <c r="GC73">
        <v>22850</v>
      </c>
      <c r="GD73">
        <v>22445.144592447465</v>
      </c>
      <c r="GE73">
        <v>21921.214591824621</v>
      </c>
      <c r="GF73">
        <v>163500</v>
      </c>
      <c r="GG73">
        <v>156535.3704683492</v>
      </c>
      <c r="GH73">
        <v>151352.4237208222</v>
      </c>
      <c r="GI73">
        <v>3355</v>
      </c>
      <c r="GJ73">
        <v>3294.2746021823482</v>
      </c>
      <c r="GK73">
        <v>3092.6957536268519</v>
      </c>
      <c r="GL73">
        <v>10100</v>
      </c>
      <c r="GM73">
        <v>9994.3174613704559</v>
      </c>
      <c r="GN73">
        <v>9513.4289576729916</v>
      </c>
      <c r="GO73">
        <v>801000</v>
      </c>
      <c r="GP73">
        <v>802318.67418700492</v>
      </c>
      <c r="GQ73">
        <v>772894.09873725811</v>
      </c>
      <c r="GR73">
        <v>58900</v>
      </c>
      <c r="GS73">
        <v>59222.279342482099</v>
      </c>
      <c r="GT73">
        <v>58392.516668638789</v>
      </c>
      <c r="GU73">
        <v>8090</v>
      </c>
      <c r="GV73">
        <v>8193.4390936509935</v>
      </c>
      <c r="GW73">
        <v>7808.7218109566811</v>
      </c>
      <c r="GX73">
        <v>24800</v>
      </c>
      <c r="GY73">
        <v>24937.252406043997</v>
      </c>
      <c r="GZ73">
        <v>23922.446817575699</v>
      </c>
      <c r="HA73">
        <v>4890</v>
      </c>
      <c r="HB73">
        <v>5006.7122399723503</v>
      </c>
      <c r="HC73">
        <v>4830.4599450294218</v>
      </c>
      <c r="HD73">
        <v>26050</v>
      </c>
      <c r="HE73">
        <v>26613.527285649612</v>
      </c>
      <c r="HF73">
        <v>25373.634285008258</v>
      </c>
      <c r="HG73">
        <v>10450</v>
      </c>
      <c r="HH73">
        <v>10208.476438921502</v>
      </c>
      <c r="HI73">
        <v>9858.5997005651534</v>
      </c>
      <c r="HJ73">
        <v>4415</v>
      </c>
      <c r="HK73">
        <v>4292.8712551276103</v>
      </c>
      <c r="HL73">
        <v>4130.6127337915432</v>
      </c>
    </row>
    <row r="74" spans="1:220" x14ac:dyDescent="0.4">
      <c r="A74" s="11">
        <v>41374</v>
      </c>
      <c r="B74" s="10">
        <v>278900</v>
      </c>
      <c r="C74" s="10">
        <v>291334.90248974657</v>
      </c>
      <c r="D74" s="10">
        <v>283222.88784421107</v>
      </c>
      <c r="E74" s="10">
        <v>126500</v>
      </c>
      <c r="F74" s="10">
        <v>126655.00420482943</v>
      </c>
      <c r="G74" s="10">
        <v>123933.84321107774</v>
      </c>
      <c r="H74" s="10">
        <v>73100</v>
      </c>
      <c r="I74" s="10">
        <v>72916.385532299711</v>
      </c>
      <c r="J74" s="10">
        <v>69332.658186493936</v>
      </c>
      <c r="K74" s="10">
        <v>57200</v>
      </c>
      <c r="L74" s="10">
        <v>56602.209815712908</v>
      </c>
      <c r="M74" s="10">
        <v>54380.14967107767</v>
      </c>
      <c r="N74" s="10">
        <v>253500</v>
      </c>
      <c r="O74" s="10">
        <v>248739.52298850211</v>
      </c>
      <c r="P74" s="10">
        <v>242659.09647413224</v>
      </c>
      <c r="Q74" s="10">
        <v>73800</v>
      </c>
      <c r="R74" s="10">
        <v>75404.950253194751</v>
      </c>
      <c r="S74" s="10">
        <v>73405.726212407477</v>
      </c>
      <c r="T74" s="10">
        <v>16250</v>
      </c>
      <c r="U74" s="10">
        <v>16218.345013963246</v>
      </c>
      <c r="V74" s="10">
        <v>15609.685587901125</v>
      </c>
      <c r="W74" s="10">
        <v>14400</v>
      </c>
      <c r="X74" s="10">
        <v>14558.332766017396</v>
      </c>
      <c r="Y74" s="10">
        <v>14065.120686260763</v>
      </c>
      <c r="Z74" s="10">
        <v>20950</v>
      </c>
      <c r="AA74" s="10">
        <v>20451.122238915683</v>
      </c>
      <c r="AB74" s="10">
        <v>19615.482371794817</v>
      </c>
      <c r="AC74" s="10">
        <v>14100</v>
      </c>
      <c r="AD74" s="10">
        <v>14019.732457525888</v>
      </c>
      <c r="AE74" s="10">
        <v>13564.581261180323</v>
      </c>
      <c r="AF74" s="10">
        <v>44550</v>
      </c>
      <c r="AG74" s="10">
        <v>45846.73837974498</v>
      </c>
      <c r="AH74" s="10">
        <v>43775.53676742722</v>
      </c>
      <c r="AI74" s="10">
        <v>40300</v>
      </c>
      <c r="AJ74" s="10">
        <v>40754.628062308824</v>
      </c>
      <c r="AK74" s="10">
        <v>39794.241570972459</v>
      </c>
      <c r="AL74" s="10">
        <v>8080</v>
      </c>
      <c r="AM74" s="10">
        <v>8774.6313797914609</v>
      </c>
      <c r="AN74" s="10">
        <v>8361.1055107440316</v>
      </c>
      <c r="AO74" s="10">
        <v>15400</v>
      </c>
      <c r="AP74" s="10">
        <v>15149.694796660297</v>
      </c>
      <c r="AQ74" s="10">
        <v>14562.90628897766</v>
      </c>
      <c r="AR74" s="10">
        <v>23150</v>
      </c>
      <c r="AS74" s="10">
        <v>24155.305662563253</v>
      </c>
      <c r="AT74" s="10">
        <v>23349.879468929874</v>
      </c>
      <c r="AU74" s="10">
        <v>182000</v>
      </c>
      <c r="AV74" s="10">
        <v>182289.65384516722</v>
      </c>
      <c r="AW74" s="10">
        <v>176205.11579916443</v>
      </c>
      <c r="AX74" s="10">
        <v>580000</v>
      </c>
      <c r="AY74" s="10">
        <v>583480.26942725747</v>
      </c>
      <c r="AZ74" s="10">
        <v>568273.17748614668</v>
      </c>
      <c r="BA74" s="10">
        <v>201500</v>
      </c>
      <c r="BB74" s="10">
        <v>199876.03667345777</v>
      </c>
      <c r="BC74" s="10">
        <v>195394.46137860024</v>
      </c>
      <c r="BD74" s="10">
        <v>29000</v>
      </c>
      <c r="BE74" s="10">
        <v>28925.387696272577</v>
      </c>
      <c r="BF74" s="10">
        <v>27766.105621317445</v>
      </c>
      <c r="BG74" s="10">
        <v>28150</v>
      </c>
      <c r="BH74" s="10">
        <v>28723.608906477693</v>
      </c>
      <c r="BI74" s="10">
        <v>27650.960559605988</v>
      </c>
      <c r="BJ74" s="10">
        <v>77700</v>
      </c>
      <c r="BK74" s="10">
        <v>75913.457112038246</v>
      </c>
      <c r="BL74" s="10">
        <v>73848.766491180082</v>
      </c>
      <c r="BM74" s="10">
        <v>1120000</v>
      </c>
      <c r="BN74" s="10">
        <v>1105128.1187319539</v>
      </c>
      <c r="BO74" s="10">
        <v>1072980.8333471383</v>
      </c>
      <c r="BP74" s="10">
        <v>31200</v>
      </c>
      <c r="BQ74" s="10">
        <v>32864.242198199114</v>
      </c>
      <c r="BR74" s="10">
        <v>31363.559761067809</v>
      </c>
      <c r="BS74" s="10">
        <v>135500</v>
      </c>
      <c r="BT74" s="10">
        <v>143420.67267574513</v>
      </c>
      <c r="BU74" s="10">
        <v>138857.37985364269</v>
      </c>
      <c r="BV74" s="10">
        <v>37950</v>
      </c>
      <c r="BW74" s="10">
        <v>39156.76469606279</v>
      </c>
      <c r="BX74" s="10">
        <v>37763.094987373639</v>
      </c>
      <c r="BY74" s="10">
        <v>17350</v>
      </c>
      <c r="BZ74" s="10">
        <v>18167.923395199923</v>
      </c>
      <c r="CA74" s="10">
        <v>17265.011488982411</v>
      </c>
      <c r="CB74" s="10">
        <v>98000</v>
      </c>
      <c r="CC74" s="10">
        <v>99325.186510181447</v>
      </c>
      <c r="CD74" s="10">
        <v>96451.562073843859</v>
      </c>
      <c r="CE74" s="10">
        <v>17400</v>
      </c>
      <c r="CF74" s="10">
        <v>17504.941652376172</v>
      </c>
      <c r="CG74" s="10">
        <v>17010.99204524589</v>
      </c>
      <c r="CH74" s="10">
        <v>54700</v>
      </c>
      <c r="CI74" s="10">
        <v>54019.484578171068</v>
      </c>
      <c r="CJ74" s="10">
        <v>52311.402200647477</v>
      </c>
      <c r="CK74" s="10">
        <v>320000</v>
      </c>
      <c r="CL74" s="10">
        <v>313936.63688156405</v>
      </c>
      <c r="CM74" s="10">
        <v>309426.23983623326</v>
      </c>
      <c r="CN74" s="10">
        <v>83500</v>
      </c>
      <c r="CO74" s="10">
        <v>85752.180303010609</v>
      </c>
      <c r="CP74" s="10">
        <v>83478.778980605173</v>
      </c>
      <c r="CQ74" s="10">
        <v>89200</v>
      </c>
      <c r="CR74" s="10">
        <v>89444.820961891499</v>
      </c>
      <c r="CS74" s="10">
        <v>87914.738904426747</v>
      </c>
      <c r="CT74" s="10">
        <v>26050</v>
      </c>
      <c r="CU74" s="10">
        <v>26953.644113354792</v>
      </c>
      <c r="CV74" s="10">
        <v>25811.383483477544</v>
      </c>
      <c r="CW74" s="10">
        <v>128000</v>
      </c>
      <c r="CX74" s="10">
        <v>127608.99614476369</v>
      </c>
      <c r="CY74" s="10">
        <v>125351.03909490403</v>
      </c>
      <c r="CZ74" s="10">
        <v>20500</v>
      </c>
      <c r="DA74" s="10">
        <v>21003.24083697706</v>
      </c>
      <c r="DB74" s="10">
        <v>20228.691018174351</v>
      </c>
      <c r="DC74" s="10">
        <v>18670</v>
      </c>
      <c r="DD74" s="10">
        <v>18620.532627545545</v>
      </c>
      <c r="DE74" s="10">
        <v>18141.84419309907</v>
      </c>
      <c r="DF74" s="10">
        <v>52400</v>
      </c>
      <c r="DG74" s="10">
        <v>52389.706743238909</v>
      </c>
      <c r="DH74" s="10">
        <v>51071.257020893019</v>
      </c>
      <c r="DI74" s="10">
        <v>146500</v>
      </c>
      <c r="DJ74" s="10">
        <v>148062.15595630926</v>
      </c>
      <c r="DK74" s="10">
        <v>143664.69162715509</v>
      </c>
      <c r="DL74" s="10">
        <v>24100</v>
      </c>
      <c r="DM74" s="10">
        <v>24254.55378294985</v>
      </c>
      <c r="DN74" s="10">
        <v>23477.946446888924</v>
      </c>
      <c r="DO74" s="10">
        <v>26900</v>
      </c>
      <c r="DP74" s="10">
        <v>26939.91025544249</v>
      </c>
      <c r="DQ74" s="10">
        <v>26003.737983889321</v>
      </c>
      <c r="DR74" s="10">
        <v>4375</v>
      </c>
      <c r="DS74" s="10">
        <v>4429.4355222656386</v>
      </c>
      <c r="DT74" s="10">
        <v>4289.7496138620645</v>
      </c>
      <c r="DU74" s="10">
        <v>173000</v>
      </c>
      <c r="DV74" s="10">
        <v>177242.93841685681</v>
      </c>
      <c r="DW74" s="10">
        <v>172246.02727591692</v>
      </c>
      <c r="DX74" s="10">
        <v>48000</v>
      </c>
      <c r="DY74" s="10">
        <v>49461.372004124853</v>
      </c>
      <c r="DZ74" s="10">
        <v>47506.739564503048</v>
      </c>
      <c r="EA74" s="10">
        <v>11700</v>
      </c>
      <c r="EB74" s="10">
        <v>12111.533379311069</v>
      </c>
      <c r="EC74" s="10">
        <v>11750.79471062095</v>
      </c>
      <c r="ED74" s="10">
        <v>1521000</v>
      </c>
      <c r="EE74" s="10">
        <v>1541922.2990588569</v>
      </c>
      <c r="EF74" s="10">
        <v>1506994.4281918257</v>
      </c>
      <c r="EG74" s="10">
        <v>124500</v>
      </c>
      <c r="EH74" s="10">
        <v>124007.54061481742</v>
      </c>
      <c r="EI74" s="10">
        <v>119638.11447929598</v>
      </c>
      <c r="EJ74" s="10">
        <v>272000</v>
      </c>
      <c r="EK74" s="10">
        <v>281475.65211949171</v>
      </c>
      <c r="EL74" s="10">
        <v>273010.47075690702</v>
      </c>
      <c r="EM74" s="10">
        <v>11350</v>
      </c>
      <c r="EN74" s="10">
        <v>10909.315747795223</v>
      </c>
      <c r="EO74" s="10">
        <v>10605.477262985014</v>
      </c>
      <c r="EP74" s="10">
        <v>42800</v>
      </c>
      <c r="EQ74" s="10">
        <v>43147.804626416255</v>
      </c>
      <c r="ER74" s="10">
        <v>41698.279975980055</v>
      </c>
      <c r="ES74" s="10">
        <v>11650</v>
      </c>
      <c r="ET74" s="10">
        <v>11985.935520337251</v>
      </c>
      <c r="EU74" s="10">
        <v>11501.836626723954</v>
      </c>
      <c r="EV74">
        <v>341500</v>
      </c>
      <c r="EW74">
        <v>334153.57271976641</v>
      </c>
      <c r="EX74">
        <v>319720.61938662006</v>
      </c>
      <c r="EY74">
        <v>27950</v>
      </c>
      <c r="EZ74">
        <v>28202.004517133031</v>
      </c>
      <c r="FA74">
        <v>27431.33414527533</v>
      </c>
      <c r="FB74">
        <v>2455</v>
      </c>
      <c r="FC74">
        <v>2461.883342034258</v>
      </c>
      <c r="FD74">
        <v>2377.0973316046202</v>
      </c>
      <c r="FE74">
        <v>65800</v>
      </c>
      <c r="FF74">
        <v>67450.685353129054</v>
      </c>
      <c r="FG74">
        <v>66071.55562079743</v>
      </c>
      <c r="FH74">
        <v>40100</v>
      </c>
      <c r="FI74">
        <v>42058.451630928947</v>
      </c>
      <c r="FJ74">
        <v>39893.895698410561</v>
      </c>
      <c r="FK74">
        <v>85000</v>
      </c>
      <c r="FL74">
        <v>81706.606463955177</v>
      </c>
      <c r="FM74">
        <v>79646.715558684038</v>
      </c>
      <c r="FN74">
        <v>37350</v>
      </c>
      <c r="FO74">
        <v>37141.367831131436</v>
      </c>
      <c r="FP74">
        <v>35990.877848437864</v>
      </c>
      <c r="FQ74">
        <v>20250</v>
      </c>
      <c r="FR74">
        <v>20247.066440114275</v>
      </c>
      <c r="FS74">
        <v>19456.222682109517</v>
      </c>
      <c r="FT74">
        <v>886000</v>
      </c>
      <c r="FU74">
        <v>895692.98587971996</v>
      </c>
      <c r="FV74">
        <v>869365.90943790809</v>
      </c>
      <c r="FW74">
        <v>21950</v>
      </c>
      <c r="FX74">
        <v>21251.302395967967</v>
      </c>
      <c r="FY74">
        <v>20472.413088723137</v>
      </c>
      <c r="FZ74">
        <v>32800</v>
      </c>
      <c r="GA74">
        <v>31822.7111214998</v>
      </c>
      <c r="GB74">
        <v>30609.145969213983</v>
      </c>
      <c r="GC74">
        <v>22250</v>
      </c>
      <c r="GD74">
        <v>22646.898701143629</v>
      </c>
      <c r="GE74">
        <v>22118.259217369119</v>
      </c>
      <c r="GF74">
        <v>154000</v>
      </c>
      <c r="GG74">
        <v>156535.3704683492</v>
      </c>
      <c r="GH74">
        <v>151352.4237208222</v>
      </c>
      <c r="GI74">
        <v>3170</v>
      </c>
      <c r="GJ74">
        <v>3190.3542677286464</v>
      </c>
      <c r="GK74">
        <v>2995.1343733862573</v>
      </c>
      <c r="GL74">
        <v>9740</v>
      </c>
      <c r="GM74">
        <v>9440.2177253191294</v>
      </c>
      <c r="GN74">
        <v>8985.9903912311729</v>
      </c>
      <c r="GO74">
        <v>790000</v>
      </c>
      <c r="GP74">
        <v>797240.70789468242</v>
      </c>
      <c r="GQ74">
        <v>768002.3639351239</v>
      </c>
      <c r="GR74">
        <v>58900</v>
      </c>
      <c r="GS74">
        <v>59322.826506051664</v>
      </c>
      <c r="GT74">
        <v>58491.655067057516</v>
      </c>
      <c r="GU74">
        <v>7990</v>
      </c>
      <c r="GV74">
        <v>7793.5090252500149</v>
      </c>
      <c r="GW74">
        <v>7427.5701831377783</v>
      </c>
      <c r="GX74">
        <v>24350</v>
      </c>
      <c r="GY74">
        <v>23452.282550242602</v>
      </c>
      <c r="GZ74">
        <v>22497.906863346339</v>
      </c>
      <c r="HA74">
        <v>4910</v>
      </c>
      <c r="HB74">
        <v>4940.431935369862</v>
      </c>
      <c r="HC74">
        <v>4766.5129192805571</v>
      </c>
      <c r="HD74">
        <v>25900</v>
      </c>
      <c r="HE74">
        <v>25740.110367008583</v>
      </c>
      <c r="HF74">
        <v>24540.908835500246</v>
      </c>
      <c r="HG74">
        <v>10050</v>
      </c>
      <c r="HH74">
        <v>10360.841758905393</v>
      </c>
      <c r="HI74">
        <v>10005.742979678054</v>
      </c>
      <c r="HJ74">
        <v>4220</v>
      </c>
      <c r="HK74">
        <v>4186.0581077843826</v>
      </c>
      <c r="HL74">
        <v>4027.8368245384313</v>
      </c>
    </row>
    <row r="75" spans="1:220" x14ac:dyDescent="0.4">
      <c r="A75" s="73">
        <v>41373</v>
      </c>
      <c r="B75" s="8">
        <v>286200</v>
      </c>
      <c r="C75" s="8">
        <v>291131.31415816746</v>
      </c>
      <c r="D75" s="8">
        <v>283024.96828596917</v>
      </c>
      <c r="E75" s="8">
        <v>125000</v>
      </c>
      <c r="F75" s="8">
        <v>127161.62422164874</v>
      </c>
      <c r="G75" s="8">
        <v>124429.57858392205</v>
      </c>
      <c r="H75" s="8">
        <v>71700</v>
      </c>
      <c r="I75" s="8">
        <v>70882.455670868789</v>
      </c>
      <c r="J75" s="8">
        <v>67398.692825643375</v>
      </c>
      <c r="K75" s="8">
        <v>55400</v>
      </c>
      <c r="L75" s="8">
        <v>55478.339223704148</v>
      </c>
      <c r="M75" s="8">
        <v>53300.399406850476</v>
      </c>
      <c r="N75" s="8">
        <v>245500</v>
      </c>
      <c r="O75" s="8">
        <v>247219.72956902013</v>
      </c>
      <c r="P75" s="8">
        <v>241176.45433681546</v>
      </c>
      <c r="Q75" s="8">
        <v>74200</v>
      </c>
      <c r="R75" s="8">
        <v>73575.719654060682</v>
      </c>
      <c r="S75" s="8">
        <v>71624.994309680653</v>
      </c>
      <c r="T75" s="8">
        <v>15900</v>
      </c>
      <c r="U75" s="8">
        <v>16677.354778509361</v>
      </c>
      <c r="V75" s="8">
        <v>16051.469142275671</v>
      </c>
      <c r="W75" s="8">
        <v>14300</v>
      </c>
      <c r="X75" s="8">
        <v>14863.752334535247</v>
      </c>
      <c r="Y75" s="8">
        <v>14360.193148210294</v>
      </c>
      <c r="Z75" s="8">
        <v>20000</v>
      </c>
      <c r="AA75" s="8">
        <v>19735.332960553656</v>
      </c>
      <c r="AB75" s="8">
        <v>18928.94048878202</v>
      </c>
      <c r="AC75" s="8">
        <v>13850</v>
      </c>
      <c r="AD75" s="8">
        <v>13918.506952417416</v>
      </c>
      <c r="AE75" s="8">
        <v>13466.642046298171</v>
      </c>
      <c r="AF75" s="8">
        <v>45000</v>
      </c>
      <c r="AG75" s="8">
        <v>45999.560841010789</v>
      </c>
      <c r="AH75" s="8">
        <v>43921.455223318633</v>
      </c>
      <c r="AI75" s="8">
        <v>40200</v>
      </c>
      <c r="AJ75" s="8">
        <v>40551.868718715203</v>
      </c>
      <c r="AK75" s="8">
        <v>39596.260269624283</v>
      </c>
      <c r="AL75" s="8">
        <v>8510</v>
      </c>
      <c r="AM75" s="8">
        <v>8846.8081361469704</v>
      </c>
      <c r="AN75" s="8">
        <v>8429.8807617137227</v>
      </c>
      <c r="AO75" s="8">
        <v>14800</v>
      </c>
      <c r="AP75" s="8">
        <v>15712.69021140105</v>
      </c>
      <c r="AQ75" s="8">
        <v>15104.095374041017</v>
      </c>
      <c r="AR75" s="8">
        <v>23750</v>
      </c>
      <c r="AS75" s="8">
        <v>24257.012212721398</v>
      </c>
      <c r="AT75" s="8">
        <v>23448.194750904298</v>
      </c>
      <c r="AU75" s="8">
        <v>180000</v>
      </c>
      <c r="AV75" s="8">
        <v>185327.81474258675</v>
      </c>
      <c r="AW75" s="8">
        <v>179141.86772915057</v>
      </c>
      <c r="AX75" s="8">
        <v>576000</v>
      </c>
      <c r="AY75" s="8">
        <v>564233.52442878939</v>
      </c>
      <c r="AZ75" s="8">
        <v>549528.0553121249</v>
      </c>
      <c r="BA75" s="8">
        <v>198000</v>
      </c>
      <c r="BB75" s="8">
        <v>200380.77413980477</v>
      </c>
      <c r="BC75" s="8">
        <v>195887.8817356168</v>
      </c>
      <c r="BD75" s="8">
        <v>28250</v>
      </c>
      <c r="BE75" s="8">
        <v>27850.284790747406</v>
      </c>
      <c r="BF75" s="8">
        <v>26734.09107610034</v>
      </c>
      <c r="BG75" s="8">
        <v>28100</v>
      </c>
      <c r="BH75" s="8">
        <v>28825.828155255211</v>
      </c>
      <c r="BI75" s="8">
        <v>27749.362554480045</v>
      </c>
      <c r="BJ75" s="8">
        <v>75100</v>
      </c>
      <c r="BK75" s="8">
        <v>75003.708624676947</v>
      </c>
      <c r="BL75" s="8">
        <v>72963.761300207232</v>
      </c>
      <c r="BM75" s="8">
        <v>1090000</v>
      </c>
      <c r="BN75" s="8">
        <v>1084850.5385717335</v>
      </c>
      <c r="BO75" s="8">
        <v>1053293.1116343457</v>
      </c>
      <c r="BP75" s="8">
        <v>32000</v>
      </c>
      <c r="BQ75" s="8">
        <v>32812.891819764423</v>
      </c>
      <c r="BR75" s="8">
        <v>31314.554198941136</v>
      </c>
      <c r="BS75" s="8">
        <v>141500</v>
      </c>
      <c r="BT75" s="8">
        <v>139366.37804180186</v>
      </c>
      <c r="BU75" s="8">
        <v>134932.08289664928</v>
      </c>
      <c r="BV75" s="8">
        <v>38500</v>
      </c>
      <c r="BW75" s="8">
        <v>39360.176460717688</v>
      </c>
      <c r="BX75" s="8">
        <v>37959.266909385995</v>
      </c>
      <c r="BY75" s="8">
        <v>17600</v>
      </c>
      <c r="BZ75" s="8">
        <v>17548.56237036359</v>
      </c>
      <c r="CA75" s="8">
        <v>16676.431551858037</v>
      </c>
      <c r="CB75" s="8">
        <v>98000</v>
      </c>
      <c r="CC75" s="8">
        <v>99730.595434712726</v>
      </c>
      <c r="CD75" s="8">
        <v>96845.241919043154</v>
      </c>
      <c r="CE75" s="8">
        <v>17300</v>
      </c>
      <c r="CF75" s="8">
        <v>17909.680187691214</v>
      </c>
      <c r="CG75" s="8">
        <v>17404.30978039607</v>
      </c>
      <c r="CH75" s="8">
        <v>53000</v>
      </c>
      <c r="CI75" s="8">
        <v>52490.631241052994</v>
      </c>
      <c r="CJ75" s="8">
        <v>50830.890817610256</v>
      </c>
      <c r="CK75" s="8">
        <v>312000</v>
      </c>
      <c r="CL75" s="8">
        <v>313433.53329681756</v>
      </c>
      <c r="CM75" s="8">
        <v>308930.36445187998</v>
      </c>
      <c r="CN75" s="8">
        <v>84300</v>
      </c>
      <c r="CO75" s="8">
        <v>86260.793472067628</v>
      </c>
      <c r="CP75" s="8">
        <v>83973.9081560536</v>
      </c>
      <c r="CQ75" s="8">
        <v>89000</v>
      </c>
      <c r="CR75" s="8">
        <v>89947.319956059437</v>
      </c>
      <c r="CS75" s="8">
        <v>88408.641931979713</v>
      </c>
      <c r="CT75" s="8">
        <v>26450</v>
      </c>
      <c r="CU75" s="8">
        <v>26291.267225881023</v>
      </c>
      <c r="CV75" s="8">
        <v>25177.077273108513</v>
      </c>
      <c r="CW75" s="8">
        <v>126500</v>
      </c>
      <c r="CX75" s="8">
        <v>128113.37952873508</v>
      </c>
      <c r="CY75" s="8">
        <v>125846.49774745305</v>
      </c>
      <c r="CZ75" s="8">
        <v>20550</v>
      </c>
      <c r="DA75" s="8">
        <v>20543.315855145436</v>
      </c>
      <c r="DB75" s="8">
        <v>19785.726981280015</v>
      </c>
      <c r="DC75" s="8">
        <v>18328</v>
      </c>
      <c r="DD75" s="8">
        <v>18754.639475365053</v>
      </c>
      <c r="DE75" s="8">
        <v>18272.503481264121</v>
      </c>
      <c r="DF75" s="8">
        <v>51600</v>
      </c>
      <c r="DG75" s="8">
        <v>51475.932788415041</v>
      </c>
      <c r="DH75" s="8">
        <v>50180.479282156572</v>
      </c>
      <c r="DI75" s="8">
        <v>145500</v>
      </c>
      <c r="DJ75" s="8">
        <v>149079.76527559635</v>
      </c>
      <c r="DK75" s="8">
        <v>144652.07782390504</v>
      </c>
      <c r="DL75" s="8">
        <v>23800</v>
      </c>
      <c r="DM75" s="8">
        <v>23694.049388806052</v>
      </c>
      <c r="DN75" s="8">
        <v>22935.388860931405</v>
      </c>
      <c r="DO75" s="8">
        <v>26500</v>
      </c>
      <c r="DP75" s="8">
        <v>27194.060352191944</v>
      </c>
      <c r="DQ75" s="8">
        <v>26249.056266756197</v>
      </c>
      <c r="DR75" s="8">
        <v>4350</v>
      </c>
      <c r="DS75" s="8">
        <v>4459.9833534536783</v>
      </c>
      <c r="DT75" s="8">
        <v>4319.3340939576656</v>
      </c>
      <c r="DU75" s="8">
        <v>174500</v>
      </c>
      <c r="DV75" s="8">
        <v>175719.36014966315</v>
      </c>
      <c r="DW75" s="8">
        <v>170765.40239961958</v>
      </c>
      <c r="DX75" s="8">
        <v>48400</v>
      </c>
      <c r="DY75" s="8">
        <v>48286.15345444002</v>
      </c>
      <c r="DZ75" s="8">
        <v>46377.96372774311</v>
      </c>
      <c r="EA75" s="8">
        <v>11950</v>
      </c>
      <c r="EB75" s="8">
        <v>12060.857507431096</v>
      </c>
      <c r="EC75" s="8">
        <v>11701.62820555558</v>
      </c>
      <c r="ED75" s="8">
        <v>1528000</v>
      </c>
      <c r="EE75" s="8">
        <v>1533849.4074407462</v>
      </c>
      <c r="EF75" s="8">
        <v>1499104.405007574</v>
      </c>
      <c r="EG75" s="8">
        <v>122000</v>
      </c>
      <c r="EH75" s="8">
        <v>120958.17486199405</v>
      </c>
      <c r="EI75" s="8">
        <v>116696.19363144445</v>
      </c>
      <c r="EJ75" s="8">
        <v>277000</v>
      </c>
      <c r="EK75" s="8">
        <v>281983.73091393092</v>
      </c>
      <c r="EL75" s="8">
        <v>273503.26944058342</v>
      </c>
      <c r="EM75" s="8">
        <v>10750</v>
      </c>
      <c r="EN75" s="8">
        <v>11264.502772142027</v>
      </c>
      <c r="EO75" s="8">
        <v>10950.7718715473</v>
      </c>
      <c r="EP75" s="8">
        <v>42250</v>
      </c>
      <c r="EQ75" s="8">
        <v>43607.367042555568</v>
      </c>
      <c r="ER75" s="8">
        <v>42142.403668031882</v>
      </c>
      <c r="ES75" s="8">
        <v>11750</v>
      </c>
      <c r="ET75" s="8">
        <v>11832.923577524423</v>
      </c>
      <c r="EU75" s="8">
        <v>11355.004669787042</v>
      </c>
      <c r="EV75">
        <v>328000</v>
      </c>
      <c r="EW75">
        <v>340775.51852061541</v>
      </c>
      <c r="EX75">
        <v>326056.54629519634</v>
      </c>
      <c r="EY75">
        <v>27800</v>
      </c>
      <c r="EZ75">
        <v>28303.450576547177</v>
      </c>
      <c r="FA75">
        <v>27530.008009107252</v>
      </c>
      <c r="FB75">
        <v>2420</v>
      </c>
      <c r="FC75">
        <v>2583.9602019698427</v>
      </c>
      <c r="FD75">
        <v>2494.9699265602226</v>
      </c>
      <c r="FE75">
        <v>67000</v>
      </c>
      <c r="FF75">
        <v>67350.012688422881</v>
      </c>
      <c r="FG75">
        <v>65972.941358676821</v>
      </c>
      <c r="FH75">
        <v>40900</v>
      </c>
      <c r="FI75">
        <v>42058.451630928947</v>
      </c>
      <c r="FJ75">
        <v>39893.895698410561</v>
      </c>
      <c r="FK75">
        <v>80800</v>
      </c>
      <c r="FL75">
        <v>79077.433483679371</v>
      </c>
      <c r="FM75">
        <v>77083.826196647147</v>
      </c>
      <c r="FN75">
        <v>36700</v>
      </c>
      <c r="FO75">
        <v>37849.786291125769</v>
      </c>
      <c r="FP75">
        <v>36677.352357808617</v>
      </c>
      <c r="FQ75">
        <v>19750</v>
      </c>
      <c r="FR75">
        <v>20400.841628267037</v>
      </c>
      <c r="FS75">
        <v>19603.991461973637</v>
      </c>
      <c r="FT75">
        <v>883000</v>
      </c>
      <c r="FU75">
        <v>880477.36324303132</v>
      </c>
      <c r="FV75">
        <v>854597.51913035568</v>
      </c>
      <c r="FW75">
        <v>20950</v>
      </c>
      <c r="FX75">
        <v>21403.459692359156</v>
      </c>
      <c r="FY75">
        <v>20618.993612031427</v>
      </c>
      <c r="FZ75">
        <v>31300</v>
      </c>
      <c r="GA75">
        <v>30399.331071336892</v>
      </c>
      <c r="GB75">
        <v>29240.046788482388</v>
      </c>
      <c r="GC75">
        <v>22450</v>
      </c>
      <c r="GD75">
        <v>22697.337228317665</v>
      </c>
      <c r="GE75">
        <v>22167.52037375524</v>
      </c>
      <c r="GF75">
        <v>154000</v>
      </c>
      <c r="GG75">
        <v>153994.21185685004</v>
      </c>
      <c r="GH75">
        <v>148895.40385522443</v>
      </c>
      <c r="GI75">
        <v>3070</v>
      </c>
      <c r="GJ75">
        <v>3200.7463011740133</v>
      </c>
      <c r="GK75">
        <v>3004.8905114103136</v>
      </c>
      <c r="GL75">
        <v>9200</v>
      </c>
      <c r="GM75">
        <v>9347.8677693105601</v>
      </c>
      <c r="GN75">
        <v>8898.0839634908571</v>
      </c>
      <c r="GO75">
        <v>785000</v>
      </c>
      <c r="GP75">
        <v>780991.21575924847</v>
      </c>
      <c r="GQ75">
        <v>752348.81256829249</v>
      </c>
      <c r="GR75">
        <v>59000</v>
      </c>
      <c r="GS75">
        <v>59322.826506051664</v>
      </c>
      <c r="GT75">
        <v>58491.655067057516</v>
      </c>
      <c r="GU75">
        <v>7600</v>
      </c>
      <c r="GV75">
        <v>7383.3243397105343</v>
      </c>
      <c r="GW75">
        <v>7036.6454366568369</v>
      </c>
      <c r="GX75">
        <v>22900</v>
      </c>
      <c r="GY75">
        <v>22889.018122180027</v>
      </c>
      <c r="GZ75">
        <v>21957.564122086947</v>
      </c>
      <c r="HA75">
        <v>4845</v>
      </c>
      <c r="HB75">
        <v>4894.5455706450684</v>
      </c>
      <c r="HC75">
        <v>4722.2419014544257</v>
      </c>
      <c r="HD75">
        <v>25050</v>
      </c>
      <c r="HE75">
        <v>26048.375161823093</v>
      </c>
      <c r="HF75">
        <v>24834.81193532663</v>
      </c>
      <c r="HG75">
        <v>10200</v>
      </c>
      <c r="HH75">
        <v>10462.418638894676</v>
      </c>
      <c r="HI75">
        <v>10103.838499086676</v>
      </c>
      <c r="HJ75">
        <v>4115</v>
      </c>
      <c r="HK75">
        <v>4206.4034691830984</v>
      </c>
      <c r="HL75">
        <v>4047.4131882056963</v>
      </c>
    </row>
    <row r="76" spans="1:220" x14ac:dyDescent="0.4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</row>
    <row r="77" spans="1:220" x14ac:dyDescent="0.4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</row>
    <row r="78" spans="1:220" x14ac:dyDescent="0.4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</row>
    <row r="79" spans="1:220" x14ac:dyDescent="0.4"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</row>
    <row r="80" spans="1:220" x14ac:dyDescent="0.4"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</row>
    <row r="81" spans="2:151" x14ac:dyDescent="0.4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</row>
    <row r="82" spans="2:151" x14ac:dyDescent="0.4"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</row>
    <row r="83" spans="2:151" x14ac:dyDescent="0.4"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</row>
    <row r="84" spans="2:151" x14ac:dyDescent="0.4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</row>
    <row r="85" spans="2:151" x14ac:dyDescent="0.4"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</row>
    <row r="86" spans="2:151" x14ac:dyDescent="0.4"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</row>
    <row r="87" spans="2:151" x14ac:dyDescent="0.4"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</row>
    <row r="88" spans="2:151" x14ac:dyDescent="0.4"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</row>
    <row r="89" spans="2:151" x14ac:dyDescent="0.4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</row>
    <row r="90" spans="2:151" x14ac:dyDescent="0.4"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</row>
    <row r="91" spans="2:151" x14ac:dyDescent="0.4"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</row>
    <row r="92" spans="2:151" x14ac:dyDescent="0.4"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</row>
    <row r="93" spans="2:151" x14ac:dyDescent="0.4"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</row>
    <row r="94" spans="2:151" x14ac:dyDescent="0.4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</row>
    <row r="95" spans="2:151" x14ac:dyDescent="0.4"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</row>
    <row r="96" spans="2:151" x14ac:dyDescent="0.4"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</row>
    <row r="97" spans="2:151" x14ac:dyDescent="0.4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</row>
    <row r="98" spans="2:151" x14ac:dyDescent="0.4"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</row>
    <row r="99" spans="2:151" x14ac:dyDescent="0.4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</row>
    <row r="100" spans="2:151" x14ac:dyDescent="0.4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</row>
    <row r="101" spans="2:151" x14ac:dyDescent="0.4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</row>
    <row r="102" spans="2:151" x14ac:dyDescent="0.4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</row>
    <row r="103" spans="2:151" x14ac:dyDescent="0.4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</row>
    <row r="104" spans="2:151" x14ac:dyDescent="0.4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10"/>
      <c r="DP104" s="10"/>
      <c r="DQ104" s="10"/>
      <c r="DR104" s="10"/>
      <c r="DS104" s="10"/>
      <c r="DT104" s="10"/>
      <c r="DU104" s="10"/>
      <c r="DV104" s="10"/>
      <c r="DW104" s="10"/>
      <c r="DX104" s="10"/>
      <c r="DY104" s="10"/>
      <c r="DZ104" s="10"/>
      <c r="EA104" s="10"/>
      <c r="EB104" s="10"/>
      <c r="EC104" s="10"/>
      <c r="ED104" s="10"/>
      <c r="EE104" s="10"/>
      <c r="EF104" s="10"/>
      <c r="EG104" s="10"/>
      <c r="EH104" s="10"/>
      <c r="EI104" s="10"/>
      <c r="EJ104" s="10"/>
      <c r="EK104" s="10"/>
      <c r="EL104" s="10"/>
      <c r="EM104" s="10"/>
      <c r="EN104" s="10"/>
      <c r="EO104" s="10"/>
      <c r="EP104" s="10"/>
      <c r="EQ104" s="10"/>
      <c r="ER104" s="10"/>
      <c r="ES104" s="10"/>
      <c r="ET104" s="10"/>
      <c r="EU104" s="10"/>
    </row>
    <row r="105" spans="2:151" x14ac:dyDescent="0.4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</row>
    <row r="106" spans="2:151" x14ac:dyDescent="0.4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</row>
    <row r="107" spans="2:151" x14ac:dyDescent="0.4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</row>
    <row r="108" spans="2:151" x14ac:dyDescent="0.4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</row>
    <row r="109" spans="2:151" x14ac:dyDescent="0.4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10"/>
      <c r="DP109" s="10"/>
      <c r="DQ109" s="10"/>
      <c r="DR109" s="10"/>
      <c r="DS109" s="10"/>
      <c r="DT109" s="10"/>
      <c r="DU109" s="10"/>
      <c r="DV109" s="10"/>
      <c r="DW109" s="10"/>
      <c r="DX109" s="10"/>
      <c r="DY109" s="10"/>
      <c r="DZ109" s="10"/>
      <c r="EA109" s="10"/>
      <c r="EB109" s="10"/>
      <c r="EC109" s="10"/>
      <c r="ED109" s="10"/>
      <c r="EE109" s="10"/>
      <c r="EF109" s="10"/>
      <c r="EG109" s="10"/>
      <c r="EH109" s="10"/>
      <c r="EI109" s="10"/>
      <c r="EJ109" s="10"/>
      <c r="EK109" s="10"/>
      <c r="EL109" s="10"/>
      <c r="EM109" s="10"/>
      <c r="EN109" s="10"/>
      <c r="EO109" s="10"/>
      <c r="EP109" s="10"/>
      <c r="EQ109" s="10"/>
      <c r="ER109" s="10"/>
      <c r="ES109" s="10"/>
      <c r="ET109" s="10"/>
      <c r="EU109" s="10"/>
    </row>
    <row r="110" spans="2:151" x14ac:dyDescent="0.4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</row>
    <row r="111" spans="2:151" x14ac:dyDescent="0.4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</row>
    <row r="112" spans="2:151" x14ac:dyDescent="0.4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</row>
    <row r="113" spans="2:151" x14ac:dyDescent="0.4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</row>
    <row r="114" spans="2:151" x14ac:dyDescent="0.4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10"/>
      <c r="DP114" s="10"/>
      <c r="DQ114" s="10"/>
      <c r="DR114" s="10"/>
      <c r="DS114" s="10"/>
      <c r="DT114" s="10"/>
      <c r="DU114" s="10"/>
      <c r="DV114" s="10"/>
      <c r="DW114" s="10"/>
      <c r="DX114" s="10"/>
      <c r="DY114" s="10"/>
      <c r="DZ114" s="10"/>
      <c r="EA114" s="10"/>
      <c r="EB114" s="10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</row>
    <row r="115" spans="2:151" x14ac:dyDescent="0.4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</row>
    <row r="116" spans="2:151" x14ac:dyDescent="0.4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</row>
    <row r="117" spans="2:151" x14ac:dyDescent="0.4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</row>
    <row r="118" spans="2:151" x14ac:dyDescent="0.4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</row>
    <row r="119" spans="2:151" x14ac:dyDescent="0.4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10"/>
      <c r="DP119" s="10"/>
      <c r="DQ119" s="10"/>
      <c r="DR119" s="10"/>
      <c r="DS119" s="10"/>
      <c r="DT119" s="10"/>
      <c r="DU119" s="10"/>
      <c r="DV119" s="10"/>
      <c r="DW119" s="10"/>
      <c r="DX119" s="10"/>
      <c r="DY119" s="10"/>
      <c r="DZ119" s="10"/>
      <c r="EA119" s="10"/>
      <c r="EB119" s="10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</row>
    <row r="120" spans="2:151" x14ac:dyDescent="0.4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</row>
    <row r="121" spans="2:151" x14ac:dyDescent="0.4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</row>
    <row r="122" spans="2:151" x14ac:dyDescent="0.4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</row>
    <row r="123" spans="2:151" x14ac:dyDescent="0.4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</row>
    <row r="124" spans="2:151" x14ac:dyDescent="0.4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10"/>
      <c r="DP124" s="10"/>
      <c r="DQ124" s="10"/>
      <c r="DR124" s="10"/>
      <c r="DS124" s="10"/>
      <c r="DT124" s="10"/>
      <c r="DU124" s="10"/>
      <c r="DV124" s="10"/>
      <c r="DW124" s="10"/>
      <c r="DX124" s="10"/>
      <c r="DY124" s="10"/>
      <c r="DZ124" s="10"/>
      <c r="EA124" s="10"/>
      <c r="EB124" s="10"/>
      <c r="EC124" s="10"/>
      <c r="ED124" s="10"/>
      <c r="EE124" s="10"/>
      <c r="EF124" s="10"/>
      <c r="EG124" s="10"/>
      <c r="EH124" s="10"/>
      <c r="EI124" s="10"/>
      <c r="EJ124" s="10"/>
      <c r="EK124" s="10"/>
      <c r="EL124" s="10"/>
      <c r="EM124" s="10"/>
      <c r="EN124" s="10"/>
      <c r="EO124" s="10"/>
      <c r="EP124" s="10"/>
      <c r="EQ124" s="10"/>
      <c r="ER124" s="10"/>
      <c r="ES124" s="10"/>
      <c r="ET124" s="10"/>
      <c r="EU124" s="10"/>
    </row>
    <row r="125" spans="2:151" x14ac:dyDescent="0.4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</row>
    <row r="126" spans="2:151" x14ac:dyDescent="0.4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</row>
    <row r="127" spans="2:151" x14ac:dyDescent="0.4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</row>
    <row r="128" spans="2:151" x14ac:dyDescent="0.4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</row>
    <row r="129" spans="2:151" x14ac:dyDescent="0.4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10"/>
      <c r="DP129" s="10"/>
      <c r="DQ129" s="10"/>
      <c r="DR129" s="10"/>
      <c r="DS129" s="10"/>
      <c r="DT129" s="10"/>
      <c r="DU129" s="10"/>
      <c r="DV129" s="10"/>
      <c r="DW129" s="10"/>
      <c r="DX129" s="10"/>
      <c r="DY129" s="10"/>
      <c r="DZ129" s="10"/>
      <c r="EA129" s="10"/>
      <c r="EB129" s="10"/>
      <c r="EC129" s="10"/>
      <c r="ED129" s="10"/>
      <c r="EE129" s="10"/>
      <c r="EF129" s="10"/>
      <c r="EG129" s="10"/>
      <c r="EH129" s="10"/>
      <c r="EI129" s="10"/>
      <c r="EJ129" s="10"/>
      <c r="EK129" s="10"/>
      <c r="EL129" s="10"/>
      <c r="EM129" s="10"/>
      <c r="EN129" s="10"/>
      <c r="EO129" s="10"/>
      <c r="EP129" s="10"/>
      <c r="EQ129" s="10"/>
      <c r="ER129" s="10"/>
      <c r="ES129" s="10"/>
      <c r="ET129" s="10"/>
      <c r="EU129" s="10"/>
    </row>
    <row r="130" spans="2:151" x14ac:dyDescent="0.4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</row>
    <row r="131" spans="2:151" x14ac:dyDescent="0.4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</row>
    <row r="132" spans="2:151" x14ac:dyDescent="0.4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</row>
    <row r="133" spans="2:151" x14ac:dyDescent="0.4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</row>
    <row r="134" spans="2:151" x14ac:dyDescent="0.4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10"/>
      <c r="DP134" s="10"/>
      <c r="DQ134" s="10"/>
      <c r="DR134" s="10"/>
      <c r="DS134" s="10"/>
      <c r="DT134" s="10"/>
      <c r="DU134" s="10"/>
      <c r="DV134" s="10"/>
      <c r="DW134" s="10"/>
      <c r="DX134" s="10"/>
      <c r="DY134" s="10"/>
      <c r="DZ134" s="10"/>
      <c r="EA134" s="10"/>
      <c r="EB134" s="10"/>
      <c r="EC134" s="10"/>
      <c r="ED134" s="10"/>
      <c r="EE134" s="10"/>
      <c r="EF134" s="10"/>
      <c r="EG134" s="10"/>
      <c r="EH134" s="10"/>
      <c r="EI134" s="10"/>
      <c r="EJ134" s="10"/>
      <c r="EK134" s="10"/>
      <c r="EL134" s="10"/>
      <c r="EM134" s="10"/>
      <c r="EN134" s="10"/>
      <c r="EO134" s="10"/>
      <c r="EP134" s="10"/>
      <c r="EQ134" s="10"/>
      <c r="ER134" s="10"/>
      <c r="ES134" s="10"/>
      <c r="ET134" s="10"/>
      <c r="EU134" s="10"/>
    </row>
    <row r="135" spans="2:151" x14ac:dyDescent="0.4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</row>
    <row r="136" spans="2:151" x14ac:dyDescent="0.4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</row>
    <row r="137" spans="2:151" x14ac:dyDescent="0.4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</row>
    <row r="138" spans="2:151" x14ac:dyDescent="0.4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</row>
    <row r="139" spans="2:151" x14ac:dyDescent="0.4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10"/>
      <c r="DP139" s="10"/>
      <c r="DQ139" s="10"/>
      <c r="DR139" s="10"/>
      <c r="DS139" s="10"/>
      <c r="DT139" s="10"/>
      <c r="DU139" s="10"/>
      <c r="DV139" s="10"/>
      <c r="DW139" s="10"/>
      <c r="DX139" s="10"/>
      <c r="DY139" s="10"/>
      <c r="DZ139" s="10"/>
      <c r="EA139" s="10"/>
      <c r="EB139" s="10"/>
      <c r="EC139" s="10"/>
      <c r="ED139" s="10"/>
      <c r="EE139" s="10"/>
      <c r="EF139" s="10"/>
      <c r="EG139" s="10"/>
      <c r="EH139" s="10"/>
      <c r="EI139" s="10"/>
      <c r="EJ139" s="10"/>
      <c r="EK139" s="10"/>
      <c r="EL139" s="10"/>
      <c r="EM139" s="10"/>
      <c r="EN139" s="10"/>
      <c r="EO139" s="10"/>
      <c r="EP139" s="10"/>
      <c r="EQ139" s="10"/>
      <c r="ER139" s="10"/>
      <c r="ES139" s="10"/>
      <c r="ET139" s="10"/>
      <c r="EU139" s="10"/>
    </row>
    <row r="140" spans="2:151" x14ac:dyDescent="0.4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</row>
    <row r="141" spans="2:151" x14ac:dyDescent="0.4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</row>
    <row r="142" spans="2:151" x14ac:dyDescent="0.4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</row>
    <row r="143" spans="2:151" x14ac:dyDescent="0.4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</row>
    <row r="144" spans="2:151" x14ac:dyDescent="0.4"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10"/>
      <c r="DP144" s="10"/>
      <c r="DQ144" s="10"/>
      <c r="DR144" s="10"/>
      <c r="DS144" s="10"/>
      <c r="DT144" s="10"/>
      <c r="DU144" s="10"/>
      <c r="DV144" s="10"/>
      <c r="DW144" s="10"/>
      <c r="DX144" s="10"/>
      <c r="DY144" s="10"/>
      <c r="DZ144" s="10"/>
      <c r="EA144" s="10"/>
      <c r="EB144" s="10"/>
      <c r="EC144" s="10"/>
      <c r="ED144" s="10"/>
      <c r="EE144" s="10"/>
      <c r="EF144" s="10"/>
      <c r="EG144" s="10"/>
      <c r="EH144" s="10"/>
      <c r="EI144" s="10"/>
      <c r="EJ144" s="10"/>
      <c r="EK144" s="10"/>
      <c r="EL144" s="10"/>
      <c r="EM144" s="10"/>
      <c r="EN144" s="10"/>
      <c r="EO144" s="10"/>
      <c r="EP144" s="10"/>
      <c r="EQ144" s="10"/>
      <c r="ER144" s="10"/>
      <c r="ES144" s="10"/>
      <c r="ET144" s="10"/>
      <c r="EU144" s="10"/>
    </row>
    <row r="145" spans="2:151" x14ac:dyDescent="0.4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</row>
    <row r="146" spans="2:151" x14ac:dyDescent="0.4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</row>
    <row r="147" spans="2:151" x14ac:dyDescent="0.4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</row>
    <row r="148" spans="2:151" x14ac:dyDescent="0.4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</row>
    <row r="149" spans="2:151" x14ac:dyDescent="0.4"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10"/>
      <c r="DP149" s="10"/>
      <c r="DQ149" s="10"/>
      <c r="DR149" s="10"/>
      <c r="DS149" s="10"/>
      <c r="DT149" s="10"/>
      <c r="DU149" s="10"/>
      <c r="DV149" s="10"/>
      <c r="DW149" s="10"/>
      <c r="DX149" s="10"/>
      <c r="DY149" s="10"/>
      <c r="DZ149" s="10"/>
      <c r="EA149" s="10"/>
      <c r="EB149" s="10"/>
      <c r="EC149" s="10"/>
      <c r="ED149" s="10"/>
      <c r="EE149" s="10"/>
      <c r="EF149" s="10"/>
      <c r="EG149" s="10"/>
      <c r="EH149" s="10"/>
      <c r="EI149" s="10"/>
      <c r="EJ149" s="10"/>
      <c r="EK149" s="10"/>
      <c r="EL149" s="10"/>
      <c r="EM149" s="10"/>
      <c r="EN149" s="10"/>
      <c r="EO149" s="10"/>
      <c r="EP149" s="10"/>
      <c r="EQ149" s="10"/>
      <c r="ER149" s="10"/>
      <c r="ES149" s="10"/>
      <c r="ET149" s="10"/>
      <c r="EU149" s="10"/>
    </row>
    <row r="150" spans="2:151" x14ac:dyDescent="0.4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</row>
    <row r="151" spans="2:151" x14ac:dyDescent="0.4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</row>
    <row r="152" spans="2:151" x14ac:dyDescent="0.4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</row>
    <row r="153" spans="2:151" x14ac:dyDescent="0.4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</row>
    <row r="154" spans="2:151" x14ac:dyDescent="0.4"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10"/>
      <c r="DP154" s="10"/>
      <c r="DQ154" s="10"/>
      <c r="DR154" s="10"/>
      <c r="DS154" s="10"/>
      <c r="DT154" s="10"/>
      <c r="DU154" s="10"/>
      <c r="DV154" s="10"/>
      <c r="DW154" s="10"/>
      <c r="DX154" s="10"/>
      <c r="DY154" s="10"/>
      <c r="DZ154" s="10"/>
      <c r="EA154" s="10"/>
      <c r="EB154" s="10"/>
      <c r="EC154" s="10"/>
      <c r="ED154" s="10"/>
      <c r="EE154" s="10"/>
      <c r="EF154" s="10"/>
      <c r="EG154" s="10"/>
      <c r="EH154" s="10"/>
      <c r="EI154" s="10"/>
      <c r="EJ154" s="10"/>
      <c r="EK154" s="10"/>
      <c r="EL154" s="10"/>
      <c r="EM154" s="10"/>
      <c r="EN154" s="10"/>
      <c r="EO154" s="10"/>
      <c r="EP154" s="10"/>
      <c r="EQ154" s="10"/>
      <c r="ER154" s="10"/>
      <c r="ES154" s="10"/>
      <c r="ET154" s="10"/>
      <c r="EU154" s="10"/>
    </row>
    <row r="155" spans="2:151" x14ac:dyDescent="0.4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</row>
    <row r="156" spans="2:151" x14ac:dyDescent="0.4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</row>
    <row r="157" spans="2:151" x14ac:dyDescent="0.4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</row>
    <row r="158" spans="2:151" x14ac:dyDescent="0.4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</row>
    <row r="159" spans="2:151" x14ac:dyDescent="0.4"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10"/>
      <c r="DP159" s="10"/>
      <c r="DQ159" s="10"/>
      <c r="DR159" s="10"/>
      <c r="DS159" s="10"/>
      <c r="DT159" s="10"/>
      <c r="DU159" s="10"/>
      <c r="DV159" s="10"/>
      <c r="DW159" s="10"/>
      <c r="DX159" s="10"/>
      <c r="DY159" s="10"/>
      <c r="DZ159" s="10"/>
      <c r="EA159" s="10"/>
      <c r="EB159" s="10"/>
      <c r="EC159" s="10"/>
      <c r="ED159" s="10"/>
      <c r="EE159" s="10"/>
      <c r="EF159" s="10"/>
      <c r="EG159" s="10"/>
      <c r="EH159" s="10"/>
      <c r="EI159" s="10"/>
      <c r="EJ159" s="10"/>
      <c r="EK159" s="10"/>
      <c r="EL159" s="10"/>
      <c r="EM159" s="10"/>
      <c r="EN159" s="10"/>
      <c r="EO159" s="10"/>
      <c r="EP159" s="10"/>
      <c r="EQ159" s="10"/>
      <c r="ER159" s="10"/>
      <c r="ES159" s="10"/>
      <c r="ET159" s="10"/>
      <c r="EU159" s="10"/>
    </row>
    <row r="160" spans="2:151" x14ac:dyDescent="0.4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</row>
    <row r="161" spans="2:151" x14ac:dyDescent="0.4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</row>
    <row r="162" spans="2:151" x14ac:dyDescent="0.4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</row>
    <row r="163" spans="2:151" x14ac:dyDescent="0.4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</row>
    <row r="164" spans="2:151" x14ac:dyDescent="0.4"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10"/>
      <c r="DP164" s="10"/>
      <c r="DQ164" s="10"/>
      <c r="DR164" s="10"/>
      <c r="DS164" s="10"/>
      <c r="DT164" s="10"/>
      <c r="DU164" s="10"/>
      <c r="DV164" s="10"/>
      <c r="DW164" s="10"/>
      <c r="DX164" s="10"/>
      <c r="DY164" s="10"/>
      <c r="DZ164" s="10"/>
      <c r="EA164" s="10"/>
      <c r="EB164" s="10"/>
      <c r="EC164" s="10"/>
      <c r="ED164" s="10"/>
      <c r="EE164" s="10"/>
      <c r="EF164" s="10"/>
      <c r="EG164" s="10"/>
      <c r="EH164" s="10"/>
      <c r="EI164" s="10"/>
      <c r="EJ164" s="10"/>
      <c r="EK164" s="10"/>
      <c r="EL164" s="10"/>
      <c r="EM164" s="10"/>
      <c r="EN164" s="10"/>
      <c r="EO164" s="10"/>
      <c r="EP164" s="10"/>
      <c r="EQ164" s="10"/>
      <c r="ER164" s="10"/>
      <c r="ES164" s="10"/>
      <c r="ET164" s="10"/>
      <c r="EU164" s="10"/>
    </row>
    <row r="165" spans="2:151" x14ac:dyDescent="0.4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</row>
    <row r="166" spans="2:151" x14ac:dyDescent="0.4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</row>
    <row r="167" spans="2:151" x14ac:dyDescent="0.4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</row>
    <row r="168" spans="2:151" x14ac:dyDescent="0.4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</row>
    <row r="169" spans="2:151" x14ac:dyDescent="0.4"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10"/>
      <c r="DP169" s="10"/>
      <c r="DQ169" s="10"/>
      <c r="DR169" s="10"/>
      <c r="DS169" s="10"/>
      <c r="DT169" s="10"/>
      <c r="DU169" s="10"/>
      <c r="DV169" s="10"/>
      <c r="DW169" s="10"/>
      <c r="DX169" s="10"/>
      <c r="DY169" s="10"/>
      <c r="DZ169" s="10"/>
      <c r="EA169" s="10"/>
      <c r="EB169" s="10"/>
      <c r="EC169" s="10"/>
      <c r="ED169" s="10"/>
      <c r="EE169" s="10"/>
      <c r="EF169" s="10"/>
      <c r="EG169" s="10"/>
      <c r="EH169" s="10"/>
      <c r="EI169" s="10"/>
      <c r="EJ169" s="10"/>
      <c r="EK169" s="10"/>
      <c r="EL169" s="10"/>
      <c r="EM169" s="10"/>
      <c r="EN169" s="10"/>
      <c r="EO169" s="10"/>
      <c r="EP169" s="10"/>
      <c r="EQ169" s="10"/>
      <c r="ER169" s="10"/>
      <c r="ES169" s="10"/>
      <c r="ET169" s="10"/>
      <c r="EU169" s="10"/>
    </row>
    <row r="170" spans="2:151" x14ac:dyDescent="0.4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</row>
    <row r="171" spans="2:151" x14ac:dyDescent="0.4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</row>
    <row r="172" spans="2:151" x14ac:dyDescent="0.4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</row>
    <row r="173" spans="2:151" x14ac:dyDescent="0.4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</row>
    <row r="174" spans="2:151" x14ac:dyDescent="0.4"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10"/>
      <c r="DP174" s="10"/>
      <c r="DQ174" s="10"/>
      <c r="DR174" s="10"/>
      <c r="DS174" s="10"/>
      <c r="DT174" s="10"/>
      <c r="DU174" s="10"/>
      <c r="DV174" s="10"/>
      <c r="DW174" s="10"/>
      <c r="DX174" s="10"/>
      <c r="DY174" s="10"/>
      <c r="DZ174" s="10"/>
      <c r="EA174" s="10"/>
      <c r="EB174" s="10"/>
      <c r="EC174" s="10"/>
      <c r="ED174" s="10"/>
      <c r="EE174" s="10"/>
      <c r="EF174" s="10"/>
      <c r="EG174" s="10"/>
      <c r="EH174" s="10"/>
      <c r="EI174" s="10"/>
      <c r="EJ174" s="10"/>
      <c r="EK174" s="10"/>
      <c r="EL174" s="10"/>
      <c r="EM174" s="10"/>
      <c r="EN174" s="10"/>
      <c r="EO174" s="10"/>
      <c r="EP174" s="10"/>
      <c r="EQ174" s="10"/>
      <c r="ER174" s="10"/>
      <c r="ES174" s="10"/>
      <c r="ET174" s="10"/>
      <c r="EU174" s="10"/>
    </row>
    <row r="175" spans="2:151" x14ac:dyDescent="0.4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</row>
    <row r="176" spans="2:151" x14ac:dyDescent="0.4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</row>
    <row r="177" spans="2:151" x14ac:dyDescent="0.4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</row>
    <row r="178" spans="2:151" x14ac:dyDescent="0.4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</row>
    <row r="179" spans="2:151" x14ac:dyDescent="0.4"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10"/>
      <c r="DP179" s="10"/>
      <c r="DQ179" s="10"/>
      <c r="DR179" s="10"/>
      <c r="DS179" s="10"/>
      <c r="DT179" s="10"/>
      <c r="DU179" s="10"/>
      <c r="DV179" s="10"/>
      <c r="DW179" s="10"/>
      <c r="DX179" s="10"/>
      <c r="DY179" s="10"/>
      <c r="DZ179" s="10"/>
      <c r="EA179" s="10"/>
      <c r="EB179" s="10"/>
      <c r="EC179" s="10"/>
      <c r="ED179" s="10"/>
      <c r="EE179" s="10"/>
      <c r="EF179" s="10"/>
      <c r="EG179" s="10"/>
      <c r="EH179" s="10"/>
      <c r="EI179" s="10"/>
      <c r="EJ179" s="10"/>
      <c r="EK179" s="10"/>
      <c r="EL179" s="10"/>
      <c r="EM179" s="10"/>
      <c r="EN179" s="10"/>
      <c r="EO179" s="10"/>
      <c r="EP179" s="10"/>
      <c r="EQ179" s="10"/>
      <c r="ER179" s="10"/>
      <c r="ES179" s="10"/>
      <c r="ET179" s="10"/>
      <c r="EU179" s="10"/>
    </row>
    <row r="180" spans="2:151" x14ac:dyDescent="0.4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</row>
    <row r="181" spans="2:151" x14ac:dyDescent="0.4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</row>
    <row r="182" spans="2:151" x14ac:dyDescent="0.4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</row>
    <row r="183" spans="2:151" x14ac:dyDescent="0.4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</row>
    <row r="184" spans="2:151" x14ac:dyDescent="0.4"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10"/>
      <c r="DP184" s="10"/>
      <c r="DQ184" s="10"/>
      <c r="DR184" s="10"/>
      <c r="DS184" s="10"/>
      <c r="DT184" s="10"/>
      <c r="DU184" s="10"/>
      <c r="DV184" s="10"/>
      <c r="DW184" s="10"/>
      <c r="DX184" s="10"/>
      <c r="DY184" s="10"/>
      <c r="DZ184" s="10"/>
      <c r="EA184" s="10"/>
      <c r="EB184" s="10"/>
      <c r="EC184" s="10"/>
      <c r="ED184" s="10"/>
      <c r="EE184" s="10"/>
      <c r="EF184" s="10"/>
      <c r="EG184" s="10"/>
      <c r="EH184" s="10"/>
      <c r="EI184" s="10"/>
      <c r="EJ184" s="10"/>
      <c r="EK184" s="10"/>
      <c r="EL184" s="10"/>
      <c r="EM184" s="10"/>
      <c r="EN184" s="10"/>
      <c r="EO184" s="10"/>
      <c r="EP184" s="10"/>
      <c r="EQ184" s="10"/>
      <c r="ER184" s="10"/>
      <c r="ES184" s="10"/>
      <c r="ET184" s="10"/>
      <c r="EU184" s="10"/>
    </row>
    <row r="185" spans="2:151" x14ac:dyDescent="0.4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</row>
    <row r="186" spans="2:151" x14ac:dyDescent="0.4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</row>
    <row r="187" spans="2:151" x14ac:dyDescent="0.4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</row>
    <row r="188" spans="2:151" x14ac:dyDescent="0.4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</row>
    <row r="189" spans="2:151" x14ac:dyDescent="0.4"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10"/>
      <c r="DP189" s="10"/>
      <c r="DQ189" s="10"/>
      <c r="DR189" s="10"/>
      <c r="DS189" s="10"/>
      <c r="DT189" s="10"/>
      <c r="DU189" s="10"/>
      <c r="DV189" s="10"/>
      <c r="DW189" s="10"/>
      <c r="DX189" s="10"/>
      <c r="DY189" s="10"/>
      <c r="DZ189" s="10"/>
      <c r="EA189" s="10"/>
      <c r="EB189" s="10"/>
      <c r="EC189" s="10"/>
      <c r="ED189" s="10"/>
      <c r="EE189" s="10"/>
      <c r="EF189" s="10"/>
      <c r="EG189" s="10"/>
      <c r="EH189" s="10"/>
      <c r="EI189" s="10"/>
      <c r="EJ189" s="10"/>
      <c r="EK189" s="10"/>
      <c r="EL189" s="10"/>
      <c r="EM189" s="10"/>
      <c r="EN189" s="10"/>
      <c r="EO189" s="10"/>
      <c r="EP189" s="10"/>
      <c r="EQ189" s="10"/>
      <c r="ER189" s="10"/>
      <c r="ES189" s="10"/>
      <c r="ET189" s="10"/>
      <c r="EU189" s="10"/>
    </row>
    <row r="190" spans="2:151" x14ac:dyDescent="0.4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</row>
    <row r="191" spans="2:151" x14ac:dyDescent="0.4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</row>
    <row r="192" spans="2:151" x14ac:dyDescent="0.4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</row>
    <row r="193" spans="2:151" x14ac:dyDescent="0.4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</row>
    <row r="194" spans="2:151" x14ac:dyDescent="0.4"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10"/>
      <c r="DP194" s="10"/>
      <c r="DQ194" s="10"/>
      <c r="DR194" s="10"/>
      <c r="DS194" s="10"/>
      <c r="DT194" s="10"/>
      <c r="DU194" s="10"/>
      <c r="DV194" s="10"/>
      <c r="DW194" s="10"/>
      <c r="DX194" s="10"/>
      <c r="DY194" s="10"/>
      <c r="DZ194" s="10"/>
      <c r="EA194" s="10"/>
      <c r="EB194" s="10"/>
      <c r="EC194" s="10"/>
      <c r="ED194" s="10"/>
      <c r="EE194" s="10"/>
      <c r="EF194" s="10"/>
      <c r="EG194" s="10"/>
      <c r="EH194" s="10"/>
      <c r="EI194" s="10"/>
      <c r="EJ194" s="10"/>
      <c r="EK194" s="10"/>
      <c r="EL194" s="10"/>
      <c r="EM194" s="10"/>
      <c r="EN194" s="10"/>
      <c r="EO194" s="10"/>
      <c r="EP194" s="10"/>
      <c r="EQ194" s="10"/>
      <c r="ER194" s="10"/>
      <c r="ES194" s="10"/>
      <c r="ET194" s="10"/>
      <c r="EU194" s="10"/>
    </row>
    <row r="195" spans="2:151" x14ac:dyDescent="0.4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</row>
    <row r="196" spans="2:151" x14ac:dyDescent="0.4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</row>
    <row r="197" spans="2:151" x14ac:dyDescent="0.4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</row>
    <row r="198" spans="2:151" x14ac:dyDescent="0.4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</row>
    <row r="199" spans="2:151" x14ac:dyDescent="0.4"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10"/>
      <c r="DP199" s="10"/>
      <c r="DQ199" s="10"/>
      <c r="DR199" s="10"/>
      <c r="DS199" s="10"/>
      <c r="DT199" s="10"/>
      <c r="DU199" s="10"/>
      <c r="DV199" s="10"/>
      <c r="DW199" s="10"/>
      <c r="DX199" s="10"/>
      <c r="DY199" s="10"/>
      <c r="DZ199" s="10"/>
      <c r="EA199" s="10"/>
      <c r="EB199" s="10"/>
      <c r="EC199" s="10"/>
      <c r="ED199" s="10"/>
      <c r="EE199" s="10"/>
      <c r="EF199" s="10"/>
      <c r="EG199" s="10"/>
      <c r="EH199" s="10"/>
      <c r="EI199" s="10"/>
      <c r="EJ199" s="10"/>
      <c r="EK199" s="10"/>
      <c r="EL199" s="10"/>
      <c r="EM199" s="10"/>
      <c r="EN199" s="10"/>
      <c r="EO199" s="10"/>
      <c r="EP199" s="10"/>
      <c r="EQ199" s="10"/>
      <c r="ER199" s="10"/>
      <c r="ES199" s="10"/>
      <c r="ET199" s="10"/>
      <c r="EU199" s="10"/>
    </row>
    <row r="200" spans="2:151" x14ac:dyDescent="0.4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</row>
    <row r="201" spans="2:151" x14ac:dyDescent="0.4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</row>
    <row r="202" spans="2:151" x14ac:dyDescent="0.4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</row>
    <row r="203" spans="2:151" x14ac:dyDescent="0.4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</row>
    <row r="204" spans="2:151" x14ac:dyDescent="0.4"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  <c r="DB204" s="10"/>
      <c r="DC204" s="10"/>
      <c r="DD204" s="10"/>
      <c r="DE204" s="10"/>
      <c r="DF204" s="10"/>
      <c r="DG204" s="10"/>
      <c r="DH204" s="10"/>
      <c r="DI204" s="10"/>
      <c r="DJ204" s="10"/>
      <c r="DK204" s="10"/>
      <c r="DL204" s="10"/>
      <c r="DM204" s="10"/>
      <c r="DN204" s="10"/>
      <c r="DO204" s="10"/>
      <c r="DP204" s="10"/>
      <c r="DQ204" s="10"/>
      <c r="DR204" s="10"/>
      <c r="DS204" s="10"/>
      <c r="DT204" s="10"/>
      <c r="DU204" s="10"/>
      <c r="DV204" s="10"/>
      <c r="DW204" s="10"/>
      <c r="DX204" s="10"/>
      <c r="DY204" s="10"/>
      <c r="DZ204" s="10"/>
      <c r="EA204" s="10"/>
      <c r="EB204" s="10"/>
      <c r="EC204" s="10"/>
      <c r="ED204" s="10"/>
      <c r="EE204" s="10"/>
      <c r="EF204" s="10"/>
      <c r="EG204" s="10"/>
      <c r="EH204" s="10"/>
      <c r="EI204" s="10"/>
      <c r="EJ204" s="10"/>
      <c r="EK204" s="10"/>
      <c r="EL204" s="10"/>
      <c r="EM204" s="10"/>
      <c r="EN204" s="10"/>
      <c r="EO204" s="10"/>
      <c r="EP204" s="10"/>
      <c r="EQ204" s="10"/>
      <c r="ER204" s="10"/>
      <c r="ES204" s="10"/>
      <c r="ET204" s="10"/>
      <c r="EU204" s="10"/>
    </row>
    <row r="205" spans="2:151" x14ac:dyDescent="0.4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</row>
    <row r="206" spans="2:151" x14ac:dyDescent="0.4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</row>
    <row r="207" spans="2:151" x14ac:dyDescent="0.4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</row>
    <row r="208" spans="2:151" x14ac:dyDescent="0.4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</row>
    <row r="209" spans="2:151" x14ac:dyDescent="0.4"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C209" s="10"/>
      <c r="DD209" s="10"/>
      <c r="DE209" s="10"/>
      <c r="DF209" s="10"/>
      <c r="DG209" s="10"/>
      <c r="DH209" s="10"/>
      <c r="DI209" s="10"/>
      <c r="DJ209" s="10"/>
      <c r="DK209" s="10"/>
      <c r="DL209" s="10"/>
      <c r="DM209" s="10"/>
      <c r="DN209" s="10"/>
      <c r="DO209" s="10"/>
      <c r="DP209" s="10"/>
      <c r="DQ209" s="10"/>
      <c r="DR209" s="10"/>
      <c r="DS209" s="10"/>
      <c r="DT209" s="10"/>
      <c r="DU209" s="10"/>
      <c r="DV209" s="10"/>
      <c r="DW209" s="10"/>
      <c r="DX209" s="10"/>
      <c r="DY209" s="10"/>
      <c r="DZ209" s="10"/>
      <c r="EA209" s="10"/>
      <c r="EB209" s="10"/>
      <c r="EC209" s="10"/>
      <c r="ED209" s="10"/>
      <c r="EE209" s="10"/>
      <c r="EF209" s="10"/>
      <c r="EG209" s="10"/>
      <c r="EH209" s="10"/>
      <c r="EI209" s="10"/>
      <c r="EJ209" s="10"/>
      <c r="EK209" s="10"/>
      <c r="EL209" s="10"/>
      <c r="EM209" s="10"/>
      <c r="EN209" s="10"/>
      <c r="EO209" s="10"/>
      <c r="EP209" s="10"/>
      <c r="EQ209" s="10"/>
      <c r="ER209" s="10"/>
      <c r="ES209" s="10"/>
      <c r="ET209" s="10"/>
      <c r="EU209" s="10"/>
    </row>
    <row r="210" spans="2:151" x14ac:dyDescent="0.4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</row>
    <row r="211" spans="2:151" x14ac:dyDescent="0.4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</row>
    <row r="212" spans="2:151" x14ac:dyDescent="0.4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</row>
    <row r="213" spans="2:151" x14ac:dyDescent="0.4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</row>
    <row r="214" spans="2:151" x14ac:dyDescent="0.4"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C214" s="10"/>
      <c r="DD214" s="10"/>
      <c r="DE214" s="10"/>
      <c r="DF214" s="10"/>
      <c r="DG214" s="10"/>
      <c r="DH214" s="10"/>
      <c r="DI214" s="10"/>
      <c r="DJ214" s="10"/>
      <c r="DK214" s="10"/>
      <c r="DL214" s="10"/>
      <c r="DM214" s="10"/>
      <c r="DN214" s="10"/>
      <c r="DO214" s="10"/>
      <c r="DP214" s="10"/>
      <c r="DQ214" s="10"/>
      <c r="DR214" s="10"/>
      <c r="DS214" s="10"/>
      <c r="DT214" s="10"/>
      <c r="DU214" s="10"/>
      <c r="DV214" s="10"/>
      <c r="DW214" s="10"/>
      <c r="DX214" s="10"/>
      <c r="DY214" s="10"/>
      <c r="DZ214" s="10"/>
      <c r="EA214" s="10"/>
      <c r="EB214" s="10"/>
      <c r="EC214" s="10"/>
      <c r="ED214" s="10"/>
      <c r="EE214" s="10"/>
      <c r="EF214" s="10"/>
      <c r="EG214" s="10"/>
      <c r="EH214" s="10"/>
      <c r="EI214" s="10"/>
      <c r="EJ214" s="10"/>
      <c r="EK214" s="10"/>
      <c r="EL214" s="10"/>
      <c r="EM214" s="10"/>
      <c r="EN214" s="10"/>
      <c r="EO214" s="10"/>
      <c r="EP214" s="10"/>
      <c r="EQ214" s="10"/>
      <c r="ER214" s="10"/>
      <c r="ES214" s="10"/>
      <c r="ET214" s="10"/>
      <c r="EU214" s="10"/>
    </row>
    <row r="215" spans="2:151" x14ac:dyDescent="0.4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</row>
    <row r="216" spans="2:151" x14ac:dyDescent="0.4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</row>
    <row r="217" spans="2:151" x14ac:dyDescent="0.4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</row>
    <row r="218" spans="2:151" x14ac:dyDescent="0.4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</row>
    <row r="219" spans="2:151" x14ac:dyDescent="0.4"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  <c r="DB219" s="10"/>
      <c r="DC219" s="10"/>
      <c r="DD219" s="10"/>
      <c r="DE219" s="10"/>
      <c r="DF219" s="10"/>
      <c r="DG219" s="10"/>
      <c r="DH219" s="10"/>
      <c r="DI219" s="10"/>
      <c r="DJ219" s="10"/>
      <c r="DK219" s="10"/>
      <c r="DL219" s="10"/>
      <c r="DM219" s="10"/>
      <c r="DN219" s="10"/>
      <c r="DO219" s="10"/>
      <c r="DP219" s="10"/>
      <c r="DQ219" s="10"/>
      <c r="DR219" s="10"/>
      <c r="DS219" s="10"/>
      <c r="DT219" s="10"/>
      <c r="DU219" s="10"/>
      <c r="DV219" s="10"/>
      <c r="DW219" s="10"/>
      <c r="DX219" s="10"/>
      <c r="DY219" s="10"/>
      <c r="DZ219" s="10"/>
      <c r="EA219" s="10"/>
      <c r="EB219" s="10"/>
      <c r="EC219" s="10"/>
      <c r="ED219" s="10"/>
      <c r="EE219" s="10"/>
      <c r="EF219" s="10"/>
      <c r="EG219" s="10"/>
      <c r="EH219" s="10"/>
      <c r="EI219" s="10"/>
      <c r="EJ219" s="10"/>
      <c r="EK219" s="10"/>
      <c r="EL219" s="10"/>
      <c r="EM219" s="10"/>
      <c r="EN219" s="10"/>
      <c r="EO219" s="10"/>
      <c r="EP219" s="10"/>
      <c r="EQ219" s="10"/>
      <c r="ER219" s="10"/>
      <c r="ES219" s="10"/>
      <c r="ET219" s="10"/>
      <c r="EU219" s="10"/>
    </row>
    <row r="220" spans="2:151" x14ac:dyDescent="0.4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</row>
    <row r="221" spans="2:151" x14ac:dyDescent="0.4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</row>
    <row r="222" spans="2:151" x14ac:dyDescent="0.4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</row>
    <row r="223" spans="2:151" x14ac:dyDescent="0.4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</row>
    <row r="224" spans="2:151" x14ac:dyDescent="0.4"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  <c r="DB224" s="10"/>
      <c r="DC224" s="10"/>
      <c r="DD224" s="10"/>
      <c r="DE224" s="10"/>
      <c r="DF224" s="10"/>
      <c r="DG224" s="10"/>
      <c r="DH224" s="10"/>
      <c r="DI224" s="10"/>
      <c r="DJ224" s="10"/>
      <c r="DK224" s="10"/>
      <c r="DL224" s="10"/>
      <c r="DM224" s="10"/>
      <c r="DN224" s="10"/>
      <c r="DO224" s="10"/>
      <c r="DP224" s="10"/>
      <c r="DQ224" s="10"/>
      <c r="DR224" s="10"/>
      <c r="DS224" s="10"/>
      <c r="DT224" s="10"/>
      <c r="DU224" s="10"/>
      <c r="DV224" s="10"/>
      <c r="DW224" s="10"/>
      <c r="DX224" s="10"/>
      <c r="DY224" s="10"/>
      <c r="DZ224" s="10"/>
      <c r="EA224" s="10"/>
      <c r="EB224" s="10"/>
      <c r="EC224" s="10"/>
      <c r="ED224" s="10"/>
      <c r="EE224" s="10"/>
      <c r="EF224" s="10"/>
      <c r="EG224" s="10"/>
      <c r="EH224" s="10"/>
      <c r="EI224" s="10"/>
      <c r="EJ224" s="10"/>
      <c r="EK224" s="10"/>
      <c r="EL224" s="10"/>
      <c r="EM224" s="10"/>
      <c r="EN224" s="10"/>
      <c r="EO224" s="10"/>
      <c r="EP224" s="10"/>
      <c r="EQ224" s="10"/>
      <c r="ER224" s="10"/>
      <c r="ES224" s="10"/>
      <c r="ET224" s="10"/>
      <c r="EU224" s="10"/>
    </row>
    <row r="225" spans="2:151" x14ac:dyDescent="0.4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</row>
    <row r="226" spans="2:151" x14ac:dyDescent="0.4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</row>
    <row r="227" spans="2:151" x14ac:dyDescent="0.4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</row>
    <row r="228" spans="2:151" x14ac:dyDescent="0.4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</row>
    <row r="229" spans="2:151" x14ac:dyDescent="0.4"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  <c r="DB229" s="10"/>
      <c r="DC229" s="10"/>
      <c r="DD229" s="10"/>
      <c r="DE229" s="10"/>
      <c r="DF229" s="10"/>
      <c r="DG229" s="10"/>
      <c r="DH229" s="10"/>
      <c r="DI229" s="10"/>
      <c r="DJ229" s="10"/>
      <c r="DK229" s="10"/>
      <c r="DL229" s="10"/>
      <c r="DM229" s="10"/>
      <c r="DN229" s="10"/>
      <c r="DO229" s="10"/>
      <c r="DP229" s="10"/>
      <c r="DQ229" s="10"/>
      <c r="DR229" s="10"/>
      <c r="DS229" s="10"/>
      <c r="DT229" s="10"/>
      <c r="DU229" s="10"/>
      <c r="DV229" s="10"/>
      <c r="DW229" s="10"/>
      <c r="DX229" s="10"/>
      <c r="DY229" s="10"/>
      <c r="DZ229" s="10"/>
      <c r="EA229" s="10"/>
      <c r="EB229" s="10"/>
      <c r="EC229" s="10"/>
      <c r="ED229" s="10"/>
      <c r="EE229" s="10"/>
      <c r="EF229" s="10"/>
      <c r="EG229" s="10"/>
      <c r="EH229" s="10"/>
      <c r="EI229" s="10"/>
      <c r="EJ229" s="10"/>
      <c r="EK229" s="10"/>
      <c r="EL229" s="10"/>
      <c r="EM229" s="10"/>
      <c r="EN229" s="10"/>
      <c r="EO229" s="10"/>
      <c r="EP229" s="10"/>
      <c r="EQ229" s="10"/>
      <c r="ER229" s="10"/>
      <c r="ES229" s="10"/>
      <c r="ET229" s="10"/>
      <c r="EU229" s="10"/>
    </row>
    <row r="230" spans="2:151" x14ac:dyDescent="0.4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</row>
    <row r="231" spans="2:151" x14ac:dyDescent="0.4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</row>
    <row r="232" spans="2:151" x14ac:dyDescent="0.4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</row>
    <row r="233" spans="2:151" x14ac:dyDescent="0.4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</row>
    <row r="234" spans="2:151" x14ac:dyDescent="0.4"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10"/>
      <c r="DB234" s="10"/>
      <c r="DC234" s="10"/>
      <c r="DD234" s="10"/>
      <c r="DE234" s="10"/>
      <c r="DF234" s="10"/>
      <c r="DG234" s="10"/>
      <c r="DH234" s="10"/>
      <c r="DI234" s="10"/>
      <c r="DJ234" s="10"/>
      <c r="DK234" s="10"/>
      <c r="DL234" s="10"/>
      <c r="DM234" s="10"/>
      <c r="DN234" s="10"/>
      <c r="DO234" s="10"/>
      <c r="DP234" s="10"/>
      <c r="DQ234" s="10"/>
      <c r="DR234" s="10"/>
      <c r="DS234" s="10"/>
      <c r="DT234" s="10"/>
      <c r="DU234" s="10"/>
      <c r="DV234" s="10"/>
      <c r="DW234" s="10"/>
      <c r="DX234" s="10"/>
      <c r="DY234" s="10"/>
      <c r="DZ234" s="10"/>
      <c r="EA234" s="10"/>
      <c r="EB234" s="10"/>
      <c r="EC234" s="10"/>
      <c r="ED234" s="10"/>
      <c r="EE234" s="10"/>
      <c r="EF234" s="10"/>
      <c r="EG234" s="10"/>
      <c r="EH234" s="10"/>
      <c r="EI234" s="10"/>
      <c r="EJ234" s="10"/>
      <c r="EK234" s="10"/>
      <c r="EL234" s="10"/>
      <c r="EM234" s="10"/>
      <c r="EN234" s="10"/>
      <c r="EO234" s="10"/>
      <c r="EP234" s="10"/>
      <c r="EQ234" s="10"/>
      <c r="ER234" s="10"/>
      <c r="ES234" s="10"/>
      <c r="ET234" s="10"/>
      <c r="EU234" s="10"/>
    </row>
    <row r="235" spans="2:151" x14ac:dyDescent="0.4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</row>
    <row r="236" spans="2:151" x14ac:dyDescent="0.4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</row>
    <row r="237" spans="2:151" x14ac:dyDescent="0.4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</row>
    <row r="238" spans="2:151" x14ac:dyDescent="0.4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</row>
    <row r="239" spans="2:151" x14ac:dyDescent="0.4"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L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0"/>
      <c r="DA239" s="10"/>
      <c r="DB239" s="10"/>
      <c r="DC239" s="10"/>
      <c r="DD239" s="10"/>
      <c r="DE239" s="10"/>
      <c r="DF239" s="10"/>
      <c r="DG239" s="10"/>
      <c r="DH239" s="10"/>
      <c r="DI239" s="10"/>
      <c r="DJ239" s="10"/>
      <c r="DK239" s="10"/>
      <c r="DL239" s="10"/>
      <c r="DM239" s="10"/>
      <c r="DN239" s="10"/>
      <c r="DO239" s="10"/>
      <c r="DP239" s="10"/>
      <c r="DQ239" s="10"/>
      <c r="DR239" s="10"/>
      <c r="DS239" s="10"/>
      <c r="DT239" s="10"/>
      <c r="DU239" s="10"/>
      <c r="DV239" s="10"/>
      <c r="DW239" s="10"/>
      <c r="DX239" s="10"/>
      <c r="DY239" s="10"/>
      <c r="DZ239" s="10"/>
      <c r="EA239" s="10"/>
      <c r="EB239" s="10"/>
      <c r="EC239" s="10"/>
      <c r="ED239" s="10"/>
      <c r="EE239" s="10"/>
      <c r="EF239" s="10"/>
      <c r="EG239" s="10"/>
      <c r="EH239" s="10"/>
      <c r="EI239" s="10"/>
      <c r="EJ239" s="10"/>
      <c r="EK239" s="10"/>
      <c r="EL239" s="10"/>
      <c r="EM239" s="10"/>
      <c r="EN239" s="10"/>
      <c r="EO239" s="10"/>
      <c r="EP239" s="10"/>
      <c r="EQ239" s="10"/>
      <c r="ER239" s="10"/>
      <c r="ES239" s="10"/>
      <c r="ET239" s="10"/>
      <c r="EU239" s="10"/>
    </row>
    <row r="240" spans="2:151" x14ac:dyDescent="0.4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</row>
    <row r="241" spans="2:151" x14ac:dyDescent="0.4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  <c r="ES241" s="8"/>
      <c r="ET241" s="8"/>
      <c r="EU241" s="8"/>
    </row>
    <row r="242" spans="2:151" x14ac:dyDescent="0.4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  <c r="ES242" s="8"/>
      <c r="ET242" s="8"/>
      <c r="EU242" s="8"/>
    </row>
    <row r="243" spans="2:151" x14ac:dyDescent="0.4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  <c r="ES243" s="8"/>
      <c r="ET243" s="8"/>
      <c r="EU243" s="8"/>
    </row>
    <row r="244" spans="2:151" x14ac:dyDescent="0.4"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L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10"/>
      <c r="DB244" s="10"/>
      <c r="DC244" s="10"/>
      <c r="DD244" s="10"/>
      <c r="DE244" s="10"/>
      <c r="DF244" s="10"/>
      <c r="DG244" s="10"/>
      <c r="DH244" s="10"/>
      <c r="DI244" s="10"/>
      <c r="DJ244" s="10"/>
      <c r="DK244" s="10"/>
      <c r="DL244" s="10"/>
      <c r="DM244" s="10"/>
      <c r="DN244" s="10"/>
      <c r="DO244" s="10"/>
      <c r="DP244" s="10"/>
      <c r="DQ244" s="10"/>
      <c r="DR244" s="10"/>
      <c r="DS244" s="10"/>
      <c r="DT244" s="10"/>
      <c r="DU244" s="10"/>
      <c r="DV244" s="10"/>
      <c r="DW244" s="10"/>
      <c r="DX244" s="10"/>
      <c r="DY244" s="10"/>
      <c r="DZ244" s="10"/>
      <c r="EA244" s="10"/>
      <c r="EB244" s="10"/>
      <c r="EC244" s="10"/>
      <c r="ED244" s="10"/>
      <c r="EE244" s="10"/>
      <c r="EF244" s="10"/>
      <c r="EG244" s="10"/>
      <c r="EH244" s="10"/>
      <c r="EI244" s="10"/>
      <c r="EJ244" s="10"/>
      <c r="EK244" s="10"/>
      <c r="EL244" s="10"/>
      <c r="EM244" s="10"/>
      <c r="EN244" s="10"/>
      <c r="EO244" s="10"/>
      <c r="EP244" s="10"/>
      <c r="EQ244" s="10"/>
      <c r="ER244" s="10"/>
      <c r="ES244" s="10"/>
      <c r="ET244" s="10"/>
      <c r="EU244" s="10"/>
    </row>
    <row r="245" spans="2:151" x14ac:dyDescent="0.4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  <c r="ES245" s="8"/>
      <c r="ET245" s="8"/>
      <c r="EU245" s="8"/>
    </row>
    <row r="246" spans="2:151" x14ac:dyDescent="0.4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  <c r="ES246" s="8"/>
      <c r="ET246" s="8"/>
      <c r="EU246" s="8"/>
    </row>
    <row r="247" spans="2:151" x14ac:dyDescent="0.4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  <c r="ES247" s="8"/>
      <c r="ET247" s="8"/>
      <c r="EU247" s="8"/>
    </row>
    <row r="248" spans="2:151" x14ac:dyDescent="0.4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  <c r="ES248" s="8"/>
      <c r="ET248" s="8"/>
      <c r="EU248" s="8"/>
    </row>
    <row r="249" spans="2:151" x14ac:dyDescent="0.4"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L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C249" s="10"/>
      <c r="DD249" s="10"/>
      <c r="DE249" s="10"/>
      <c r="DF249" s="10"/>
      <c r="DG249" s="10"/>
      <c r="DH249" s="10"/>
      <c r="DI249" s="10"/>
      <c r="DJ249" s="10"/>
      <c r="DK249" s="10"/>
      <c r="DL249" s="10"/>
      <c r="DM249" s="10"/>
      <c r="DN249" s="10"/>
      <c r="DO249" s="10"/>
      <c r="DP249" s="10"/>
      <c r="DQ249" s="10"/>
      <c r="DR249" s="10"/>
      <c r="DS249" s="10"/>
      <c r="DT249" s="10"/>
      <c r="DU249" s="10"/>
      <c r="DV249" s="10"/>
      <c r="DW249" s="10"/>
      <c r="DX249" s="10"/>
      <c r="DY249" s="10"/>
      <c r="DZ249" s="10"/>
      <c r="EA249" s="10"/>
      <c r="EB249" s="10"/>
      <c r="EC249" s="10"/>
      <c r="ED249" s="10"/>
      <c r="EE249" s="10"/>
      <c r="EF249" s="10"/>
      <c r="EG249" s="10"/>
      <c r="EH249" s="10"/>
      <c r="EI249" s="10"/>
      <c r="EJ249" s="10"/>
      <c r="EK249" s="10"/>
      <c r="EL249" s="10"/>
      <c r="EM249" s="10"/>
      <c r="EN249" s="10"/>
      <c r="EO249" s="10"/>
      <c r="EP249" s="10"/>
      <c r="EQ249" s="10"/>
      <c r="ER249" s="10"/>
      <c r="ES249" s="10"/>
      <c r="ET249" s="10"/>
      <c r="EU249" s="10"/>
    </row>
    <row r="250" spans="2:151" x14ac:dyDescent="0.4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  <c r="ES250" s="8"/>
      <c r="ET250" s="8"/>
      <c r="EU250" s="8"/>
    </row>
    <row r="251" spans="2:151" x14ac:dyDescent="0.4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  <c r="ES251" s="8"/>
      <c r="ET251" s="8"/>
      <c r="EU251" s="8"/>
    </row>
    <row r="252" spans="2:151" x14ac:dyDescent="0.4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  <c r="ES252" s="8"/>
      <c r="ET252" s="8"/>
      <c r="EU252" s="8"/>
    </row>
    <row r="253" spans="2:151" x14ac:dyDescent="0.4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  <c r="ES253" s="8"/>
      <c r="ET253" s="8"/>
      <c r="EU253" s="8"/>
    </row>
    <row r="254" spans="2:151" x14ac:dyDescent="0.4"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L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C254" s="10"/>
      <c r="DD254" s="10"/>
      <c r="DE254" s="10"/>
      <c r="DF254" s="10"/>
      <c r="DG254" s="10"/>
      <c r="DH254" s="10"/>
      <c r="DI254" s="10"/>
      <c r="DJ254" s="10"/>
      <c r="DK254" s="10"/>
      <c r="DL254" s="10"/>
      <c r="DM254" s="10"/>
      <c r="DN254" s="10"/>
      <c r="DO254" s="10"/>
      <c r="DP254" s="10"/>
      <c r="DQ254" s="10"/>
      <c r="DR254" s="10"/>
      <c r="DS254" s="10"/>
      <c r="DT254" s="10"/>
      <c r="DU254" s="10"/>
      <c r="DV254" s="10"/>
      <c r="DW254" s="10"/>
      <c r="DX254" s="10"/>
      <c r="DY254" s="10"/>
      <c r="DZ254" s="10"/>
      <c r="EA254" s="10"/>
      <c r="EB254" s="10"/>
      <c r="EC254" s="10"/>
      <c r="ED254" s="10"/>
      <c r="EE254" s="10"/>
      <c r="EF254" s="10"/>
      <c r="EG254" s="10"/>
      <c r="EH254" s="10"/>
      <c r="EI254" s="10"/>
      <c r="EJ254" s="10"/>
      <c r="EK254" s="10"/>
      <c r="EL254" s="10"/>
      <c r="EM254" s="10"/>
      <c r="EN254" s="10"/>
      <c r="EO254" s="10"/>
      <c r="EP254" s="10"/>
      <c r="EQ254" s="10"/>
      <c r="ER254" s="10"/>
      <c r="ES254" s="10"/>
      <c r="ET254" s="10"/>
      <c r="EU254" s="10"/>
    </row>
    <row r="255" spans="2:151" x14ac:dyDescent="0.4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  <c r="ES255" s="8"/>
      <c r="ET255" s="8"/>
      <c r="EU255" s="8"/>
    </row>
    <row r="256" spans="2:151" x14ac:dyDescent="0.4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  <c r="ES256" s="8"/>
      <c r="ET256" s="8"/>
      <c r="EU256" s="8"/>
    </row>
    <row r="257" spans="2:151" x14ac:dyDescent="0.4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  <c r="ES257" s="8"/>
      <c r="ET257" s="8"/>
      <c r="EU257" s="8"/>
    </row>
    <row r="258" spans="2:151" x14ac:dyDescent="0.4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  <c r="ES258" s="8"/>
      <c r="ET258" s="8"/>
      <c r="EU258" s="8"/>
    </row>
    <row r="259" spans="2:151" x14ac:dyDescent="0.4"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L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10"/>
      <c r="DB259" s="10"/>
      <c r="DC259" s="10"/>
      <c r="DD259" s="10"/>
      <c r="DE259" s="10"/>
      <c r="DF259" s="10"/>
      <c r="DG259" s="10"/>
      <c r="DH259" s="10"/>
      <c r="DI259" s="10"/>
      <c r="DJ259" s="10"/>
      <c r="DK259" s="10"/>
      <c r="DL259" s="10"/>
      <c r="DM259" s="10"/>
      <c r="DN259" s="10"/>
      <c r="DO259" s="10"/>
      <c r="DP259" s="10"/>
      <c r="DQ259" s="10"/>
      <c r="DR259" s="10"/>
      <c r="DS259" s="10"/>
      <c r="DT259" s="10"/>
      <c r="DU259" s="10"/>
      <c r="DV259" s="10"/>
      <c r="DW259" s="10"/>
      <c r="DX259" s="10"/>
      <c r="DY259" s="10"/>
      <c r="DZ259" s="10"/>
      <c r="EA259" s="10"/>
      <c r="EB259" s="10"/>
      <c r="EC259" s="10"/>
      <c r="ED259" s="10"/>
      <c r="EE259" s="10"/>
      <c r="EF259" s="10"/>
      <c r="EG259" s="10"/>
      <c r="EH259" s="10"/>
      <c r="EI259" s="10"/>
      <c r="EJ259" s="10"/>
      <c r="EK259" s="10"/>
      <c r="EL259" s="10"/>
      <c r="EM259" s="10"/>
      <c r="EN259" s="10"/>
      <c r="EO259" s="10"/>
      <c r="EP259" s="10"/>
      <c r="EQ259" s="10"/>
      <c r="ER259" s="10"/>
      <c r="ES259" s="10"/>
      <c r="ET259" s="10"/>
      <c r="EU259" s="10"/>
    </row>
    <row r="260" spans="2:151" x14ac:dyDescent="0.4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  <c r="ES260" s="8"/>
      <c r="ET260" s="8"/>
      <c r="EU260" s="8"/>
    </row>
    <row r="261" spans="2:151" x14ac:dyDescent="0.4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  <c r="ES261" s="8"/>
      <c r="ET261" s="8"/>
      <c r="EU261" s="8"/>
    </row>
    <row r="262" spans="2:151" x14ac:dyDescent="0.4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  <c r="ES262" s="8"/>
      <c r="ET262" s="8"/>
      <c r="EU262" s="8"/>
    </row>
    <row r="263" spans="2:151" x14ac:dyDescent="0.4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  <c r="ES263" s="8"/>
      <c r="ET263" s="8"/>
      <c r="EU263" s="8"/>
    </row>
    <row r="264" spans="2:151" x14ac:dyDescent="0.4"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10"/>
      <c r="DB264" s="10"/>
      <c r="DC264" s="10"/>
      <c r="DD264" s="10"/>
      <c r="DE264" s="10"/>
      <c r="DF264" s="10"/>
      <c r="DG264" s="10"/>
      <c r="DH264" s="10"/>
      <c r="DI264" s="10"/>
      <c r="DJ264" s="10"/>
      <c r="DK264" s="10"/>
      <c r="DL264" s="10"/>
      <c r="DM264" s="10"/>
      <c r="DN264" s="10"/>
      <c r="DO264" s="10"/>
      <c r="DP264" s="10"/>
      <c r="DQ264" s="10"/>
      <c r="DR264" s="10"/>
      <c r="DS264" s="10"/>
      <c r="DT264" s="10"/>
      <c r="DU264" s="10"/>
      <c r="DV264" s="10"/>
      <c r="DW264" s="10"/>
      <c r="DX264" s="10"/>
      <c r="DY264" s="10"/>
      <c r="DZ264" s="10"/>
      <c r="EA264" s="10"/>
      <c r="EB264" s="10"/>
      <c r="EC264" s="10"/>
      <c r="ED264" s="10"/>
      <c r="EE264" s="10"/>
      <c r="EF264" s="10"/>
      <c r="EG264" s="10"/>
      <c r="EH264" s="10"/>
      <c r="EI264" s="10"/>
      <c r="EJ264" s="10"/>
      <c r="EK264" s="10"/>
      <c r="EL264" s="10"/>
      <c r="EM264" s="10"/>
      <c r="EN264" s="10"/>
      <c r="EO264" s="10"/>
      <c r="EP264" s="10"/>
      <c r="EQ264" s="10"/>
      <c r="ER264" s="10"/>
      <c r="ES264" s="10"/>
      <c r="ET264" s="10"/>
      <c r="EU264" s="10"/>
    </row>
    <row r="265" spans="2:151" x14ac:dyDescent="0.4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  <c r="ES265" s="8"/>
      <c r="ET265" s="8"/>
      <c r="EU265" s="8"/>
    </row>
    <row r="266" spans="2:151" x14ac:dyDescent="0.4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  <c r="ES266" s="8"/>
      <c r="ET266" s="8"/>
      <c r="EU266" s="8"/>
    </row>
    <row r="267" spans="2:151" x14ac:dyDescent="0.4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  <c r="ES267" s="8"/>
      <c r="ET267" s="8"/>
      <c r="EU267" s="8"/>
    </row>
    <row r="268" spans="2:151" x14ac:dyDescent="0.4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  <c r="ES268" s="8"/>
      <c r="ET268" s="8"/>
      <c r="EU268" s="8"/>
    </row>
    <row r="269" spans="2:151" x14ac:dyDescent="0.4"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L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  <c r="CG269" s="10"/>
      <c r="CH269" s="10"/>
      <c r="CI269" s="10"/>
      <c r="CJ269" s="10"/>
      <c r="CK269" s="10"/>
      <c r="CL269" s="10"/>
      <c r="CM269" s="10"/>
      <c r="CN269" s="10"/>
      <c r="CO269" s="10"/>
      <c r="CP269" s="10"/>
      <c r="CQ269" s="10"/>
      <c r="CR269" s="10"/>
      <c r="CS269" s="10"/>
      <c r="CT269" s="10"/>
      <c r="CU269" s="10"/>
      <c r="CV269" s="10"/>
      <c r="CW269" s="10"/>
      <c r="CX269" s="10"/>
      <c r="CY269" s="10"/>
      <c r="CZ269" s="10"/>
      <c r="DA269" s="10"/>
      <c r="DB269" s="10"/>
      <c r="DC269" s="10"/>
      <c r="DD269" s="10"/>
      <c r="DE269" s="10"/>
      <c r="DF269" s="10"/>
      <c r="DG269" s="10"/>
      <c r="DH269" s="10"/>
      <c r="DI269" s="10"/>
      <c r="DJ269" s="10"/>
      <c r="DK269" s="10"/>
      <c r="DL269" s="10"/>
      <c r="DM269" s="10"/>
      <c r="DN269" s="10"/>
      <c r="DO269" s="10"/>
      <c r="DP269" s="10"/>
      <c r="DQ269" s="10"/>
      <c r="DR269" s="10"/>
      <c r="DS269" s="10"/>
      <c r="DT269" s="10"/>
      <c r="DU269" s="10"/>
      <c r="DV269" s="10"/>
      <c r="DW269" s="10"/>
      <c r="DX269" s="10"/>
      <c r="DY269" s="10"/>
      <c r="DZ269" s="10"/>
      <c r="EA269" s="10"/>
      <c r="EB269" s="10"/>
      <c r="EC269" s="10"/>
      <c r="ED269" s="10"/>
      <c r="EE269" s="10"/>
      <c r="EF269" s="10"/>
      <c r="EG269" s="10"/>
      <c r="EH269" s="10"/>
      <c r="EI269" s="10"/>
      <c r="EJ269" s="10"/>
      <c r="EK269" s="10"/>
      <c r="EL269" s="10"/>
      <c r="EM269" s="10"/>
      <c r="EN269" s="10"/>
      <c r="EO269" s="10"/>
      <c r="EP269" s="10"/>
      <c r="EQ269" s="10"/>
      <c r="ER269" s="10"/>
      <c r="ES269" s="10"/>
      <c r="ET269" s="10"/>
      <c r="EU269" s="10"/>
    </row>
    <row r="270" spans="2:151" x14ac:dyDescent="0.4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  <c r="ES270" s="8"/>
      <c r="ET270" s="8"/>
      <c r="EU270" s="8"/>
    </row>
    <row r="271" spans="2:151" x14ac:dyDescent="0.4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  <c r="ES271" s="8"/>
      <c r="ET271" s="8"/>
      <c r="EU271" s="8"/>
    </row>
    <row r="272" spans="2:151" x14ac:dyDescent="0.4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  <c r="ES272" s="8"/>
      <c r="ET272" s="8"/>
      <c r="EU272" s="8"/>
    </row>
    <row r="273" spans="2:151" x14ac:dyDescent="0.4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  <c r="ES273" s="8"/>
      <c r="ET273" s="8"/>
      <c r="EU273" s="8"/>
    </row>
    <row r="274" spans="2:151" x14ac:dyDescent="0.4"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  <c r="BL274" s="10"/>
      <c r="BM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  <c r="CD274" s="10"/>
      <c r="CE274" s="10"/>
      <c r="CF274" s="10"/>
      <c r="CG274" s="10"/>
      <c r="CH274" s="10"/>
      <c r="CI274" s="10"/>
      <c r="CJ274" s="10"/>
      <c r="CK274" s="10"/>
      <c r="CL274" s="10"/>
      <c r="CM274" s="10"/>
      <c r="CN274" s="10"/>
      <c r="CO274" s="10"/>
      <c r="CP274" s="10"/>
      <c r="CQ274" s="10"/>
      <c r="CR274" s="10"/>
      <c r="CS274" s="10"/>
      <c r="CT274" s="10"/>
      <c r="CU274" s="10"/>
      <c r="CV274" s="10"/>
      <c r="CW274" s="10"/>
      <c r="CX274" s="10"/>
      <c r="CY274" s="10"/>
      <c r="CZ274" s="10"/>
      <c r="DA274" s="10"/>
      <c r="DB274" s="10"/>
      <c r="DC274" s="10"/>
      <c r="DD274" s="10"/>
      <c r="DE274" s="10"/>
      <c r="DF274" s="10"/>
      <c r="DG274" s="10"/>
      <c r="DH274" s="10"/>
      <c r="DI274" s="10"/>
      <c r="DJ274" s="10"/>
      <c r="DK274" s="10"/>
      <c r="DL274" s="10"/>
      <c r="DM274" s="10"/>
      <c r="DN274" s="10"/>
      <c r="DO274" s="10"/>
      <c r="DP274" s="10"/>
      <c r="DQ274" s="10"/>
      <c r="DR274" s="10"/>
      <c r="DS274" s="10"/>
      <c r="DT274" s="10"/>
      <c r="DU274" s="10"/>
      <c r="DV274" s="10"/>
      <c r="DW274" s="10"/>
      <c r="DX274" s="10"/>
      <c r="DY274" s="10"/>
      <c r="DZ274" s="10"/>
      <c r="EA274" s="10"/>
      <c r="EB274" s="10"/>
      <c r="EC274" s="10"/>
      <c r="ED274" s="10"/>
      <c r="EE274" s="10"/>
      <c r="EF274" s="10"/>
      <c r="EG274" s="10"/>
      <c r="EH274" s="10"/>
      <c r="EI274" s="10"/>
      <c r="EJ274" s="10"/>
      <c r="EK274" s="10"/>
      <c r="EL274" s="10"/>
      <c r="EM274" s="10"/>
      <c r="EN274" s="10"/>
      <c r="EO274" s="10"/>
      <c r="EP274" s="10"/>
      <c r="EQ274" s="10"/>
      <c r="ER274" s="10"/>
      <c r="ES274" s="10"/>
      <c r="ET274" s="10"/>
      <c r="EU274" s="10"/>
    </row>
    <row r="275" spans="2:151" x14ac:dyDescent="0.4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  <c r="ES275" s="8"/>
      <c r="ET275" s="8"/>
      <c r="EU275" s="8"/>
    </row>
    <row r="276" spans="2:151" x14ac:dyDescent="0.4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  <c r="ES276" s="8"/>
      <c r="ET276" s="8"/>
      <c r="EU276" s="8"/>
    </row>
    <row r="277" spans="2:151" x14ac:dyDescent="0.4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  <c r="ES277" s="8"/>
      <c r="ET277" s="8"/>
      <c r="EU277" s="8"/>
    </row>
    <row r="278" spans="2:151" x14ac:dyDescent="0.4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  <c r="ES278" s="8"/>
      <c r="ET278" s="8"/>
      <c r="EU278" s="8"/>
    </row>
    <row r="279" spans="2:151" x14ac:dyDescent="0.4"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  <c r="BL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10"/>
      <c r="CG279" s="10"/>
      <c r="CH279" s="10"/>
      <c r="CI279" s="10"/>
      <c r="CJ279" s="10"/>
      <c r="CK279" s="10"/>
      <c r="CL279" s="10"/>
      <c r="CM279" s="10"/>
      <c r="CN279" s="10"/>
      <c r="CO279" s="10"/>
      <c r="CP279" s="10"/>
      <c r="CQ279" s="10"/>
      <c r="CR279" s="10"/>
      <c r="CS279" s="10"/>
      <c r="CT279" s="10"/>
      <c r="CU279" s="10"/>
      <c r="CV279" s="10"/>
      <c r="CW279" s="10"/>
      <c r="CX279" s="10"/>
      <c r="CY279" s="10"/>
      <c r="CZ279" s="10"/>
      <c r="DA279" s="10"/>
      <c r="DB279" s="10"/>
      <c r="DC279" s="10"/>
      <c r="DD279" s="10"/>
      <c r="DE279" s="10"/>
      <c r="DF279" s="10"/>
      <c r="DG279" s="10"/>
      <c r="DH279" s="10"/>
      <c r="DI279" s="10"/>
      <c r="DJ279" s="10"/>
      <c r="DK279" s="10"/>
      <c r="DL279" s="10"/>
      <c r="DM279" s="10"/>
      <c r="DN279" s="10"/>
      <c r="DO279" s="10"/>
      <c r="DP279" s="10"/>
      <c r="DQ279" s="10"/>
      <c r="DR279" s="10"/>
      <c r="DS279" s="10"/>
      <c r="DT279" s="10"/>
      <c r="DU279" s="10"/>
      <c r="DV279" s="10"/>
      <c r="DW279" s="10"/>
      <c r="DX279" s="10"/>
      <c r="DY279" s="10"/>
      <c r="DZ279" s="10"/>
      <c r="EA279" s="10"/>
      <c r="EB279" s="10"/>
      <c r="EC279" s="10"/>
      <c r="ED279" s="10"/>
      <c r="EE279" s="10"/>
      <c r="EF279" s="10"/>
      <c r="EG279" s="10"/>
      <c r="EH279" s="10"/>
      <c r="EI279" s="10"/>
      <c r="EJ279" s="10"/>
      <c r="EK279" s="10"/>
      <c r="EL279" s="10"/>
      <c r="EM279" s="10"/>
      <c r="EN279" s="10"/>
      <c r="EO279" s="10"/>
      <c r="EP279" s="10"/>
      <c r="EQ279" s="10"/>
      <c r="ER279" s="10"/>
      <c r="ES279" s="10"/>
      <c r="ET279" s="10"/>
      <c r="EU279" s="10"/>
    </row>
    <row r="280" spans="2:151" x14ac:dyDescent="0.4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  <c r="ES280" s="8"/>
      <c r="ET280" s="8"/>
      <c r="EU280" s="8"/>
    </row>
    <row r="281" spans="2:151" x14ac:dyDescent="0.4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  <c r="ES281" s="8"/>
      <c r="ET281" s="8"/>
      <c r="EU281" s="8"/>
    </row>
    <row r="282" spans="2:151" x14ac:dyDescent="0.4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  <c r="ES282" s="8"/>
      <c r="ET282" s="8"/>
      <c r="EU282" s="8"/>
    </row>
    <row r="283" spans="2:151" x14ac:dyDescent="0.4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  <c r="ES283" s="8"/>
      <c r="ET283" s="8"/>
      <c r="EU283" s="8"/>
    </row>
    <row r="284" spans="2:151" x14ac:dyDescent="0.4"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  <c r="BL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10"/>
      <c r="CG284" s="10"/>
      <c r="CH284" s="10"/>
      <c r="CI284" s="10"/>
      <c r="CJ284" s="10"/>
      <c r="CK284" s="10"/>
      <c r="CL284" s="10"/>
      <c r="CM284" s="10"/>
      <c r="CN284" s="10"/>
      <c r="CO284" s="10"/>
      <c r="CP284" s="10"/>
      <c r="CQ284" s="10"/>
      <c r="CR284" s="10"/>
      <c r="CS284" s="10"/>
      <c r="CT284" s="10"/>
      <c r="CU284" s="10"/>
      <c r="CV284" s="10"/>
      <c r="CW284" s="10"/>
      <c r="CX284" s="10"/>
      <c r="CY284" s="10"/>
      <c r="CZ284" s="10"/>
      <c r="DA284" s="10"/>
      <c r="DB284" s="10"/>
      <c r="DC284" s="10"/>
      <c r="DD284" s="10"/>
      <c r="DE284" s="10"/>
      <c r="DF284" s="10"/>
      <c r="DG284" s="10"/>
      <c r="DH284" s="10"/>
      <c r="DI284" s="10"/>
      <c r="DJ284" s="10"/>
      <c r="DK284" s="10"/>
      <c r="DL284" s="10"/>
      <c r="DM284" s="10"/>
      <c r="DN284" s="10"/>
      <c r="DO284" s="10"/>
      <c r="DP284" s="10"/>
      <c r="DQ284" s="10"/>
      <c r="DR284" s="10"/>
      <c r="DS284" s="10"/>
      <c r="DT284" s="10"/>
      <c r="DU284" s="10"/>
      <c r="DV284" s="10"/>
      <c r="DW284" s="10"/>
      <c r="DX284" s="10"/>
      <c r="DY284" s="10"/>
      <c r="DZ284" s="10"/>
      <c r="EA284" s="10"/>
      <c r="EB284" s="10"/>
      <c r="EC284" s="10"/>
      <c r="ED284" s="10"/>
      <c r="EE284" s="10"/>
      <c r="EF284" s="10"/>
      <c r="EG284" s="10"/>
      <c r="EH284" s="10"/>
      <c r="EI284" s="10"/>
      <c r="EJ284" s="10"/>
      <c r="EK284" s="10"/>
      <c r="EL284" s="10"/>
      <c r="EM284" s="10"/>
      <c r="EN284" s="10"/>
      <c r="EO284" s="10"/>
      <c r="EP284" s="10"/>
      <c r="EQ284" s="10"/>
      <c r="ER284" s="10"/>
      <c r="ES284" s="10"/>
      <c r="ET284" s="10"/>
      <c r="EU284" s="10"/>
    </row>
    <row r="285" spans="2:151" x14ac:dyDescent="0.4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  <c r="ES285" s="8"/>
      <c r="ET285" s="8"/>
      <c r="EU285" s="8"/>
    </row>
    <row r="286" spans="2:151" x14ac:dyDescent="0.4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  <c r="ES286" s="8"/>
      <c r="ET286" s="8"/>
      <c r="EU286" s="8"/>
    </row>
    <row r="287" spans="2:151" x14ac:dyDescent="0.4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  <c r="ES287" s="8"/>
      <c r="ET287" s="8"/>
      <c r="EU287" s="8"/>
    </row>
    <row r="288" spans="2:151" x14ac:dyDescent="0.4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  <c r="ES288" s="8"/>
      <c r="ET288" s="8"/>
      <c r="EU288" s="8"/>
    </row>
    <row r="289" spans="2:151" x14ac:dyDescent="0.4"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L289" s="10"/>
      <c r="BM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  <c r="CD289" s="10"/>
      <c r="CE289" s="10"/>
      <c r="CF289" s="10"/>
      <c r="CG289" s="10"/>
      <c r="CH289" s="10"/>
      <c r="CI289" s="10"/>
      <c r="CJ289" s="10"/>
      <c r="CK289" s="10"/>
      <c r="CL289" s="10"/>
      <c r="CM289" s="10"/>
      <c r="CN289" s="10"/>
      <c r="CO289" s="10"/>
      <c r="CP289" s="10"/>
      <c r="CQ289" s="10"/>
      <c r="CR289" s="10"/>
      <c r="CS289" s="10"/>
      <c r="CT289" s="10"/>
      <c r="CU289" s="10"/>
      <c r="CV289" s="10"/>
      <c r="CW289" s="10"/>
      <c r="CX289" s="10"/>
      <c r="CY289" s="10"/>
      <c r="CZ289" s="10"/>
      <c r="DA289" s="10"/>
      <c r="DB289" s="10"/>
      <c r="DC289" s="10"/>
      <c r="DD289" s="10"/>
      <c r="DE289" s="10"/>
      <c r="DF289" s="10"/>
      <c r="DG289" s="10"/>
      <c r="DH289" s="10"/>
      <c r="DI289" s="10"/>
      <c r="DJ289" s="10"/>
      <c r="DK289" s="10"/>
      <c r="DL289" s="10"/>
      <c r="DM289" s="10"/>
      <c r="DN289" s="10"/>
      <c r="DO289" s="10"/>
      <c r="DP289" s="10"/>
      <c r="DQ289" s="10"/>
      <c r="DR289" s="10"/>
      <c r="DS289" s="10"/>
      <c r="DT289" s="10"/>
      <c r="DU289" s="10"/>
      <c r="DV289" s="10"/>
      <c r="DW289" s="10"/>
      <c r="DX289" s="10"/>
      <c r="DY289" s="10"/>
      <c r="DZ289" s="10"/>
      <c r="EA289" s="10"/>
      <c r="EB289" s="10"/>
      <c r="EC289" s="10"/>
      <c r="ED289" s="10"/>
      <c r="EE289" s="10"/>
      <c r="EF289" s="10"/>
      <c r="EG289" s="10"/>
      <c r="EH289" s="10"/>
      <c r="EI289" s="10"/>
      <c r="EJ289" s="10"/>
      <c r="EK289" s="10"/>
      <c r="EL289" s="10"/>
      <c r="EM289" s="10"/>
      <c r="EN289" s="10"/>
      <c r="EO289" s="10"/>
      <c r="EP289" s="10"/>
      <c r="EQ289" s="10"/>
      <c r="ER289" s="10"/>
      <c r="ES289" s="10"/>
      <c r="ET289" s="10"/>
      <c r="EU289" s="10"/>
    </row>
    <row r="290" spans="2:151" x14ac:dyDescent="0.4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  <c r="ES290" s="8"/>
      <c r="ET290" s="8"/>
      <c r="EU290" s="8"/>
    </row>
    <row r="291" spans="2:151" x14ac:dyDescent="0.4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  <c r="ES291" s="8"/>
      <c r="ET291" s="8"/>
      <c r="EU291" s="8"/>
    </row>
    <row r="292" spans="2:151" x14ac:dyDescent="0.4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  <c r="ES292" s="8"/>
      <c r="ET292" s="8"/>
      <c r="EU292" s="8"/>
    </row>
    <row r="293" spans="2:151" x14ac:dyDescent="0.4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  <c r="ES293" s="8"/>
      <c r="ET293" s="8"/>
      <c r="EU293" s="8"/>
    </row>
    <row r="294" spans="2:151" x14ac:dyDescent="0.4"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L294" s="10"/>
      <c r="BM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  <c r="CD294" s="10"/>
      <c r="CE294" s="10"/>
      <c r="CF294" s="10"/>
      <c r="CG294" s="10"/>
      <c r="CH294" s="10"/>
      <c r="CI294" s="10"/>
      <c r="CJ294" s="10"/>
      <c r="CK294" s="10"/>
      <c r="CL294" s="10"/>
      <c r="CM294" s="10"/>
      <c r="CN294" s="10"/>
      <c r="CO294" s="10"/>
      <c r="CP294" s="10"/>
      <c r="CQ294" s="10"/>
      <c r="CR294" s="10"/>
      <c r="CS294" s="10"/>
      <c r="CT294" s="10"/>
      <c r="CU294" s="10"/>
      <c r="CV294" s="10"/>
      <c r="CW294" s="10"/>
      <c r="CX294" s="10"/>
      <c r="CY294" s="10"/>
      <c r="CZ294" s="10"/>
      <c r="DA294" s="10"/>
      <c r="DB294" s="10"/>
      <c r="DC294" s="10"/>
      <c r="DD294" s="10"/>
      <c r="DE294" s="10"/>
      <c r="DF294" s="10"/>
      <c r="DG294" s="10"/>
      <c r="DH294" s="10"/>
      <c r="DI294" s="10"/>
      <c r="DJ294" s="10"/>
      <c r="DK294" s="10"/>
      <c r="DL294" s="10"/>
      <c r="DM294" s="10"/>
      <c r="DN294" s="10"/>
      <c r="DO294" s="10"/>
      <c r="DP294" s="10"/>
      <c r="DQ294" s="10"/>
      <c r="DR294" s="10"/>
      <c r="DS294" s="10"/>
      <c r="DT294" s="10"/>
      <c r="DU294" s="10"/>
      <c r="DV294" s="10"/>
      <c r="DW294" s="10"/>
      <c r="DX294" s="10"/>
      <c r="DY294" s="10"/>
      <c r="DZ294" s="10"/>
      <c r="EA294" s="10"/>
      <c r="EB294" s="10"/>
      <c r="EC294" s="10"/>
      <c r="ED294" s="10"/>
      <c r="EE294" s="10"/>
      <c r="EF294" s="10"/>
      <c r="EG294" s="10"/>
      <c r="EH294" s="10"/>
      <c r="EI294" s="10"/>
      <c r="EJ294" s="10"/>
      <c r="EK294" s="10"/>
      <c r="EL294" s="10"/>
      <c r="EM294" s="10"/>
      <c r="EN294" s="10"/>
      <c r="EO294" s="10"/>
      <c r="EP294" s="10"/>
      <c r="EQ294" s="10"/>
      <c r="ER294" s="10"/>
      <c r="ES294" s="10"/>
      <c r="ET294" s="10"/>
      <c r="EU294" s="10"/>
    </row>
    <row r="295" spans="2:151" x14ac:dyDescent="0.4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  <c r="ES295" s="8"/>
      <c r="ET295" s="8"/>
      <c r="EU295" s="8"/>
    </row>
    <row r="296" spans="2:151" x14ac:dyDescent="0.4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  <c r="ES296" s="8"/>
      <c r="ET296" s="8"/>
      <c r="EU296" s="8"/>
    </row>
    <row r="297" spans="2:151" x14ac:dyDescent="0.4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  <c r="ES297" s="8"/>
      <c r="ET297" s="8"/>
      <c r="EU297" s="8"/>
    </row>
    <row r="298" spans="2:151" x14ac:dyDescent="0.4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  <c r="ES298" s="8"/>
      <c r="ET298" s="8"/>
      <c r="EU298" s="8"/>
    </row>
    <row r="299" spans="2:151" x14ac:dyDescent="0.4"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  <c r="CG299" s="10"/>
      <c r="CH299" s="10"/>
      <c r="CI299" s="10"/>
      <c r="CJ299" s="10"/>
      <c r="CK299" s="10"/>
      <c r="CL299" s="10"/>
      <c r="CM299" s="10"/>
      <c r="CN299" s="10"/>
      <c r="CO299" s="10"/>
      <c r="CP299" s="10"/>
      <c r="CQ299" s="10"/>
      <c r="CR299" s="10"/>
      <c r="CS299" s="10"/>
      <c r="CT299" s="10"/>
      <c r="CU299" s="10"/>
      <c r="CV299" s="10"/>
      <c r="CW299" s="10"/>
      <c r="CX299" s="10"/>
      <c r="CY299" s="10"/>
      <c r="CZ299" s="10"/>
      <c r="DA299" s="10"/>
      <c r="DB299" s="10"/>
      <c r="DC299" s="10"/>
      <c r="DD299" s="10"/>
      <c r="DE299" s="10"/>
      <c r="DF299" s="10"/>
      <c r="DG299" s="10"/>
      <c r="DH299" s="10"/>
      <c r="DI299" s="10"/>
      <c r="DJ299" s="10"/>
      <c r="DK299" s="10"/>
      <c r="DL299" s="10"/>
      <c r="DM299" s="10"/>
      <c r="DN299" s="10"/>
      <c r="DO299" s="10"/>
      <c r="DP299" s="10"/>
      <c r="DQ299" s="10"/>
      <c r="DR299" s="10"/>
      <c r="DS299" s="10"/>
      <c r="DT299" s="10"/>
      <c r="DU299" s="10"/>
      <c r="DV299" s="10"/>
      <c r="DW299" s="10"/>
      <c r="DX299" s="10"/>
      <c r="DY299" s="10"/>
      <c r="DZ299" s="10"/>
      <c r="EA299" s="10"/>
      <c r="EB299" s="10"/>
      <c r="EC299" s="10"/>
      <c r="ED299" s="10"/>
      <c r="EE299" s="10"/>
      <c r="EF299" s="10"/>
      <c r="EG299" s="10"/>
      <c r="EH299" s="10"/>
      <c r="EI299" s="10"/>
      <c r="EJ299" s="10"/>
      <c r="EK299" s="10"/>
      <c r="EL299" s="10"/>
      <c r="EM299" s="10"/>
      <c r="EN299" s="10"/>
      <c r="EO299" s="10"/>
      <c r="EP299" s="10"/>
      <c r="EQ299" s="10"/>
      <c r="ER299" s="10"/>
      <c r="ES299" s="10"/>
      <c r="ET299" s="10"/>
      <c r="EU299" s="10"/>
    </row>
    <row r="300" spans="2:151" x14ac:dyDescent="0.4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  <c r="ES300" s="8"/>
      <c r="ET300" s="8"/>
      <c r="EU300" s="8"/>
    </row>
    <row r="301" spans="2:151" x14ac:dyDescent="0.4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  <c r="ES301" s="8"/>
      <c r="ET301" s="8"/>
      <c r="EU301" s="8"/>
    </row>
    <row r="302" spans="2:151" x14ac:dyDescent="0.4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  <c r="ES302" s="8"/>
      <c r="ET302" s="8"/>
      <c r="EU302" s="8"/>
    </row>
    <row r="303" spans="2:151" x14ac:dyDescent="0.4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  <c r="ES303" s="8"/>
      <c r="ET303" s="8"/>
      <c r="EU303" s="8"/>
    </row>
    <row r="304" spans="2:151" x14ac:dyDescent="0.4"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  <c r="BL304" s="10"/>
      <c r="BM304" s="10"/>
      <c r="BN304" s="10"/>
      <c r="B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  <c r="CG304" s="10"/>
      <c r="CH304" s="10"/>
      <c r="CI304" s="10"/>
      <c r="CJ304" s="10"/>
      <c r="CK304" s="10"/>
      <c r="CL304" s="10"/>
      <c r="CM304" s="10"/>
      <c r="CN304" s="10"/>
      <c r="CO304" s="10"/>
      <c r="CP304" s="10"/>
      <c r="CQ304" s="10"/>
      <c r="CR304" s="10"/>
      <c r="CS304" s="10"/>
      <c r="CT304" s="10"/>
      <c r="CU304" s="10"/>
      <c r="CV304" s="10"/>
      <c r="CW304" s="10"/>
      <c r="CX304" s="10"/>
      <c r="CY304" s="10"/>
      <c r="CZ304" s="10"/>
      <c r="DA304" s="10"/>
      <c r="DB304" s="10"/>
      <c r="DC304" s="10"/>
      <c r="DD304" s="10"/>
      <c r="DE304" s="10"/>
      <c r="DF304" s="10"/>
      <c r="DG304" s="10"/>
      <c r="DH304" s="10"/>
      <c r="DI304" s="10"/>
      <c r="DJ304" s="10"/>
      <c r="DK304" s="10"/>
      <c r="DL304" s="10"/>
      <c r="DM304" s="10"/>
      <c r="DN304" s="10"/>
      <c r="DO304" s="10"/>
      <c r="DP304" s="10"/>
      <c r="DQ304" s="10"/>
      <c r="DR304" s="10"/>
      <c r="DS304" s="10"/>
      <c r="DT304" s="10"/>
      <c r="DU304" s="10"/>
      <c r="DV304" s="10"/>
      <c r="DW304" s="10"/>
      <c r="DX304" s="10"/>
      <c r="DY304" s="10"/>
      <c r="DZ304" s="10"/>
      <c r="EA304" s="10"/>
      <c r="EB304" s="10"/>
      <c r="EC304" s="10"/>
      <c r="ED304" s="10"/>
      <c r="EE304" s="10"/>
      <c r="EF304" s="10"/>
      <c r="EG304" s="10"/>
      <c r="EH304" s="10"/>
      <c r="EI304" s="10"/>
      <c r="EJ304" s="10"/>
      <c r="EK304" s="10"/>
      <c r="EL304" s="10"/>
      <c r="EM304" s="10"/>
      <c r="EN304" s="10"/>
      <c r="EO304" s="10"/>
      <c r="EP304" s="10"/>
      <c r="EQ304" s="10"/>
      <c r="ER304" s="10"/>
      <c r="ES304" s="10"/>
      <c r="ET304" s="10"/>
      <c r="EU304" s="10"/>
    </row>
    <row r="305" spans="2:151" x14ac:dyDescent="0.4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  <c r="ES305" s="8"/>
      <c r="ET305" s="8"/>
      <c r="EU305" s="8"/>
    </row>
    <row r="306" spans="2:151" x14ac:dyDescent="0.4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  <c r="ES306" s="8"/>
      <c r="ET306" s="8"/>
      <c r="EU306" s="8"/>
    </row>
    <row r="307" spans="2:151" x14ac:dyDescent="0.4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  <c r="ES307" s="8"/>
      <c r="ET307" s="8"/>
      <c r="EU307" s="8"/>
    </row>
    <row r="308" spans="2:151" x14ac:dyDescent="0.4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  <c r="ES308" s="8"/>
      <c r="ET308" s="8"/>
      <c r="EU308" s="8"/>
    </row>
    <row r="309" spans="2:151" x14ac:dyDescent="0.4"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  <c r="BL309" s="10"/>
      <c r="BM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  <c r="CD309" s="10"/>
      <c r="CE309" s="10"/>
      <c r="CF309" s="10"/>
      <c r="CG309" s="10"/>
      <c r="CH309" s="10"/>
      <c r="CI309" s="10"/>
      <c r="CJ309" s="10"/>
      <c r="CK309" s="10"/>
      <c r="CL309" s="10"/>
      <c r="CM309" s="10"/>
      <c r="CN309" s="10"/>
      <c r="CO309" s="10"/>
      <c r="CP309" s="10"/>
      <c r="CQ309" s="10"/>
      <c r="CR309" s="10"/>
      <c r="CS309" s="10"/>
      <c r="CT309" s="10"/>
      <c r="CU309" s="10"/>
      <c r="CV309" s="10"/>
      <c r="CW309" s="10"/>
      <c r="CX309" s="10"/>
      <c r="CY309" s="10"/>
      <c r="CZ309" s="10"/>
      <c r="DA309" s="10"/>
      <c r="DB309" s="10"/>
      <c r="DC309" s="10"/>
      <c r="DD309" s="10"/>
      <c r="DE309" s="10"/>
      <c r="DF309" s="10"/>
      <c r="DG309" s="10"/>
      <c r="DH309" s="10"/>
      <c r="DI309" s="10"/>
      <c r="DJ309" s="10"/>
      <c r="DK309" s="10"/>
      <c r="DL309" s="10"/>
      <c r="DM309" s="10"/>
      <c r="DN309" s="10"/>
      <c r="DO309" s="10"/>
      <c r="DP309" s="10"/>
      <c r="DQ309" s="10"/>
      <c r="DR309" s="10"/>
      <c r="DS309" s="10"/>
      <c r="DT309" s="10"/>
      <c r="DU309" s="10"/>
      <c r="DV309" s="10"/>
      <c r="DW309" s="10"/>
      <c r="DX309" s="10"/>
      <c r="DY309" s="10"/>
      <c r="DZ309" s="10"/>
      <c r="EA309" s="10"/>
      <c r="EB309" s="10"/>
      <c r="EC309" s="10"/>
      <c r="ED309" s="10"/>
      <c r="EE309" s="10"/>
      <c r="EF309" s="10"/>
      <c r="EG309" s="10"/>
      <c r="EH309" s="10"/>
      <c r="EI309" s="10"/>
      <c r="EJ309" s="10"/>
      <c r="EK309" s="10"/>
      <c r="EL309" s="10"/>
      <c r="EM309" s="10"/>
      <c r="EN309" s="10"/>
      <c r="EO309" s="10"/>
      <c r="EP309" s="10"/>
      <c r="EQ309" s="10"/>
      <c r="ER309" s="10"/>
      <c r="ES309" s="10"/>
      <c r="ET309" s="10"/>
      <c r="EU309" s="10"/>
    </row>
    <row r="310" spans="2:151" x14ac:dyDescent="0.4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  <c r="ES310" s="8"/>
      <c r="ET310" s="8"/>
      <c r="EU310" s="8"/>
    </row>
    <row r="311" spans="2:151" x14ac:dyDescent="0.4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  <c r="ES311" s="8"/>
      <c r="ET311" s="8"/>
      <c r="EU311" s="8"/>
    </row>
    <row r="312" spans="2:151" x14ac:dyDescent="0.4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  <c r="ES312" s="8"/>
      <c r="ET312" s="8"/>
      <c r="EU312" s="8"/>
    </row>
    <row r="313" spans="2:151" x14ac:dyDescent="0.4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  <c r="ES313" s="8"/>
      <c r="ET313" s="8"/>
      <c r="EU313" s="8"/>
    </row>
    <row r="314" spans="2:151" x14ac:dyDescent="0.4"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10"/>
      <c r="BK314" s="10"/>
      <c r="BL314" s="10"/>
      <c r="BM314" s="10"/>
      <c r="BN314" s="10"/>
      <c r="BO314" s="10"/>
      <c r="BP314" s="10"/>
      <c r="BQ314" s="10"/>
      <c r="BR314" s="10"/>
      <c r="BS314" s="10"/>
      <c r="BT314" s="10"/>
      <c r="BU314" s="10"/>
      <c r="BV314" s="10"/>
      <c r="BW314" s="10"/>
      <c r="BX314" s="10"/>
      <c r="BY314" s="10"/>
      <c r="BZ314" s="10"/>
      <c r="CA314" s="10"/>
      <c r="CB314" s="10"/>
      <c r="CC314" s="10"/>
      <c r="CD314" s="10"/>
      <c r="CE314" s="10"/>
      <c r="CF314" s="10"/>
      <c r="CG314" s="10"/>
      <c r="CH314" s="10"/>
      <c r="CI314" s="10"/>
      <c r="CJ314" s="10"/>
      <c r="CK314" s="10"/>
      <c r="CL314" s="10"/>
      <c r="CM314" s="10"/>
      <c r="CN314" s="10"/>
      <c r="CO314" s="10"/>
      <c r="CP314" s="10"/>
      <c r="CQ314" s="10"/>
      <c r="CR314" s="10"/>
      <c r="CS314" s="10"/>
      <c r="CT314" s="10"/>
      <c r="CU314" s="10"/>
      <c r="CV314" s="10"/>
      <c r="CW314" s="10"/>
      <c r="CX314" s="10"/>
      <c r="CY314" s="10"/>
      <c r="CZ314" s="10"/>
      <c r="DA314" s="10"/>
      <c r="DB314" s="10"/>
      <c r="DC314" s="10"/>
      <c r="DD314" s="10"/>
      <c r="DE314" s="10"/>
      <c r="DF314" s="10"/>
      <c r="DG314" s="10"/>
      <c r="DH314" s="10"/>
      <c r="DI314" s="10"/>
      <c r="DJ314" s="10"/>
      <c r="DK314" s="10"/>
      <c r="DL314" s="10"/>
      <c r="DM314" s="10"/>
      <c r="DN314" s="10"/>
      <c r="DO314" s="10"/>
      <c r="DP314" s="10"/>
      <c r="DQ314" s="10"/>
      <c r="DR314" s="10"/>
      <c r="DS314" s="10"/>
      <c r="DT314" s="10"/>
      <c r="DU314" s="10"/>
      <c r="DV314" s="10"/>
      <c r="DW314" s="10"/>
      <c r="DX314" s="10"/>
      <c r="DY314" s="10"/>
      <c r="DZ314" s="10"/>
      <c r="EA314" s="10"/>
      <c r="EB314" s="10"/>
      <c r="EC314" s="10"/>
      <c r="ED314" s="10"/>
      <c r="EE314" s="10"/>
      <c r="EF314" s="10"/>
      <c r="EG314" s="10"/>
      <c r="EH314" s="10"/>
      <c r="EI314" s="10"/>
      <c r="EJ314" s="10"/>
      <c r="EK314" s="10"/>
      <c r="EL314" s="10"/>
      <c r="EM314" s="10"/>
      <c r="EN314" s="10"/>
      <c r="EO314" s="10"/>
      <c r="EP314" s="10"/>
      <c r="EQ314" s="10"/>
      <c r="ER314" s="10"/>
      <c r="ES314" s="10"/>
      <c r="ET314" s="10"/>
      <c r="EU314" s="10"/>
    </row>
    <row r="315" spans="2:151" x14ac:dyDescent="0.4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  <c r="ES315" s="8"/>
      <c r="ET315" s="8"/>
      <c r="EU315" s="8"/>
    </row>
    <row r="316" spans="2:151" x14ac:dyDescent="0.4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  <c r="ES316" s="8"/>
      <c r="ET316" s="8"/>
      <c r="EU316" s="8"/>
    </row>
    <row r="317" spans="2:151" x14ac:dyDescent="0.4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  <c r="ES317" s="8"/>
      <c r="ET317" s="8"/>
      <c r="EU317" s="8"/>
    </row>
    <row r="318" spans="2:151" x14ac:dyDescent="0.4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  <c r="ES318" s="8"/>
      <c r="ET318" s="8"/>
      <c r="EU318" s="8"/>
    </row>
    <row r="319" spans="2:151" x14ac:dyDescent="0.4"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L319" s="10"/>
      <c r="BM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  <c r="CD319" s="10"/>
      <c r="CE319" s="10"/>
      <c r="CF319" s="10"/>
      <c r="CG319" s="10"/>
      <c r="CH319" s="10"/>
      <c r="CI319" s="10"/>
      <c r="CJ319" s="10"/>
      <c r="CK319" s="10"/>
      <c r="CL319" s="10"/>
      <c r="CM319" s="10"/>
      <c r="CN319" s="10"/>
      <c r="CO319" s="10"/>
      <c r="CP319" s="10"/>
      <c r="CQ319" s="10"/>
      <c r="CR319" s="10"/>
      <c r="CS319" s="10"/>
      <c r="CT319" s="10"/>
      <c r="CU319" s="10"/>
      <c r="CV319" s="10"/>
      <c r="CW319" s="10"/>
      <c r="CX319" s="10"/>
      <c r="CY319" s="10"/>
      <c r="CZ319" s="10"/>
      <c r="DA319" s="10"/>
      <c r="DB319" s="10"/>
      <c r="DC319" s="10"/>
      <c r="DD319" s="10"/>
      <c r="DE319" s="10"/>
      <c r="DF319" s="10"/>
      <c r="DG319" s="10"/>
      <c r="DH319" s="10"/>
      <c r="DI319" s="10"/>
      <c r="DJ319" s="10"/>
      <c r="DK319" s="10"/>
      <c r="DL319" s="10"/>
      <c r="DM319" s="10"/>
      <c r="DN319" s="10"/>
      <c r="DO319" s="10"/>
      <c r="DP319" s="10"/>
      <c r="DQ319" s="10"/>
      <c r="DR319" s="10"/>
      <c r="DS319" s="10"/>
      <c r="DT319" s="10"/>
      <c r="DU319" s="10"/>
      <c r="DV319" s="10"/>
      <c r="DW319" s="10"/>
      <c r="DX319" s="10"/>
      <c r="DY319" s="10"/>
      <c r="DZ319" s="10"/>
      <c r="EA319" s="10"/>
      <c r="EB319" s="10"/>
      <c r="EC319" s="10"/>
      <c r="ED319" s="10"/>
      <c r="EE319" s="10"/>
      <c r="EF319" s="10"/>
      <c r="EG319" s="10"/>
      <c r="EH319" s="10"/>
      <c r="EI319" s="10"/>
      <c r="EJ319" s="10"/>
      <c r="EK319" s="10"/>
      <c r="EL319" s="10"/>
      <c r="EM319" s="10"/>
      <c r="EN319" s="10"/>
      <c r="EO319" s="10"/>
      <c r="EP319" s="10"/>
      <c r="EQ319" s="10"/>
      <c r="ER319" s="10"/>
      <c r="ES319" s="10"/>
      <c r="ET319" s="10"/>
      <c r="EU319" s="10"/>
    </row>
    <row r="320" spans="2:151" x14ac:dyDescent="0.4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  <c r="ES320" s="8"/>
      <c r="ET320" s="8"/>
      <c r="EU320" s="8"/>
    </row>
    <row r="321" spans="2:151" x14ac:dyDescent="0.4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  <c r="ES321" s="8"/>
      <c r="ET321" s="8"/>
      <c r="EU321" s="8"/>
    </row>
    <row r="322" spans="2:151" x14ac:dyDescent="0.4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  <c r="ES322" s="8"/>
      <c r="ET322" s="8"/>
      <c r="EU322" s="8"/>
    </row>
    <row r="323" spans="2:151" x14ac:dyDescent="0.4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  <c r="ES323" s="8"/>
      <c r="ET323" s="8"/>
      <c r="EU323" s="8"/>
    </row>
    <row r="324" spans="2:151" x14ac:dyDescent="0.4"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  <c r="CD324" s="10"/>
      <c r="CE324" s="10"/>
      <c r="CF324" s="10"/>
      <c r="CG324" s="10"/>
      <c r="CH324" s="10"/>
      <c r="CI324" s="10"/>
      <c r="CJ324" s="10"/>
      <c r="CK324" s="10"/>
      <c r="CL324" s="10"/>
      <c r="CM324" s="10"/>
      <c r="CN324" s="10"/>
      <c r="CO324" s="10"/>
      <c r="CP324" s="10"/>
      <c r="CQ324" s="10"/>
      <c r="CR324" s="10"/>
      <c r="CS324" s="10"/>
      <c r="CT324" s="10"/>
      <c r="CU324" s="10"/>
      <c r="CV324" s="10"/>
      <c r="CW324" s="10"/>
      <c r="CX324" s="10"/>
      <c r="CY324" s="10"/>
      <c r="CZ324" s="10"/>
      <c r="DA324" s="10"/>
      <c r="DB324" s="10"/>
      <c r="DC324" s="10"/>
      <c r="DD324" s="10"/>
      <c r="DE324" s="10"/>
      <c r="DF324" s="10"/>
      <c r="DG324" s="10"/>
      <c r="DH324" s="10"/>
      <c r="DI324" s="10"/>
      <c r="DJ324" s="10"/>
      <c r="DK324" s="10"/>
      <c r="DL324" s="10"/>
      <c r="DM324" s="10"/>
      <c r="DN324" s="10"/>
      <c r="DO324" s="10"/>
      <c r="DP324" s="10"/>
      <c r="DQ324" s="10"/>
      <c r="DR324" s="10"/>
      <c r="DS324" s="10"/>
      <c r="DT324" s="10"/>
      <c r="DU324" s="10"/>
      <c r="DV324" s="10"/>
      <c r="DW324" s="10"/>
      <c r="DX324" s="10"/>
      <c r="DY324" s="10"/>
      <c r="DZ324" s="10"/>
      <c r="EA324" s="10"/>
      <c r="EB324" s="10"/>
      <c r="EC324" s="10"/>
      <c r="ED324" s="10"/>
      <c r="EE324" s="10"/>
      <c r="EF324" s="10"/>
      <c r="EG324" s="10"/>
      <c r="EH324" s="10"/>
      <c r="EI324" s="10"/>
      <c r="EJ324" s="10"/>
      <c r="EK324" s="10"/>
      <c r="EL324" s="10"/>
      <c r="EM324" s="10"/>
      <c r="EN324" s="10"/>
      <c r="EO324" s="10"/>
      <c r="EP324" s="10"/>
      <c r="EQ324" s="10"/>
      <c r="ER324" s="10"/>
      <c r="ES324" s="10"/>
      <c r="ET324" s="10"/>
      <c r="EU324" s="10"/>
    </row>
    <row r="325" spans="2:151" x14ac:dyDescent="0.4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  <c r="ES325" s="8"/>
      <c r="ET325" s="8"/>
      <c r="EU325" s="8"/>
    </row>
    <row r="326" spans="2:151" x14ac:dyDescent="0.4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  <c r="ES326" s="8"/>
      <c r="ET326" s="8"/>
      <c r="EU326" s="8"/>
    </row>
    <row r="327" spans="2:151" x14ac:dyDescent="0.4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  <c r="ES327" s="8"/>
      <c r="ET327" s="8"/>
      <c r="EU327" s="8"/>
    </row>
    <row r="328" spans="2:151" x14ac:dyDescent="0.4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  <c r="ES328" s="8"/>
      <c r="ET328" s="8"/>
      <c r="EU328" s="8"/>
    </row>
    <row r="329" spans="2:151" x14ac:dyDescent="0.4"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  <c r="BL329" s="10"/>
      <c r="BM329" s="10"/>
      <c r="BN329" s="10"/>
      <c r="BO329" s="10"/>
      <c r="BP329" s="10"/>
      <c r="BQ329" s="10"/>
      <c r="BR329" s="10"/>
      <c r="BS329" s="10"/>
      <c r="BT329" s="10"/>
      <c r="BU329" s="10"/>
      <c r="BV329" s="10"/>
      <c r="BW329" s="10"/>
      <c r="BX329" s="10"/>
      <c r="BY329" s="10"/>
      <c r="BZ329" s="10"/>
      <c r="CA329" s="10"/>
      <c r="CB329" s="10"/>
      <c r="CC329" s="10"/>
      <c r="CD329" s="10"/>
      <c r="CE329" s="10"/>
      <c r="CF329" s="10"/>
      <c r="CG329" s="10"/>
      <c r="CH329" s="10"/>
      <c r="CI329" s="10"/>
      <c r="CJ329" s="10"/>
      <c r="CK329" s="10"/>
      <c r="CL329" s="10"/>
      <c r="CM329" s="10"/>
      <c r="CN329" s="10"/>
      <c r="CO329" s="10"/>
      <c r="CP329" s="10"/>
      <c r="CQ329" s="10"/>
      <c r="CR329" s="10"/>
      <c r="CS329" s="10"/>
      <c r="CT329" s="10"/>
      <c r="CU329" s="10"/>
      <c r="CV329" s="10"/>
      <c r="CW329" s="10"/>
      <c r="CX329" s="10"/>
      <c r="CY329" s="10"/>
      <c r="CZ329" s="10"/>
      <c r="DA329" s="10"/>
      <c r="DB329" s="10"/>
      <c r="DC329" s="10"/>
      <c r="DD329" s="10"/>
      <c r="DE329" s="10"/>
      <c r="DF329" s="10"/>
      <c r="DG329" s="10"/>
      <c r="DH329" s="10"/>
      <c r="DI329" s="10"/>
      <c r="DJ329" s="10"/>
      <c r="DK329" s="10"/>
      <c r="DL329" s="10"/>
      <c r="DM329" s="10"/>
      <c r="DN329" s="10"/>
      <c r="DO329" s="10"/>
      <c r="DP329" s="10"/>
      <c r="DQ329" s="10"/>
      <c r="DR329" s="10"/>
      <c r="DS329" s="10"/>
      <c r="DT329" s="10"/>
      <c r="DU329" s="10"/>
      <c r="DV329" s="10"/>
      <c r="DW329" s="10"/>
      <c r="DX329" s="10"/>
      <c r="DY329" s="10"/>
      <c r="DZ329" s="10"/>
      <c r="EA329" s="10"/>
      <c r="EB329" s="10"/>
      <c r="EC329" s="10"/>
      <c r="ED329" s="10"/>
      <c r="EE329" s="10"/>
      <c r="EF329" s="10"/>
      <c r="EG329" s="10"/>
      <c r="EH329" s="10"/>
      <c r="EI329" s="10"/>
      <c r="EJ329" s="10"/>
      <c r="EK329" s="10"/>
      <c r="EL329" s="10"/>
      <c r="EM329" s="10"/>
      <c r="EN329" s="10"/>
      <c r="EO329" s="10"/>
      <c r="EP329" s="10"/>
      <c r="EQ329" s="10"/>
      <c r="ER329" s="10"/>
      <c r="ES329" s="10"/>
      <c r="ET329" s="10"/>
      <c r="EU329" s="10"/>
    </row>
    <row r="330" spans="2:151" x14ac:dyDescent="0.4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  <c r="ES330" s="8"/>
      <c r="ET330" s="8"/>
      <c r="EU330" s="8"/>
    </row>
    <row r="331" spans="2:151" x14ac:dyDescent="0.4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  <c r="ES331" s="8"/>
      <c r="ET331" s="8"/>
      <c r="EU331" s="8"/>
    </row>
    <row r="332" spans="2:151" x14ac:dyDescent="0.4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  <c r="ES332" s="8"/>
      <c r="ET332" s="8"/>
      <c r="EU332" s="8"/>
    </row>
    <row r="333" spans="2:151" x14ac:dyDescent="0.4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  <c r="ES333" s="8"/>
      <c r="ET333" s="8"/>
      <c r="EU333" s="8"/>
    </row>
    <row r="334" spans="2:151" x14ac:dyDescent="0.4"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  <c r="BL334" s="10"/>
      <c r="BM334" s="10"/>
      <c r="BN334" s="10"/>
      <c r="BO334" s="10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  <c r="CD334" s="10"/>
      <c r="CE334" s="10"/>
      <c r="CF334" s="10"/>
      <c r="CG334" s="10"/>
      <c r="CH334" s="10"/>
      <c r="CI334" s="10"/>
      <c r="CJ334" s="10"/>
      <c r="CK334" s="10"/>
      <c r="CL334" s="10"/>
      <c r="CM334" s="10"/>
      <c r="CN334" s="10"/>
      <c r="CO334" s="10"/>
      <c r="CP334" s="10"/>
      <c r="CQ334" s="10"/>
      <c r="CR334" s="10"/>
      <c r="CS334" s="10"/>
      <c r="CT334" s="10"/>
      <c r="CU334" s="10"/>
      <c r="CV334" s="10"/>
      <c r="CW334" s="10"/>
      <c r="CX334" s="10"/>
      <c r="CY334" s="10"/>
      <c r="CZ334" s="10"/>
      <c r="DA334" s="10"/>
      <c r="DB334" s="10"/>
      <c r="DC334" s="10"/>
      <c r="DD334" s="10"/>
      <c r="DE334" s="10"/>
      <c r="DF334" s="10"/>
      <c r="DG334" s="10"/>
      <c r="DH334" s="10"/>
      <c r="DI334" s="10"/>
      <c r="DJ334" s="10"/>
      <c r="DK334" s="10"/>
      <c r="DL334" s="10"/>
      <c r="DM334" s="10"/>
      <c r="DN334" s="10"/>
      <c r="DO334" s="10"/>
      <c r="DP334" s="10"/>
      <c r="DQ334" s="10"/>
      <c r="DR334" s="10"/>
      <c r="DS334" s="10"/>
      <c r="DT334" s="10"/>
      <c r="DU334" s="10"/>
      <c r="DV334" s="10"/>
      <c r="DW334" s="10"/>
      <c r="DX334" s="10"/>
      <c r="DY334" s="10"/>
      <c r="DZ334" s="10"/>
      <c r="EA334" s="10"/>
      <c r="EB334" s="10"/>
      <c r="EC334" s="10"/>
      <c r="ED334" s="10"/>
      <c r="EE334" s="10"/>
      <c r="EF334" s="10"/>
      <c r="EG334" s="10"/>
      <c r="EH334" s="10"/>
      <c r="EI334" s="10"/>
      <c r="EJ334" s="10"/>
      <c r="EK334" s="10"/>
      <c r="EL334" s="10"/>
      <c r="EM334" s="10"/>
      <c r="EN334" s="10"/>
      <c r="EO334" s="10"/>
      <c r="EP334" s="10"/>
      <c r="EQ334" s="10"/>
      <c r="ER334" s="10"/>
      <c r="ES334" s="10"/>
      <c r="ET334" s="10"/>
      <c r="EU334" s="10"/>
    </row>
    <row r="335" spans="2:151" x14ac:dyDescent="0.4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  <c r="ES335" s="8"/>
      <c r="ET335" s="8"/>
      <c r="EU335" s="8"/>
    </row>
    <row r="336" spans="2:151" x14ac:dyDescent="0.4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  <c r="ES336" s="8"/>
      <c r="ET336" s="8"/>
      <c r="EU336" s="8"/>
    </row>
    <row r="337" spans="2:151" x14ac:dyDescent="0.4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  <c r="ES337" s="8"/>
      <c r="ET337" s="8"/>
      <c r="EU337" s="8"/>
    </row>
    <row r="338" spans="2:151" x14ac:dyDescent="0.4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  <c r="ES338" s="8"/>
      <c r="ET338" s="8"/>
      <c r="EU338" s="8"/>
    </row>
    <row r="339" spans="2:151" x14ac:dyDescent="0.4"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L339" s="10"/>
      <c r="BM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  <c r="CG339" s="10"/>
      <c r="CH339" s="10"/>
      <c r="CI339" s="10"/>
      <c r="CJ339" s="10"/>
      <c r="CK339" s="10"/>
      <c r="CL339" s="10"/>
      <c r="CM339" s="10"/>
      <c r="CN339" s="10"/>
      <c r="CO339" s="10"/>
      <c r="CP339" s="10"/>
      <c r="CQ339" s="10"/>
      <c r="CR339" s="10"/>
      <c r="CS339" s="10"/>
      <c r="CT339" s="10"/>
      <c r="CU339" s="10"/>
      <c r="CV339" s="10"/>
      <c r="CW339" s="10"/>
      <c r="CX339" s="10"/>
      <c r="CY339" s="10"/>
      <c r="CZ339" s="10"/>
      <c r="DA339" s="10"/>
      <c r="DB339" s="10"/>
      <c r="DC339" s="10"/>
      <c r="DD339" s="10"/>
      <c r="DE339" s="10"/>
      <c r="DF339" s="10"/>
      <c r="DG339" s="10"/>
      <c r="DH339" s="10"/>
      <c r="DI339" s="10"/>
      <c r="DJ339" s="10"/>
      <c r="DK339" s="10"/>
      <c r="DL339" s="10"/>
      <c r="DM339" s="10"/>
      <c r="DN339" s="10"/>
      <c r="DO339" s="10"/>
      <c r="DP339" s="10"/>
      <c r="DQ339" s="10"/>
      <c r="DR339" s="10"/>
      <c r="DS339" s="10"/>
      <c r="DT339" s="10"/>
      <c r="DU339" s="10"/>
      <c r="DV339" s="10"/>
      <c r="DW339" s="10"/>
      <c r="DX339" s="10"/>
      <c r="DY339" s="10"/>
      <c r="DZ339" s="10"/>
      <c r="EA339" s="10"/>
      <c r="EB339" s="10"/>
      <c r="EC339" s="10"/>
      <c r="ED339" s="10"/>
      <c r="EE339" s="10"/>
      <c r="EF339" s="10"/>
      <c r="EG339" s="10"/>
      <c r="EH339" s="10"/>
      <c r="EI339" s="10"/>
      <c r="EJ339" s="10"/>
      <c r="EK339" s="10"/>
      <c r="EL339" s="10"/>
      <c r="EM339" s="10"/>
      <c r="EN339" s="10"/>
      <c r="EO339" s="10"/>
      <c r="EP339" s="10"/>
      <c r="EQ339" s="10"/>
      <c r="ER339" s="10"/>
      <c r="ES339" s="10"/>
      <c r="ET339" s="10"/>
      <c r="EU339" s="10"/>
    </row>
    <row r="340" spans="2:151" x14ac:dyDescent="0.4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  <c r="ES340" s="8"/>
      <c r="ET340" s="8"/>
      <c r="EU340" s="8"/>
    </row>
    <row r="341" spans="2:151" x14ac:dyDescent="0.4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  <c r="ES341" s="8"/>
      <c r="ET341" s="8"/>
      <c r="EU341" s="8"/>
    </row>
    <row r="342" spans="2:151" x14ac:dyDescent="0.4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  <c r="ES342" s="8"/>
      <c r="ET342" s="8"/>
      <c r="EU342" s="8"/>
    </row>
    <row r="343" spans="2:151" x14ac:dyDescent="0.4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  <c r="ES343" s="8"/>
      <c r="ET343" s="8"/>
      <c r="EU343" s="8"/>
    </row>
    <row r="344" spans="2:151" x14ac:dyDescent="0.4"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  <c r="CG344" s="10"/>
      <c r="CH344" s="10"/>
      <c r="CI344" s="10"/>
      <c r="CJ344" s="10"/>
      <c r="CK344" s="10"/>
      <c r="CL344" s="10"/>
      <c r="CM344" s="10"/>
      <c r="CN344" s="10"/>
      <c r="CO344" s="10"/>
      <c r="CP344" s="10"/>
      <c r="CQ344" s="10"/>
      <c r="CR344" s="10"/>
      <c r="CS344" s="10"/>
      <c r="CT344" s="10"/>
      <c r="CU344" s="10"/>
      <c r="CV344" s="10"/>
      <c r="CW344" s="10"/>
      <c r="CX344" s="10"/>
      <c r="CY344" s="10"/>
      <c r="CZ344" s="10"/>
      <c r="DA344" s="10"/>
      <c r="DB344" s="10"/>
      <c r="DC344" s="10"/>
      <c r="DD344" s="10"/>
      <c r="DE344" s="10"/>
      <c r="DF344" s="10"/>
      <c r="DG344" s="10"/>
      <c r="DH344" s="10"/>
      <c r="DI344" s="10"/>
      <c r="DJ344" s="10"/>
      <c r="DK344" s="10"/>
      <c r="DL344" s="10"/>
      <c r="DM344" s="10"/>
      <c r="DN344" s="10"/>
      <c r="DO344" s="10"/>
      <c r="DP344" s="10"/>
      <c r="DQ344" s="10"/>
      <c r="DR344" s="10"/>
      <c r="DS344" s="10"/>
      <c r="DT344" s="10"/>
      <c r="DU344" s="10"/>
      <c r="DV344" s="10"/>
      <c r="DW344" s="10"/>
      <c r="DX344" s="10"/>
      <c r="DY344" s="10"/>
      <c r="DZ344" s="10"/>
      <c r="EA344" s="10"/>
      <c r="EB344" s="10"/>
      <c r="EC344" s="10"/>
      <c r="ED344" s="10"/>
      <c r="EE344" s="10"/>
      <c r="EF344" s="10"/>
      <c r="EG344" s="10"/>
      <c r="EH344" s="10"/>
      <c r="EI344" s="10"/>
      <c r="EJ344" s="10"/>
      <c r="EK344" s="10"/>
      <c r="EL344" s="10"/>
      <c r="EM344" s="10"/>
      <c r="EN344" s="10"/>
      <c r="EO344" s="10"/>
      <c r="EP344" s="10"/>
      <c r="EQ344" s="10"/>
      <c r="ER344" s="10"/>
      <c r="ES344" s="10"/>
      <c r="ET344" s="10"/>
      <c r="EU344" s="10"/>
    </row>
    <row r="345" spans="2:151" x14ac:dyDescent="0.4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  <c r="ES345" s="8"/>
      <c r="ET345" s="8"/>
      <c r="EU345" s="8"/>
    </row>
    <row r="346" spans="2:151" x14ac:dyDescent="0.4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  <c r="ES346" s="8"/>
      <c r="ET346" s="8"/>
      <c r="EU346" s="8"/>
    </row>
    <row r="347" spans="2:151" x14ac:dyDescent="0.4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  <c r="ES347" s="8"/>
      <c r="ET347" s="8"/>
      <c r="EU347" s="8"/>
    </row>
    <row r="348" spans="2:151" x14ac:dyDescent="0.4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  <c r="ES348" s="8"/>
      <c r="ET348" s="8"/>
      <c r="EU348" s="8"/>
    </row>
    <row r="349" spans="2:151" x14ac:dyDescent="0.4"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  <c r="CD349" s="10"/>
      <c r="CE349" s="10"/>
      <c r="CF349" s="10"/>
      <c r="CG349" s="10"/>
      <c r="CH349" s="10"/>
      <c r="CI349" s="10"/>
      <c r="CJ349" s="10"/>
      <c r="CK349" s="10"/>
      <c r="CL349" s="10"/>
      <c r="CM349" s="10"/>
      <c r="CN349" s="10"/>
      <c r="CO349" s="10"/>
      <c r="CP349" s="10"/>
      <c r="CQ349" s="10"/>
      <c r="CR349" s="10"/>
      <c r="CS349" s="10"/>
      <c r="CT349" s="10"/>
      <c r="CU349" s="10"/>
      <c r="CV349" s="10"/>
      <c r="CW349" s="10"/>
      <c r="CX349" s="10"/>
      <c r="CY349" s="10"/>
      <c r="CZ349" s="10"/>
      <c r="DA349" s="10"/>
      <c r="DB349" s="10"/>
      <c r="DC349" s="10"/>
      <c r="DD349" s="10"/>
      <c r="DE349" s="10"/>
      <c r="DF349" s="10"/>
      <c r="DG349" s="10"/>
      <c r="DH349" s="10"/>
      <c r="DI349" s="10"/>
      <c r="DJ349" s="10"/>
      <c r="DK349" s="10"/>
      <c r="DL349" s="10"/>
      <c r="DM349" s="10"/>
      <c r="DN349" s="10"/>
      <c r="DO349" s="10"/>
      <c r="DP349" s="10"/>
      <c r="DQ349" s="10"/>
      <c r="DR349" s="10"/>
      <c r="DS349" s="10"/>
      <c r="DT349" s="10"/>
      <c r="DU349" s="10"/>
      <c r="DV349" s="10"/>
      <c r="DW349" s="10"/>
      <c r="DX349" s="10"/>
      <c r="DY349" s="10"/>
      <c r="DZ349" s="10"/>
      <c r="EA349" s="10"/>
      <c r="EB349" s="10"/>
      <c r="EC349" s="10"/>
      <c r="ED349" s="10"/>
      <c r="EE349" s="10"/>
      <c r="EF349" s="10"/>
      <c r="EG349" s="10"/>
      <c r="EH349" s="10"/>
      <c r="EI349" s="10"/>
      <c r="EJ349" s="10"/>
      <c r="EK349" s="10"/>
      <c r="EL349" s="10"/>
      <c r="EM349" s="10"/>
      <c r="EN349" s="10"/>
      <c r="EO349" s="10"/>
      <c r="EP349" s="10"/>
      <c r="EQ349" s="10"/>
      <c r="ER349" s="10"/>
      <c r="ES349" s="10"/>
      <c r="ET349" s="10"/>
      <c r="EU349" s="10"/>
    </row>
    <row r="350" spans="2:151" x14ac:dyDescent="0.4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  <c r="ES350" s="8"/>
      <c r="ET350" s="8"/>
      <c r="EU350" s="8"/>
    </row>
    <row r="351" spans="2:151" x14ac:dyDescent="0.4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  <c r="ES351" s="8"/>
      <c r="ET351" s="8"/>
      <c r="EU351" s="8"/>
    </row>
    <row r="352" spans="2:151" x14ac:dyDescent="0.4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  <c r="ES352" s="8"/>
      <c r="ET352" s="8"/>
      <c r="EU352" s="8"/>
    </row>
    <row r="353" spans="2:151" x14ac:dyDescent="0.4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  <c r="ES353" s="8"/>
      <c r="ET353" s="8"/>
      <c r="EU353" s="8"/>
    </row>
    <row r="354" spans="2:151" x14ac:dyDescent="0.4"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  <c r="BL354" s="10"/>
      <c r="BM354" s="10"/>
      <c r="BN354" s="10"/>
      <c r="BO354" s="10"/>
      <c r="BP354" s="10"/>
      <c r="BQ354" s="10"/>
      <c r="BR354" s="10"/>
      <c r="BS354" s="10"/>
      <c r="BT354" s="10"/>
      <c r="BU354" s="10"/>
      <c r="BV354" s="10"/>
      <c r="BW354" s="10"/>
      <c r="BX354" s="10"/>
      <c r="BY354" s="10"/>
      <c r="BZ354" s="10"/>
      <c r="CA354" s="10"/>
      <c r="CB354" s="10"/>
      <c r="CC354" s="10"/>
      <c r="CD354" s="10"/>
      <c r="CE354" s="10"/>
      <c r="CF354" s="10"/>
      <c r="CG354" s="10"/>
      <c r="CH354" s="10"/>
      <c r="CI354" s="10"/>
      <c r="CJ354" s="10"/>
      <c r="CK354" s="10"/>
      <c r="CL354" s="10"/>
      <c r="CM354" s="10"/>
      <c r="CN354" s="10"/>
      <c r="CO354" s="10"/>
      <c r="CP354" s="10"/>
      <c r="CQ354" s="10"/>
      <c r="CR354" s="10"/>
      <c r="CS354" s="10"/>
      <c r="CT354" s="10"/>
      <c r="CU354" s="10"/>
      <c r="CV354" s="10"/>
      <c r="CW354" s="10"/>
      <c r="CX354" s="10"/>
      <c r="CY354" s="10"/>
      <c r="CZ354" s="10"/>
      <c r="DA354" s="10"/>
      <c r="DB354" s="10"/>
      <c r="DC354" s="10"/>
      <c r="DD354" s="10"/>
      <c r="DE354" s="10"/>
      <c r="DF354" s="10"/>
      <c r="DG354" s="10"/>
      <c r="DH354" s="10"/>
      <c r="DI354" s="10"/>
      <c r="DJ354" s="10"/>
      <c r="DK354" s="10"/>
      <c r="DL354" s="10"/>
      <c r="DM354" s="10"/>
      <c r="DN354" s="10"/>
      <c r="DO354" s="10"/>
      <c r="DP354" s="10"/>
      <c r="DQ354" s="10"/>
      <c r="DR354" s="10"/>
      <c r="DS354" s="10"/>
      <c r="DT354" s="10"/>
      <c r="DU354" s="10"/>
      <c r="DV354" s="10"/>
      <c r="DW354" s="10"/>
      <c r="DX354" s="10"/>
      <c r="DY354" s="10"/>
      <c r="DZ354" s="10"/>
      <c r="EA354" s="10"/>
      <c r="EB354" s="10"/>
      <c r="EC354" s="10"/>
      <c r="ED354" s="10"/>
      <c r="EE354" s="10"/>
      <c r="EF354" s="10"/>
      <c r="EG354" s="10"/>
      <c r="EH354" s="10"/>
      <c r="EI354" s="10"/>
      <c r="EJ354" s="10"/>
      <c r="EK354" s="10"/>
      <c r="EL354" s="10"/>
      <c r="EM354" s="10"/>
      <c r="EN354" s="10"/>
      <c r="EO354" s="10"/>
      <c r="EP354" s="10"/>
      <c r="EQ354" s="10"/>
      <c r="ER354" s="10"/>
      <c r="ES354" s="10"/>
      <c r="ET354" s="10"/>
      <c r="EU354" s="10"/>
    </row>
    <row r="355" spans="2:151" x14ac:dyDescent="0.4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  <c r="ES355" s="8"/>
      <c r="ET355" s="8"/>
      <c r="EU355" s="8"/>
    </row>
    <row r="356" spans="2:151" x14ac:dyDescent="0.4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  <c r="ES356" s="8"/>
      <c r="ET356" s="8"/>
      <c r="EU356" s="8"/>
    </row>
    <row r="357" spans="2:151" x14ac:dyDescent="0.4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  <c r="ES357" s="8"/>
      <c r="ET357" s="8"/>
      <c r="EU357" s="8"/>
    </row>
    <row r="358" spans="2:151" x14ac:dyDescent="0.4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  <c r="ES358" s="8"/>
      <c r="ET358" s="8"/>
      <c r="EU358" s="8"/>
    </row>
    <row r="359" spans="2:151" x14ac:dyDescent="0.4"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  <c r="BL359" s="10"/>
      <c r="BM359" s="10"/>
      <c r="BN359" s="10"/>
      <c r="BO359" s="10"/>
      <c r="BP359" s="10"/>
      <c r="BQ359" s="10"/>
      <c r="BR359" s="10"/>
      <c r="BS359" s="10"/>
      <c r="BT359" s="10"/>
      <c r="BU359" s="10"/>
      <c r="BV359" s="10"/>
      <c r="BW359" s="10"/>
      <c r="BX359" s="10"/>
      <c r="BY359" s="10"/>
      <c r="BZ359" s="10"/>
      <c r="CA359" s="10"/>
      <c r="CB359" s="10"/>
      <c r="CC359" s="10"/>
      <c r="CD359" s="10"/>
      <c r="CE359" s="10"/>
      <c r="CF359" s="10"/>
      <c r="CG359" s="10"/>
      <c r="CH359" s="10"/>
      <c r="CI359" s="10"/>
      <c r="CJ359" s="10"/>
      <c r="CK359" s="10"/>
      <c r="CL359" s="10"/>
      <c r="CM359" s="10"/>
      <c r="CN359" s="10"/>
      <c r="CO359" s="10"/>
      <c r="CP359" s="10"/>
      <c r="CQ359" s="10"/>
      <c r="CR359" s="10"/>
      <c r="CS359" s="10"/>
      <c r="CT359" s="10"/>
      <c r="CU359" s="10"/>
      <c r="CV359" s="10"/>
      <c r="CW359" s="10"/>
      <c r="CX359" s="10"/>
      <c r="CY359" s="10"/>
      <c r="CZ359" s="10"/>
      <c r="DA359" s="10"/>
      <c r="DB359" s="10"/>
      <c r="DC359" s="10"/>
      <c r="DD359" s="10"/>
      <c r="DE359" s="10"/>
      <c r="DF359" s="10"/>
      <c r="DG359" s="10"/>
      <c r="DH359" s="10"/>
      <c r="DI359" s="10"/>
      <c r="DJ359" s="10"/>
      <c r="DK359" s="10"/>
      <c r="DL359" s="10"/>
      <c r="DM359" s="10"/>
      <c r="DN359" s="10"/>
      <c r="DO359" s="10"/>
      <c r="DP359" s="10"/>
      <c r="DQ359" s="10"/>
      <c r="DR359" s="10"/>
      <c r="DS359" s="10"/>
      <c r="DT359" s="10"/>
      <c r="DU359" s="10"/>
      <c r="DV359" s="10"/>
      <c r="DW359" s="10"/>
      <c r="DX359" s="10"/>
      <c r="DY359" s="10"/>
      <c r="DZ359" s="10"/>
      <c r="EA359" s="10"/>
      <c r="EB359" s="10"/>
      <c r="EC359" s="10"/>
      <c r="ED359" s="10"/>
      <c r="EE359" s="10"/>
      <c r="EF359" s="10"/>
      <c r="EG359" s="10"/>
      <c r="EH359" s="10"/>
      <c r="EI359" s="10"/>
      <c r="EJ359" s="10"/>
      <c r="EK359" s="10"/>
      <c r="EL359" s="10"/>
      <c r="EM359" s="10"/>
      <c r="EN359" s="10"/>
      <c r="EO359" s="10"/>
      <c r="EP359" s="10"/>
      <c r="EQ359" s="10"/>
      <c r="ER359" s="10"/>
      <c r="ES359" s="10"/>
      <c r="ET359" s="10"/>
      <c r="EU359" s="10"/>
    </row>
    <row r="360" spans="2:151" x14ac:dyDescent="0.4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  <c r="ES360" s="8"/>
      <c r="ET360" s="8"/>
      <c r="EU360" s="8"/>
    </row>
    <row r="361" spans="2:151" x14ac:dyDescent="0.4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  <c r="ES361" s="8"/>
      <c r="ET361" s="8"/>
      <c r="EU361" s="8"/>
    </row>
    <row r="362" spans="2:151" x14ac:dyDescent="0.4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  <c r="ES362" s="8"/>
      <c r="ET362" s="8"/>
      <c r="EU362" s="8"/>
    </row>
    <row r="363" spans="2:151" x14ac:dyDescent="0.4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  <c r="ES363" s="8"/>
      <c r="ET363" s="8"/>
      <c r="EU363" s="8"/>
    </row>
    <row r="364" spans="2:151" x14ac:dyDescent="0.4"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  <c r="CG364" s="10"/>
      <c r="CH364" s="10"/>
      <c r="CI364" s="10"/>
      <c r="CJ364" s="10"/>
      <c r="CK364" s="10"/>
      <c r="CL364" s="10"/>
      <c r="CM364" s="10"/>
      <c r="CN364" s="10"/>
      <c r="CO364" s="10"/>
      <c r="CP364" s="10"/>
      <c r="CQ364" s="10"/>
      <c r="CR364" s="10"/>
      <c r="CS364" s="10"/>
      <c r="CT364" s="10"/>
      <c r="CU364" s="10"/>
      <c r="CV364" s="10"/>
      <c r="CW364" s="10"/>
      <c r="CX364" s="10"/>
      <c r="CY364" s="10"/>
      <c r="CZ364" s="10"/>
      <c r="DA364" s="10"/>
      <c r="DB364" s="10"/>
      <c r="DC364" s="10"/>
      <c r="DD364" s="10"/>
      <c r="DE364" s="10"/>
      <c r="DF364" s="10"/>
      <c r="DG364" s="10"/>
      <c r="DH364" s="10"/>
      <c r="DI364" s="10"/>
      <c r="DJ364" s="10"/>
      <c r="DK364" s="10"/>
      <c r="DL364" s="10"/>
      <c r="DM364" s="10"/>
      <c r="DN364" s="10"/>
      <c r="DO364" s="10"/>
      <c r="DP364" s="10"/>
      <c r="DQ364" s="10"/>
      <c r="DR364" s="10"/>
      <c r="DS364" s="10"/>
      <c r="DT364" s="10"/>
      <c r="DU364" s="10"/>
      <c r="DV364" s="10"/>
      <c r="DW364" s="10"/>
      <c r="DX364" s="10"/>
      <c r="DY364" s="10"/>
      <c r="DZ364" s="10"/>
      <c r="EA364" s="10"/>
      <c r="EB364" s="10"/>
      <c r="EC364" s="10"/>
      <c r="ED364" s="10"/>
      <c r="EE364" s="10"/>
      <c r="EF364" s="10"/>
      <c r="EG364" s="10"/>
      <c r="EH364" s="10"/>
      <c r="EI364" s="10"/>
      <c r="EJ364" s="10"/>
      <c r="EK364" s="10"/>
      <c r="EL364" s="10"/>
      <c r="EM364" s="10"/>
      <c r="EN364" s="10"/>
      <c r="EO364" s="10"/>
      <c r="EP364" s="10"/>
      <c r="EQ364" s="10"/>
      <c r="ER364" s="10"/>
      <c r="ES364" s="10"/>
      <c r="ET364" s="10"/>
      <c r="EU364" s="10"/>
    </row>
    <row r="365" spans="2:151" x14ac:dyDescent="0.4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  <c r="ES365" s="8"/>
      <c r="ET365" s="8"/>
      <c r="EU365" s="8"/>
    </row>
    <row r="366" spans="2:151" x14ac:dyDescent="0.4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  <c r="ES366" s="8"/>
      <c r="ET366" s="8"/>
      <c r="EU366" s="8"/>
    </row>
    <row r="367" spans="2:151" x14ac:dyDescent="0.4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  <c r="ES367" s="8"/>
      <c r="ET367" s="8"/>
      <c r="EU367" s="8"/>
    </row>
    <row r="368" spans="2:151" x14ac:dyDescent="0.4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  <c r="ES368" s="8"/>
      <c r="ET368" s="8"/>
      <c r="EU368" s="8"/>
    </row>
    <row r="369" spans="2:151" x14ac:dyDescent="0.4"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  <c r="CD369" s="10"/>
      <c r="CE369" s="10"/>
      <c r="CF369" s="10"/>
      <c r="CG369" s="10"/>
      <c r="CH369" s="10"/>
      <c r="CI369" s="10"/>
      <c r="CJ369" s="10"/>
      <c r="CK369" s="10"/>
      <c r="CL369" s="10"/>
      <c r="CM369" s="10"/>
      <c r="CN369" s="10"/>
      <c r="CO369" s="10"/>
      <c r="CP369" s="10"/>
      <c r="CQ369" s="10"/>
      <c r="CR369" s="10"/>
      <c r="CS369" s="10"/>
      <c r="CT369" s="10"/>
      <c r="CU369" s="10"/>
      <c r="CV369" s="10"/>
      <c r="CW369" s="10"/>
      <c r="CX369" s="10"/>
      <c r="CY369" s="10"/>
      <c r="CZ369" s="10"/>
      <c r="DA369" s="10"/>
      <c r="DB369" s="10"/>
      <c r="DC369" s="10"/>
      <c r="DD369" s="10"/>
      <c r="DE369" s="10"/>
      <c r="DF369" s="10"/>
      <c r="DG369" s="10"/>
      <c r="DH369" s="10"/>
      <c r="DI369" s="10"/>
      <c r="DJ369" s="10"/>
      <c r="DK369" s="10"/>
      <c r="DL369" s="10"/>
      <c r="DM369" s="10"/>
      <c r="DN369" s="10"/>
      <c r="DO369" s="10"/>
      <c r="DP369" s="10"/>
      <c r="DQ369" s="10"/>
      <c r="DR369" s="10"/>
      <c r="DS369" s="10"/>
      <c r="DT369" s="10"/>
      <c r="DU369" s="10"/>
      <c r="DV369" s="10"/>
      <c r="DW369" s="10"/>
      <c r="DX369" s="10"/>
      <c r="DY369" s="10"/>
      <c r="DZ369" s="10"/>
      <c r="EA369" s="10"/>
      <c r="EB369" s="10"/>
      <c r="EC369" s="10"/>
      <c r="ED369" s="10"/>
      <c r="EE369" s="10"/>
      <c r="EF369" s="10"/>
      <c r="EG369" s="10"/>
      <c r="EH369" s="10"/>
      <c r="EI369" s="10"/>
      <c r="EJ369" s="10"/>
      <c r="EK369" s="10"/>
      <c r="EL369" s="10"/>
      <c r="EM369" s="10"/>
      <c r="EN369" s="10"/>
      <c r="EO369" s="10"/>
      <c r="EP369" s="10"/>
      <c r="EQ369" s="10"/>
      <c r="ER369" s="10"/>
      <c r="ES369" s="10"/>
      <c r="ET369" s="10"/>
      <c r="EU369" s="10"/>
    </row>
    <row r="370" spans="2:151" x14ac:dyDescent="0.4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  <c r="EQ370" s="8"/>
      <c r="ER370" s="8"/>
      <c r="ES370" s="8"/>
      <c r="ET370" s="8"/>
      <c r="EU370" s="8"/>
    </row>
    <row r="371" spans="2:151" x14ac:dyDescent="0.4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  <c r="EQ371" s="8"/>
      <c r="ER371" s="8"/>
      <c r="ES371" s="8"/>
      <c r="ET371" s="8"/>
      <c r="EU371" s="8"/>
    </row>
    <row r="372" spans="2:151" x14ac:dyDescent="0.4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  <c r="EQ372" s="8"/>
      <c r="ER372" s="8"/>
      <c r="ES372" s="8"/>
      <c r="ET372" s="8"/>
      <c r="EU372" s="8"/>
    </row>
    <row r="373" spans="2:151" x14ac:dyDescent="0.4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  <c r="EQ373" s="8"/>
      <c r="ER373" s="8"/>
      <c r="ES373" s="8"/>
      <c r="ET373" s="8"/>
      <c r="EU373" s="8"/>
    </row>
    <row r="374" spans="2:151" x14ac:dyDescent="0.4"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L374" s="10"/>
      <c r="BM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  <c r="CD374" s="10"/>
      <c r="CE374" s="10"/>
      <c r="CF374" s="10"/>
      <c r="CG374" s="10"/>
      <c r="CH374" s="10"/>
      <c r="CI374" s="10"/>
      <c r="CJ374" s="10"/>
      <c r="CK374" s="10"/>
      <c r="CL374" s="10"/>
      <c r="CM374" s="10"/>
      <c r="CN374" s="10"/>
      <c r="CO374" s="10"/>
      <c r="CP374" s="10"/>
      <c r="CQ374" s="10"/>
      <c r="CR374" s="10"/>
      <c r="CS374" s="10"/>
      <c r="CT374" s="10"/>
      <c r="CU374" s="10"/>
      <c r="CV374" s="10"/>
      <c r="CW374" s="10"/>
      <c r="CX374" s="10"/>
      <c r="CY374" s="10"/>
      <c r="CZ374" s="10"/>
      <c r="DA374" s="10"/>
      <c r="DB374" s="10"/>
      <c r="DC374" s="10"/>
      <c r="DD374" s="10"/>
      <c r="DE374" s="10"/>
      <c r="DF374" s="10"/>
      <c r="DG374" s="10"/>
      <c r="DH374" s="10"/>
      <c r="DI374" s="10"/>
      <c r="DJ374" s="10"/>
      <c r="DK374" s="10"/>
      <c r="DL374" s="10"/>
      <c r="DM374" s="10"/>
      <c r="DN374" s="10"/>
      <c r="DO374" s="10"/>
      <c r="DP374" s="10"/>
      <c r="DQ374" s="10"/>
      <c r="DR374" s="10"/>
      <c r="DS374" s="10"/>
      <c r="DT374" s="10"/>
      <c r="DU374" s="10"/>
      <c r="DV374" s="10"/>
      <c r="DW374" s="10"/>
      <c r="DX374" s="10"/>
      <c r="DY374" s="10"/>
      <c r="DZ374" s="10"/>
      <c r="EA374" s="10"/>
      <c r="EB374" s="10"/>
      <c r="EC374" s="10"/>
      <c r="ED374" s="10"/>
      <c r="EE374" s="10"/>
      <c r="EF374" s="10"/>
      <c r="EG374" s="10"/>
      <c r="EH374" s="10"/>
      <c r="EI374" s="10"/>
      <c r="EJ374" s="10"/>
      <c r="EK374" s="10"/>
      <c r="EL374" s="10"/>
      <c r="EM374" s="10"/>
      <c r="EN374" s="10"/>
      <c r="EO374" s="10"/>
      <c r="EP374" s="10"/>
      <c r="EQ374" s="10"/>
      <c r="ER374" s="10"/>
      <c r="ES374" s="10"/>
      <c r="ET374" s="10"/>
      <c r="EU374" s="10"/>
    </row>
    <row r="375" spans="2:151" x14ac:dyDescent="0.4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  <c r="EQ375" s="8"/>
      <c r="ER375" s="8"/>
      <c r="ES375" s="8"/>
      <c r="ET375" s="8"/>
      <c r="EU375" s="8"/>
    </row>
    <row r="376" spans="2:151" x14ac:dyDescent="0.4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  <c r="EQ376" s="8"/>
      <c r="ER376" s="8"/>
      <c r="ES376" s="8"/>
      <c r="ET376" s="8"/>
      <c r="EU376" s="8"/>
    </row>
    <row r="377" spans="2:151" x14ac:dyDescent="0.4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  <c r="EQ377" s="8"/>
      <c r="ER377" s="8"/>
      <c r="ES377" s="8"/>
      <c r="ET377" s="8"/>
      <c r="EU377" s="8"/>
    </row>
    <row r="378" spans="2:151" x14ac:dyDescent="0.4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  <c r="EQ378" s="8"/>
      <c r="ER378" s="8"/>
      <c r="ES378" s="8"/>
      <c r="ET378" s="8"/>
      <c r="EU378" s="8"/>
    </row>
    <row r="379" spans="2:151" x14ac:dyDescent="0.4"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  <c r="BL379" s="10"/>
      <c r="BM379" s="10"/>
      <c r="BN379" s="10"/>
      <c r="BO379" s="10"/>
      <c r="BP379" s="10"/>
      <c r="BQ379" s="10"/>
      <c r="BR379" s="10"/>
      <c r="BS379" s="10"/>
      <c r="BT379" s="10"/>
      <c r="BU379" s="10"/>
      <c r="BV379" s="10"/>
      <c r="BW379" s="10"/>
      <c r="BX379" s="10"/>
      <c r="BY379" s="10"/>
      <c r="BZ379" s="10"/>
      <c r="CA379" s="10"/>
      <c r="CB379" s="10"/>
      <c r="CC379" s="10"/>
      <c r="CD379" s="10"/>
      <c r="CE379" s="10"/>
      <c r="CF379" s="10"/>
      <c r="CG379" s="10"/>
      <c r="CH379" s="10"/>
      <c r="CI379" s="10"/>
      <c r="CJ379" s="10"/>
      <c r="CK379" s="10"/>
      <c r="CL379" s="10"/>
      <c r="CM379" s="10"/>
      <c r="CN379" s="10"/>
      <c r="CO379" s="10"/>
      <c r="CP379" s="10"/>
      <c r="CQ379" s="10"/>
      <c r="CR379" s="10"/>
      <c r="CS379" s="10"/>
      <c r="CT379" s="10"/>
      <c r="CU379" s="10"/>
      <c r="CV379" s="10"/>
      <c r="CW379" s="10"/>
      <c r="CX379" s="10"/>
      <c r="CY379" s="10"/>
      <c r="CZ379" s="10"/>
      <c r="DA379" s="10"/>
      <c r="DB379" s="10"/>
      <c r="DC379" s="10"/>
      <c r="DD379" s="10"/>
      <c r="DE379" s="10"/>
      <c r="DF379" s="10"/>
      <c r="DG379" s="10"/>
      <c r="DH379" s="10"/>
      <c r="DI379" s="10"/>
      <c r="DJ379" s="10"/>
      <c r="DK379" s="10"/>
      <c r="DL379" s="10"/>
      <c r="DM379" s="10"/>
      <c r="DN379" s="10"/>
      <c r="DO379" s="10"/>
      <c r="DP379" s="10"/>
      <c r="DQ379" s="10"/>
      <c r="DR379" s="10"/>
      <c r="DS379" s="10"/>
      <c r="DT379" s="10"/>
      <c r="DU379" s="10"/>
      <c r="DV379" s="10"/>
      <c r="DW379" s="10"/>
      <c r="DX379" s="10"/>
      <c r="DY379" s="10"/>
      <c r="DZ379" s="10"/>
      <c r="EA379" s="10"/>
      <c r="EB379" s="10"/>
      <c r="EC379" s="10"/>
      <c r="ED379" s="10"/>
      <c r="EE379" s="10"/>
      <c r="EF379" s="10"/>
      <c r="EG379" s="10"/>
      <c r="EH379" s="10"/>
      <c r="EI379" s="10"/>
      <c r="EJ379" s="10"/>
      <c r="EK379" s="10"/>
      <c r="EL379" s="10"/>
      <c r="EM379" s="10"/>
      <c r="EN379" s="10"/>
      <c r="EO379" s="10"/>
      <c r="EP379" s="10"/>
      <c r="EQ379" s="10"/>
      <c r="ER379" s="10"/>
      <c r="ES379" s="10"/>
      <c r="ET379" s="10"/>
      <c r="EU379" s="10"/>
    </row>
    <row r="380" spans="2:151" x14ac:dyDescent="0.4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  <c r="EQ380" s="8"/>
      <c r="ER380" s="8"/>
      <c r="ES380" s="8"/>
      <c r="ET380" s="8"/>
      <c r="EU380" s="8"/>
    </row>
    <row r="381" spans="2:151" x14ac:dyDescent="0.4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  <c r="EQ381" s="8"/>
      <c r="ER381" s="8"/>
      <c r="ES381" s="8"/>
      <c r="ET381" s="8"/>
      <c r="EU381" s="8"/>
    </row>
    <row r="382" spans="2:151" x14ac:dyDescent="0.4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  <c r="EQ382" s="8"/>
      <c r="ER382" s="8"/>
      <c r="ES382" s="8"/>
      <c r="ET382" s="8"/>
      <c r="EU382" s="8"/>
    </row>
    <row r="383" spans="2:151" x14ac:dyDescent="0.4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  <c r="EQ383" s="8"/>
      <c r="ER383" s="8"/>
      <c r="ES383" s="8"/>
      <c r="ET383" s="8"/>
      <c r="EU383" s="8"/>
    </row>
    <row r="384" spans="2:151" x14ac:dyDescent="0.4"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C384" s="10"/>
      <c r="CD384" s="10"/>
      <c r="CE384" s="10"/>
      <c r="CF384" s="10"/>
      <c r="CG384" s="10"/>
      <c r="CH384" s="10"/>
      <c r="CI384" s="10"/>
      <c r="CJ384" s="10"/>
      <c r="CK384" s="10"/>
      <c r="CL384" s="10"/>
      <c r="CM384" s="10"/>
      <c r="CN384" s="10"/>
      <c r="CO384" s="10"/>
      <c r="CP384" s="10"/>
      <c r="CQ384" s="10"/>
      <c r="CR384" s="10"/>
      <c r="CS384" s="10"/>
      <c r="CT384" s="10"/>
      <c r="CU384" s="10"/>
      <c r="CV384" s="10"/>
      <c r="CW384" s="10"/>
      <c r="CX384" s="10"/>
      <c r="CY384" s="10"/>
      <c r="CZ384" s="10"/>
      <c r="DA384" s="10"/>
      <c r="DB384" s="10"/>
      <c r="DC384" s="10"/>
      <c r="DD384" s="10"/>
      <c r="DE384" s="10"/>
      <c r="DF384" s="10"/>
      <c r="DG384" s="10"/>
      <c r="DH384" s="10"/>
      <c r="DI384" s="10"/>
      <c r="DJ384" s="10"/>
      <c r="DK384" s="10"/>
      <c r="DL384" s="10"/>
      <c r="DM384" s="10"/>
      <c r="DN384" s="10"/>
      <c r="DO384" s="10"/>
      <c r="DP384" s="10"/>
      <c r="DQ384" s="10"/>
      <c r="DR384" s="10"/>
      <c r="DS384" s="10"/>
      <c r="DT384" s="10"/>
      <c r="DU384" s="10"/>
      <c r="DV384" s="10"/>
      <c r="DW384" s="10"/>
      <c r="DX384" s="10"/>
      <c r="DY384" s="10"/>
      <c r="DZ384" s="10"/>
      <c r="EA384" s="10"/>
      <c r="EB384" s="10"/>
      <c r="EC384" s="10"/>
      <c r="ED384" s="10"/>
      <c r="EE384" s="10"/>
      <c r="EF384" s="10"/>
      <c r="EG384" s="10"/>
      <c r="EH384" s="10"/>
      <c r="EI384" s="10"/>
      <c r="EJ384" s="10"/>
      <c r="EK384" s="10"/>
      <c r="EL384" s="10"/>
      <c r="EM384" s="10"/>
      <c r="EN384" s="10"/>
      <c r="EO384" s="10"/>
      <c r="EP384" s="10"/>
      <c r="EQ384" s="10"/>
      <c r="ER384" s="10"/>
      <c r="ES384" s="10"/>
      <c r="ET384" s="10"/>
      <c r="EU384" s="10"/>
    </row>
    <row r="385" spans="2:151" x14ac:dyDescent="0.4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  <c r="EQ385" s="8"/>
      <c r="ER385" s="8"/>
      <c r="ES385" s="8"/>
      <c r="ET385" s="8"/>
      <c r="EU385" s="8"/>
    </row>
    <row r="386" spans="2:151" x14ac:dyDescent="0.4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  <c r="EQ386" s="8"/>
      <c r="ER386" s="8"/>
      <c r="ES386" s="8"/>
      <c r="ET386" s="8"/>
      <c r="EU386" s="8"/>
    </row>
    <row r="387" spans="2:151" x14ac:dyDescent="0.4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  <c r="EQ387" s="8"/>
      <c r="ER387" s="8"/>
      <c r="ES387" s="8"/>
      <c r="ET387" s="8"/>
      <c r="EU387" s="8"/>
    </row>
    <row r="388" spans="2:151" x14ac:dyDescent="0.4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  <c r="EQ388" s="8"/>
      <c r="ER388" s="8"/>
      <c r="ES388" s="8"/>
      <c r="ET388" s="8"/>
      <c r="EU388" s="8"/>
    </row>
    <row r="389" spans="2:151" x14ac:dyDescent="0.4"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  <c r="BL389" s="10"/>
      <c r="BM389" s="10"/>
      <c r="BN389" s="10"/>
      <c r="BO389" s="10"/>
      <c r="BP389" s="10"/>
      <c r="BQ389" s="10"/>
      <c r="BR389" s="10"/>
      <c r="BS389" s="10"/>
      <c r="BT389" s="10"/>
      <c r="BU389" s="10"/>
      <c r="BV389" s="10"/>
      <c r="BW389" s="10"/>
      <c r="BX389" s="10"/>
      <c r="BY389" s="10"/>
      <c r="BZ389" s="10"/>
      <c r="CA389" s="10"/>
      <c r="CB389" s="10"/>
      <c r="CC389" s="10"/>
      <c r="CD389" s="10"/>
      <c r="CE389" s="10"/>
      <c r="CF389" s="10"/>
      <c r="CG389" s="10"/>
      <c r="CH389" s="10"/>
      <c r="CI389" s="10"/>
      <c r="CJ389" s="10"/>
      <c r="CK389" s="10"/>
      <c r="CL389" s="10"/>
      <c r="CM389" s="10"/>
      <c r="CN389" s="10"/>
      <c r="CO389" s="10"/>
      <c r="CP389" s="10"/>
      <c r="CQ389" s="10"/>
      <c r="CR389" s="10"/>
      <c r="CS389" s="10"/>
      <c r="CT389" s="10"/>
      <c r="CU389" s="10"/>
      <c r="CV389" s="10"/>
      <c r="CW389" s="10"/>
      <c r="CX389" s="10"/>
      <c r="CY389" s="10"/>
      <c r="CZ389" s="10"/>
      <c r="DA389" s="10"/>
      <c r="DB389" s="10"/>
      <c r="DC389" s="10"/>
      <c r="DD389" s="10"/>
      <c r="DE389" s="10"/>
      <c r="DF389" s="10"/>
      <c r="DG389" s="10"/>
      <c r="DH389" s="10"/>
      <c r="DI389" s="10"/>
      <c r="DJ389" s="10"/>
      <c r="DK389" s="10"/>
      <c r="DL389" s="10"/>
      <c r="DM389" s="10"/>
      <c r="DN389" s="10"/>
      <c r="DO389" s="10"/>
      <c r="DP389" s="10"/>
      <c r="DQ389" s="10"/>
      <c r="DR389" s="10"/>
      <c r="DS389" s="10"/>
      <c r="DT389" s="10"/>
      <c r="DU389" s="10"/>
      <c r="DV389" s="10"/>
      <c r="DW389" s="10"/>
      <c r="DX389" s="10"/>
      <c r="DY389" s="10"/>
      <c r="DZ389" s="10"/>
      <c r="EA389" s="10"/>
      <c r="EB389" s="10"/>
      <c r="EC389" s="10"/>
      <c r="ED389" s="10"/>
      <c r="EE389" s="10"/>
      <c r="EF389" s="10"/>
      <c r="EG389" s="10"/>
      <c r="EH389" s="10"/>
      <c r="EI389" s="10"/>
      <c r="EJ389" s="10"/>
      <c r="EK389" s="10"/>
      <c r="EL389" s="10"/>
      <c r="EM389" s="10"/>
      <c r="EN389" s="10"/>
      <c r="EO389" s="10"/>
      <c r="EP389" s="10"/>
      <c r="EQ389" s="10"/>
      <c r="ER389" s="10"/>
      <c r="ES389" s="10"/>
      <c r="ET389" s="10"/>
      <c r="EU389" s="10"/>
    </row>
    <row r="390" spans="2:151" x14ac:dyDescent="0.4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  <c r="EQ390" s="8"/>
      <c r="ER390" s="8"/>
      <c r="ES390" s="8"/>
      <c r="ET390" s="8"/>
      <c r="EU390" s="8"/>
    </row>
    <row r="391" spans="2:151" x14ac:dyDescent="0.4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  <c r="EQ391" s="8"/>
      <c r="ER391" s="8"/>
      <c r="ES391" s="8"/>
      <c r="ET391" s="8"/>
      <c r="EU391" s="8"/>
    </row>
    <row r="392" spans="2:151" x14ac:dyDescent="0.4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  <c r="EQ392" s="8"/>
      <c r="ER392" s="8"/>
      <c r="ES392" s="8"/>
      <c r="ET392" s="8"/>
      <c r="EU392" s="8"/>
    </row>
    <row r="393" spans="2:151" x14ac:dyDescent="0.4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  <c r="EQ393" s="8"/>
      <c r="ER393" s="8"/>
      <c r="ES393" s="8"/>
      <c r="ET393" s="8"/>
      <c r="EU393" s="8"/>
    </row>
    <row r="394" spans="2:151" x14ac:dyDescent="0.4"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  <c r="BL394" s="10"/>
      <c r="BM394" s="10"/>
      <c r="BN394" s="10"/>
      <c r="BO394" s="10"/>
      <c r="BP394" s="10"/>
      <c r="BQ394" s="10"/>
      <c r="BR394" s="10"/>
      <c r="BS394" s="10"/>
      <c r="BT394" s="10"/>
      <c r="BU394" s="10"/>
      <c r="BV394" s="10"/>
      <c r="BW394" s="10"/>
      <c r="BX394" s="10"/>
      <c r="BY394" s="10"/>
      <c r="BZ394" s="10"/>
      <c r="CA394" s="10"/>
      <c r="CB394" s="10"/>
      <c r="CC394" s="10"/>
      <c r="CD394" s="10"/>
      <c r="CE394" s="10"/>
      <c r="CF394" s="10"/>
      <c r="CG394" s="10"/>
      <c r="CH394" s="10"/>
      <c r="CI394" s="10"/>
      <c r="CJ394" s="10"/>
      <c r="CK394" s="10"/>
      <c r="CL394" s="10"/>
      <c r="CM394" s="10"/>
      <c r="CN394" s="10"/>
      <c r="CO394" s="10"/>
      <c r="CP394" s="10"/>
      <c r="CQ394" s="10"/>
      <c r="CR394" s="10"/>
      <c r="CS394" s="10"/>
      <c r="CT394" s="10"/>
      <c r="CU394" s="10"/>
      <c r="CV394" s="10"/>
      <c r="CW394" s="10"/>
      <c r="CX394" s="10"/>
      <c r="CY394" s="10"/>
      <c r="CZ394" s="10"/>
      <c r="DA394" s="10"/>
      <c r="DB394" s="10"/>
      <c r="DC394" s="10"/>
      <c r="DD394" s="10"/>
      <c r="DE394" s="10"/>
      <c r="DF394" s="10"/>
      <c r="DG394" s="10"/>
      <c r="DH394" s="10"/>
      <c r="DI394" s="10"/>
      <c r="DJ394" s="10"/>
      <c r="DK394" s="10"/>
      <c r="DL394" s="10"/>
      <c r="DM394" s="10"/>
      <c r="DN394" s="10"/>
      <c r="DO394" s="10"/>
      <c r="DP394" s="10"/>
      <c r="DQ394" s="10"/>
      <c r="DR394" s="10"/>
      <c r="DS394" s="10"/>
      <c r="DT394" s="10"/>
      <c r="DU394" s="10"/>
      <c r="DV394" s="10"/>
      <c r="DW394" s="10"/>
      <c r="DX394" s="10"/>
      <c r="DY394" s="10"/>
      <c r="DZ394" s="10"/>
      <c r="EA394" s="10"/>
      <c r="EB394" s="10"/>
      <c r="EC394" s="10"/>
      <c r="ED394" s="10"/>
      <c r="EE394" s="10"/>
      <c r="EF394" s="10"/>
      <c r="EG394" s="10"/>
      <c r="EH394" s="10"/>
      <c r="EI394" s="10"/>
      <c r="EJ394" s="10"/>
      <c r="EK394" s="10"/>
      <c r="EL394" s="10"/>
      <c r="EM394" s="10"/>
      <c r="EN394" s="10"/>
      <c r="EO394" s="10"/>
      <c r="EP394" s="10"/>
      <c r="EQ394" s="10"/>
      <c r="ER394" s="10"/>
      <c r="ES394" s="10"/>
      <c r="ET394" s="10"/>
      <c r="EU394" s="10"/>
    </row>
    <row r="395" spans="2:151" x14ac:dyDescent="0.4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  <c r="EQ395" s="8"/>
      <c r="ER395" s="8"/>
      <c r="ES395" s="8"/>
      <c r="ET395" s="8"/>
      <c r="EU395" s="8"/>
    </row>
    <row r="396" spans="2:151" x14ac:dyDescent="0.4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  <c r="EQ396" s="8"/>
      <c r="ER396" s="8"/>
      <c r="ES396" s="8"/>
      <c r="ET396" s="8"/>
      <c r="EU396" s="8"/>
    </row>
    <row r="397" spans="2:151" x14ac:dyDescent="0.4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  <c r="EQ397" s="8"/>
      <c r="ER397" s="8"/>
      <c r="ES397" s="8"/>
      <c r="ET397" s="8"/>
      <c r="EU397" s="8"/>
    </row>
    <row r="398" spans="2:151" x14ac:dyDescent="0.4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  <c r="EQ398" s="8"/>
      <c r="ER398" s="8"/>
      <c r="ES398" s="8"/>
      <c r="ET398" s="8"/>
      <c r="EU398" s="8"/>
    </row>
    <row r="399" spans="2:151" x14ac:dyDescent="0.4"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  <c r="BA399" s="10"/>
      <c r="BB399" s="10"/>
      <c r="BC399" s="10"/>
      <c r="BD399" s="10"/>
      <c r="BE399" s="10"/>
      <c r="BF399" s="10"/>
      <c r="BG399" s="10"/>
      <c r="BH399" s="10"/>
      <c r="BI399" s="10"/>
      <c r="BJ399" s="10"/>
      <c r="BK399" s="10"/>
      <c r="BL399" s="10"/>
      <c r="BM399" s="10"/>
      <c r="BN399" s="10"/>
      <c r="BO399" s="10"/>
      <c r="BP399" s="10"/>
      <c r="BQ399" s="10"/>
      <c r="BR399" s="10"/>
      <c r="BS399" s="10"/>
      <c r="BT399" s="10"/>
      <c r="BU399" s="10"/>
      <c r="BV399" s="10"/>
      <c r="BW399" s="10"/>
      <c r="BX399" s="10"/>
      <c r="BY399" s="10"/>
      <c r="BZ399" s="10"/>
      <c r="CA399" s="10"/>
      <c r="CB399" s="10"/>
      <c r="CC399" s="10"/>
      <c r="CD399" s="10"/>
      <c r="CE399" s="10"/>
      <c r="CF399" s="10"/>
      <c r="CG399" s="10"/>
      <c r="CH399" s="10"/>
      <c r="CI399" s="10"/>
      <c r="CJ399" s="10"/>
      <c r="CK399" s="10"/>
      <c r="CL399" s="10"/>
      <c r="CM399" s="10"/>
      <c r="CN399" s="10"/>
      <c r="CO399" s="10"/>
      <c r="CP399" s="10"/>
      <c r="CQ399" s="10"/>
      <c r="CR399" s="10"/>
      <c r="CS399" s="10"/>
      <c r="CT399" s="10"/>
      <c r="CU399" s="10"/>
      <c r="CV399" s="10"/>
      <c r="CW399" s="10"/>
      <c r="CX399" s="10"/>
      <c r="CY399" s="10"/>
      <c r="CZ399" s="10"/>
      <c r="DA399" s="10"/>
      <c r="DB399" s="10"/>
      <c r="DC399" s="10"/>
      <c r="DD399" s="10"/>
      <c r="DE399" s="10"/>
      <c r="DF399" s="10"/>
      <c r="DG399" s="10"/>
      <c r="DH399" s="10"/>
      <c r="DI399" s="10"/>
      <c r="DJ399" s="10"/>
      <c r="DK399" s="10"/>
      <c r="DL399" s="10"/>
      <c r="DM399" s="10"/>
      <c r="DN399" s="10"/>
      <c r="DO399" s="10"/>
      <c r="DP399" s="10"/>
      <c r="DQ399" s="10"/>
      <c r="DR399" s="10"/>
      <c r="DS399" s="10"/>
      <c r="DT399" s="10"/>
      <c r="DU399" s="10"/>
      <c r="DV399" s="10"/>
      <c r="DW399" s="10"/>
      <c r="DX399" s="10"/>
      <c r="DY399" s="10"/>
      <c r="DZ399" s="10"/>
      <c r="EA399" s="10"/>
      <c r="EB399" s="10"/>
      <c r="EC399" s="10"/>
      <c r="ED399" s="10"/>
      <c r="EE399" s="10"/>
      <c r="EF399" s="10"/>
      <c r="EG399" s="10"/>
      <c r="EH399" s="10"/>
      <c r="EI399" s="10"/>
      <c r="EJ399" s="10"/>
      <c r="EK399" s="10"/>
      <c r="EL399" s="10"/>
      <c r="EM399" s="10"/>
      <c r="EN399" s="10"/>
      <c r="EO399" s="10"/>
      <c r="EP399" s="10"/>
      <c r="EQ399" s="10"/>
      <c r="ER399" s="10"/>
      <c r="ES399" s="10"/>
      <c r="ET399" s="10"/>
      <c r="EU399" s="10"/>
    </row>
    <row r="400" spans="2:151" x14ac:dyDescent="0.4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  <c r="EN400" s="8"/>
      <c r="EO400" s="8"/>
      <c r="EP400" s="8"/>
      <c r="EQ400" s="8"/>
      <c r="ER400" s="8"/>
      <c r="ES400" s="8"/>
      <c r="ET400" s="8"/>
      <c r="EU400" s="8"/>
    </row>
    <row r="401" spans="2:151" x14ac:dyDescent="0.4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  <c r="EN401" s="8"/>
      <c r="EO401" s="8"/>
      <c r="EP401" s="8"/>
      <c r="EQ401" s="8"/>
      <c r="ER401" s="8"/>
      <c r="ES401" s="8"/>
      <c r="ET401" s="8"/>
      <c r="EU401" s="8"/>
    </row>
    <row r="402" spans="2:151" x14ac:dyDescent="0.4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  <c r="EN402" s="8"/>
      <c r="EO402" s="8"/>
      <c r="EP402" s="8"/>
      <c r="EQ402" s="8"/>
      <c r="ER402" s="8"/>
      <c r="ES402" s="8"/>
      <c r="ET402" s="8"/>
      <c r="EU402" s="8"/>
    </row>
    <row r="403" spans="2:151" x14ac:dyDescent="0.4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/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  <c r="EN403" s="8"/>
      <c r="EO403" s="8"/>
      <c r="EP403" s="8"/>
      <c r="EQ403" s="8"/>
      <c r="ER403" s="8"/>
      <c r="ES403" s="8"/>
      <c r="ET403" s="8"/>
      <c r="EU403" s="8"/>
    </row>
    <row r="404" spans="2:151" x14ac:dyDescent="0.4"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  <c r="BA404" s="10"/>
      <c r="BB404" s="10"/>
      <c r="BC404" s="10"/>
      <c r="BD404" s="10"/>
      <c r="BE404" s="10"/>
      <c r="BF404" s="10"/>
      <c r="BG404" s="10"/>
      <c r="BH404" s="10"/>
      <c r="BI404" s="10"/>
      <c r="BJ404" s="10"/>
      <c r="BK404" s="10"/>
      <c r="BL404" s="10"/>
      <c r="BM404" s="10"/>
      <c r="BN404" s="10"/>
      <c r="BO404" s="10"/>
      <c r="BP404" s="10"/>
      <c r="BQ404" s="10"/>
      <c r="BR404" s="10"/>
      <c r="BS404" s="10"/>
      <c r="BT404" s="10"/>
      <c r="BU404" s="10"/>
      <c r="BV404" s="10"/>
      <c r="BW404" s="10"/>
      <c r="BX404" s="10"/>
      <c r="BY404" s="10"/>
      <c r="BZ404" s="10"/>
      <c r="CA404" s="10"/>
      <c r="CB404" s="10"/>
      <c r="CC404" s="10"/>
      <c r="CD404" s="10"/>
      <c r="CE404" s="10"/>
      <c r="CF404" s="10"/>
      <c r="CG404" s="10"/>
      <c r="CH404" s="10"/>
      <c r="CI404" s="10"/>
      <c r="CJ404" s="10"/>
      <c r="CK404" s="10"/>
      <c r="CL404" s="10"/>
      <c r="CM404" s="10"/>
      <c r="CN404" s="10"/>
      <c r="CO404" s="10"/>
      <c r="CP404" s="10"/>
      <c r="CQ404" s="10"/>
      <c r="CR404" s="10"/>
      <c r="CS404" s="10"/>
      <c r="CT404" s="10"/>
      <c r="CU404" s="10"/>
      <c r="CV404" s="10"/>
      <c r="CW404" s="10"/>
      <c r="CX404" s="10"/>
      <c r="CY404" s="10"/>
      <c r="CZ404" s="10"/>
      <c r="DA404" s="10"/>
      <c r="DB404" s="10"/>
      <c r="DC404" s="10"/>
      <c r="DD404" s="10"/>
      <c r="DE404" s="10"/>
      <c r="DF404" s="10"/>
      <c r="DG404" s="10"/>
      <c r="DH404" s="10"/>
      <c r="DI404" s="10"/>
      <c r="DJ404" s="10"/>
      <c r="DK404" s="10"/>
      <c r="DL404" s="10"/>
      <c r="DM404" s="10"/>
      <c r="DN404" s="10"/>
      <c r="DO404" s="10"/>
      <c r="DP404" s="10"/>
      <c r="DQ404" s="10"/>
      <c r="DR404" s="10"/>
      <c r="DS404" s="10"/>
      <c r="DT404" s="10"/>
      <c r="DU404" s="10"/>
      <c r="DV404" s="10"/>
      <c r="DW404" s="10"/>
      <c r="DX404" s="10"/>
      <c r="DY404" s="10"/>
      <c r="DZ404" s="10"/>
      <c r="EA404" s="10"/>
      <c r="EB404" s="10"/>
      <c r="EC404" s="10"/>
      <c r="ED404" s="10"/>
      <c r="EE404" s="10"/>
      <c r="EF404" s="10"/>
      <c r="EG404" s="10"/>
      <c r="EH404" s="10"/>
      <c r="EI404" s="10"/>
      <c r="EJ404" s="10"/>
      <c r="EK404" s="10"/>
      <c r="EL404" s="10"/>
      <c r="EM404" s="10"/>
      <c r="EN404" s="10"/>
      <c r="EO404" s="10"/>
      <c r="EP404" s="10"/>
      <c r="EQ404" s="10"/>
      <c r="ER404" s="10"/>
      <c r="ES404" s="10"/>
      <c r="ET404" s="10"/>
      <c r="EU404" s="10"/>
    </row>
    <row r="405" spans="2:151" x14ac:dyDescent="0.4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/>
      <c r="EL405" s="8"/>
      <c r="EM405" s="8"/>
      <c r="EN405" s="8"/>
      <c r="EO405" s="8"/>
      <c r="EP405" s="8"/>
      <c r="EQ405" s="8"/>
      <c r="ER405" s="8"/>
      <c r="ES405" s="8"/>
      <c r="ET405" s="8"/>
      <c r="EU405" s="8"/>
    </row>
    <row r="406" spans="2:151" x14ac:dyDescent="0.4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  <c r="EN406" s="8"/>
      <c r="EO406" s="8"/>
      <c r="EP406" s="8"/>
      <c r="EQ406" s="8"/>
      <c r="ER406" s="8"/>
      <c r="ES406" s="8"/>
      <c r="ET406" s="8"/>
      <c r="EU406" s="8"/>
    </row>
    <row r="407" spans="2:151" x14ac:dyDescent="0.4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/>
      <c r="EK407" s="8"/>
      <c r="EL407" s="8"/>
      <c r="EM407" s="8"/>
      <c r="EN407" s="8"/>
      <c r="EO407" s="8"/>
      <c r="EP407" s="8"/>
      <c r="EQ407" s="8"/>
      <c r="ER407" s="8"/>
      <c r="ES407" s="8"/>
      <c r="ET407" s="8"/>
      <c r="EU407" s="8"/>
    </row>
    <row r="408" spans="2:151" x14ac:dyDescent="0.4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/>
      <c r="EK408" s="8"/>
      <c r="EL408" s="8"/>
      <c r="EM408" s="8"/>
      <c r="EN408" s="8"/>
      <c r="EO408" s="8"/>
      <c r="EP408" s="8"/>
      <c r="EQ408" s="8"/>
      <c r="ER408" s="8"/>
      <c r="ES408" s="8"/>
      <c r="ET408" s="8"/>
      <c r="EU408" s="8"/>
    </row>
    <row r="409" spans="2:151" x14ac:dyDescent="0.4"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  <c r="BA409" s="10"/>
      <c r="BB409" s="10"/>
      <c r="BC409" s="10"/>
      <c r="BD409" s="10"/>
      <c r="BE409" s="10"/>
      <c r="BF409" s="10"/>
      <c r="BG409" s="10"/>
      <c r="BH409" s="10"/>
      <c r="BI409" s="10"/>
      <c r="BJ409" s="10"/>
      <c r="BK409" s="10"/>
      <c r="BL409" s="10"/>
      <c r="BM409" s="10"/>
      <c r="BN409" s="10"/>
      <c r="BO409" s="10"/>
      <c r="BP409" s="10"/>
      <c r="BQ409" s="10"/>
      <c r="BR409" s="10"/>
      <c r="BS409" s="10"/>
      <c r="BT409" s="10"/>
      <c r="BU409" s="10"/>
      <c r="BV409" s="10"/>
      <c r="BW409" s="10"/>
      <c r="BX409" s="10"/>
      <c r="BY409" s="10"/>
      <c r="BZ409" s="10"/>
      <c r="CA409" s="10"/>
      <c r="CB409" s="10"/>
      <c r="CC409" s="10"/>
      <c r="CD409" s="10"/>
      <c r="CE409" s="10"/>
      <c r="CF409" s="10"/>
      <c r="CG409" s="10"/>
      <c r="CH409" s="10"/>
      <c r="CI409" s="10"/>
      <c r="CJ409" s="10"/>
      <c r="CK409" s="10"/>
      <c r="CL409" s="10"/>
      <c r="CM409" s="10"/>
      <c r="CN409" s="10"/>
      <c r="CO409" s="10"/>
      <c r="CP409" s="10"/>
      <c r="CQ409" s="10"/>
      <c r="CR409" s="10"/>
      <c r="CS409" s="10"/>
      <c r="CT409" s="10"/>
      <c r="CU409" s="10"/>
      <c r="CV409" s="10"/>
      <c r="CW409" s="10"/>
      <c r="CX409" s="10"/>
      <c r="CY409" s="10"/>
      <c r="CZ409" s="10"/>
      <c r="DA409" s="10"/>
      <c r="DB409" s="10"/>
      <c r="DC409" s="10"/>
      <c r="DD409" s="10"/>
      <c r="DE409" s="10"/>
      <c r="DF409" s="10"/>
      <c r="DG409" s="10"/>
      <c r="DH409" s="10"/>
      <c r="DI409" s="10"/>
      <c r="DJ409" s="10"/>
      <c r="DK409" s="10"/>
      <c r="DL409" s="10"/>
      <c r="DM409" s="10"/>
      <c r="DN409" s="10"/>
      <c r="DO409" s="10"/>
      <c r="DP409" s="10"/>
      <c r="DQ409" s="10"/>
      <c r="DR409" s="10"/>
      <c r="DS409" s="10"/>
      <c r="DT409" s="10"/>
      <c r="DU409" s="10"/>
      <c r="DV409" s="10"/>
      <c r="DW409" s="10"/>
      <c r="DX409" s="10"/>
      <c r="DY409" s="10"/>
      <c r="DZ409" s="10"/>
      <c r="EA409" s="10"/>
      <c r="EB409" s="10"/>
      <c r="EC409" s="10"/>
      <c r="ED409" s="10"/>
      <c r="EE409" s="10"/>
      <c r="EF409" s="10"/>
      <c r="EG409" s="10"/>
      <c r="EH409" s="10"/>
      <c r="EI409" s="10"/>
      <c r="EJ409" s="10"/>
      <c r="EK409" s="10"/>
      <c r="EL409" s="10"/>
      <c r="EM409" s="10"/>
      <c r="EN409" s="10"/>
      <c r="EO409" s="10"/>
      <c r="EP409" s="10"/>
      <c r="EQ409" s="10"/>
      <c r="ER409" s="10"/>
      <c r="ES409" s="10"/>
      <c r="ET409" s="10"/>
      <c r="EU409" s="10"/>
    </row>
    <row r="410" spans="2:151" x14ac:dyDescent="0.4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/>
      <c r="EE410" s="8"/>
      <c r="EF410" s="8"/>
      <c r="EG410" s="8"/>
      <c r="EH410" s="8"/>
      <c r="EI410" s="8"/>
      <c r="EJ410" s="8"/>
      <c r="EK410" s="8"/>
      <c r="EL410" s="8"/>
      <c r="EM410" s="8"/>
      <c r="EN410" s="8"/>
      <c r="EO410" s="8"/>
      <c r="EP410" s="8"/>
      <c r="EQ410" s="8"/>
      <c r="ER410" s="8"/>
      <c r="ES410" s="8"/>
      <c r="ET410" s="8"/>
      <c r="EU410" s="8"/>
    </row>
    <row r="411" spans="2:151" x14ac:dyDescent="0.4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/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  <c r="EN411" s="8"/>
      <c r="EO411" s="8"/>
      <c r="EP411" s="8"/>
      <c r="EQ411" s="8"/>
      <c r="ER411" s="8"/>
      <c r="ES411" s="8"/>
      <c r="ET411" s="8"/>
      <c r="EU411" s="8"/>
    </row>
    <row r="412" spans="2:151" x14ac:dyDescent="0.4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/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  <c r="EN412" s="8"/>
      <c r="EO412" s="8"/>
      <c r="EP412" s="8"/>
      <c r="EQ412" s="8"/>
      <c r="ER412" s="8"/>
      <c r="ES412" s="8"/>
      <c r="ET412" s="8"/>
      <c r="EU412" s="8"/>
    </row>
    <row r="413" spans="2:151" x14ac:dyDescent="0.4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/>
      <c r="EL413" s="8"/>
      <c r="EM413" s="8"/>
      <c r="EN413" s="8"/>
      <c r="EO413" s="8"/>
      <c r="EP413" s="8"/>
      <c r="EQ413" s="8"/>
      <c r="ER413" s="8"/>
      <c r="ES413" s="8"/>
      <c r="ET413" s="8"/>
      <c r="EU413" s="8"/>
    </row>
    <row r="414" spans="2:151" x14ac:dyDescent="0.4"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  <c r="BA414" s="10"/>
      <c r="BB414" s="10"/>
      <c r="BC414" s="10"/>
      <c r="BD414" s="10"/>
      <c r="BE414" s="10"/>
      <c r="BF414" s="10"/>
      <c r="BG414" s="10"/>
      <c r="BH414" s="10"/>
      <c r="BI414" s="10"/>
      <c r="BJ414" s="10"/>
      <c r="BK414" s="10"/>
      <c r="BL414" s="10"/>
      <c r="BM414" s="10"/>
      <c r="BN414" s="10"/>
      <c r="BO414" s="10"/>
      <c r="BP414" s="10"/>
      <c r="BQ414" s="10"/>
      <c r="BR414" s="10"/>
      <c r="BS414" s="10"/>
      <c r="BT414" s="10"/>
      <c r="BU414" s="10"/>
      <c r="BV414" s="10"/>
      <c r="BW414" s="10"/>
      <c r="BX414" s="10"/>
      <c r="BY414" s="10"/>
      <c r="BZ414" s="10"/>
      <c r="CA414" s="10"/>
      <c r="CB414" s="10"/>
      <c r="CC414" s="10"/>
      <c r="CD414" s="10"/>
      <c r="CE414" s="10"/>
      <c r="CF414" s="10"/>
      <c r="CG414" s="10"/>
      <c r="CH414" s="10"/>
      <c r="CI414" s="10"/>
      <c r="CJ414" s="10"/>
      <c r="CK414" s="10"/>
      <c r="CL414" s="10"/>
      <c r="CM414" s="10"/>
      <c r="CN414" s="10"/>
      <c r="CO414" s="10"/>
      <c r="CP414" s="10"/>
      <c r="CQ414" s="10"/>
      <c r="CR414" s="10"/>
      <c r="CS414" s="10"/>
      <c r="CT414" s="10"/>
      <c r="CU414" s="10"/>
      <c r="CV414" s="10"/>
      <c r="CW414" s="10"/>
      <c r="CX414" s="10"/>
      <c r="CY414" s="10"/>
      <c r="CZ414" s="10"/>
      <c r="DA414" s="10"/>
      <c r="DB414" s="10"/>
      <c r="DC414" s="10"/>
      <c r="DD414" s="10"/>
      <c r="DE414" s="10"/>
      <c r="DF414" s="10"/>
      <c r="DG414" s="10"/>
      <c r="DH414" s="10"/>
      <c r="DI414" s="10"/>
      <c r="DJ414" s="10"/>
      <c r="DK414" s="10"/>
      <c r="DL414" s="10"/>
      <c r="DM414" s="10"/>
      <c r="DN414" s="10"/>
      <c r="DO414" s="10"/>
      <c r="DP414" s="10"/>
      <c r="DQ414" s="10"/>
      <c r="DR414" s="10"/>
      <c r="DS414" s="10"/>
      <c r="DT414" s="10"/>
      <c r="DU414" s="10"/>
      <c r="DV414" s="10"/>
      <c r="DW414" s="10"/>
      <c r="DX414" s="10"/>
      <c r="DY414" s="10"/>
      <c r="DZ414" s="10"/>
      <c r="EA414" s="10"/>
      <c r="EB414" s="10"/>
      <c r="EC414" s="10"/>
      <c r="ED414" s="10"/>
      <c r="EE414" s="10"/>
      <c r="EF414" s="10"/>
      <c r="EG414" s="10"/>
      <c r="EH414" s="10"/>
      <c r="EI414" s="10"/>
      <c r="EJ414" s="10"/>
      <c r="EK414" s="10"/>
      <c r="EL414" s="10"/>
      <c r="EM414" s="10"/>
      <c r="EN414" s="10"/>
      <c r="EO414" s="10"/>
      <c r="EP414" s="10"/>
      <c r="EQ414" s="10"/>
      <c r="ER414" s="10"/>
      <c r="ES414" s="10"/>
      <c r="ET414" s="10"/>
      <c r="EU414" s="10"/>
    </row>
    <row r="415" spans="2:151" x14ac:dyDescent="0.4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  <c r="EN415" s="8"/>
      <c r="EO415" s="8"/>
      <c r="EP415" s="8"/>
      <c r="EQ415" s="8"/>
      <c r="ER415" s="8"/>
      <c r="ES415" s="8"/>
      <c r="ET415" s="8"/>
      <c r="EU415" s="8"/>
    </row>
    <row r="416" spans="2:151" x14ac:dyDescent="0.4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/>
      <c r="DZ416" s="8"/>
      <c r="EA416" s="8"/>
      <c r="EB416" s="8"/>
      <c r="EC416" s="8"/>
      <c r="ED416" s="8"/>
      <c r="EE416" s="8"/>
      <c r="EF416" s="8"/>
      <c r="EG416" s="8"/>
      <c r="EH416" s="8"/>
      <c r="EI416" s="8"/>
      <c r="EJ416" s="8"/>
      <c r="EK416" s="8"/>
      <c r="EL416" s="8"/>
      <c r="EM416" s="8"/>
      <c r="EN416" s="8"/>
      <c r="EO416" s="8"/>
      <c r="EP416" s="8"/>
      <c r="EQ416" s="8"/>
      <c r="ER416" s="8"/>
      <c r="ES416" s="8"/>
      <c r="ET416" s="8"/>
      <c r="EU416" s="8"/>
    </row>
    <row r="417" spans="2:151" x14ac:dyDescent="0.4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/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  <c r="EN417" s="8"/>
      <c r="EO417" s="8"/>
      <c r="EP417" s="8"/>
      <c r="EQ417" s="8"/>
      <c r="ER417" s="8"/>
      <c r="ES417" s="8"/>
      <c r="ET417" s="8"/>
      <c r="EU417" s="8"/>
    </row>
    <row r="418" spans="2:151" x14ac:dyDescent="0.4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/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  <c r="EN418" s="8"/>
      <c r="EO418" s="8"/>
      <c r="EP418" s="8"/>
      <c r="EQ418" s="8"/>
      <c r="ER418" s="8"/>
      <c r="ES418" s="8"/>
      <c r="ET418" s="8"/>
      <c r="EU418" s="8"/>
    </row>
    <row r="419" spans="2:151" x14ac:dyDescent="0.4"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  <c r="BA419" s="10"/>
      <c r="BB419" s="10"/>
      <c r="BC419" s="10"/>
      <c r="BD419" s="10"/>
      <c r="BE419" s="10"/>
      <c r="BF419" s="10"/>
      <c r="BG419" s="10"/>
      <c r="BH419" s="10"/>
      <c r="BI419" s="10"/>
      <c r="BJ419" s="10"/>
      <c r="BK419" s="10"/>
      <c r="BL419" s="10"/>
      <c r="BM419" s="10"/>
      <c r="BN419" s="10"/>
      <c r="BO419" s="10"/>
      <c r="BP419" s="10"/>
      <c r="BQ419" s="10"/>
      <c r="BR419" s="10"/>
      <c r="BS419" s="10"/>
      <c r="BT419" s="10"/>
      <c r="BU419" s="10"/>
      <c r="BV419" s="10"/>
      <c r="BW419" s="10"/>
      <c r="BX419" s="10"/>
      <c r="BY419" s="10"/>
      <c r="BZ419" s="10"/>
      <c r="CA419" s="10"/>
      <c r="CB419" s="10"/>
      <c r="CC419" s="10"/>
      <c r="CD419" s="10"/>
      <c r="CE419" s="10"/>
      <c r="CF419" s="10"/>
      <c r="CG419" s="10"/>
      <c r="CH419" s="10"/>
      <c r="CI419" s="10"/>
      <c r="CJ419" s="10"/>
      <c r="CK419" s="10"/>
      <c r="CL419" s="10"/>
      <c r="CM419" s="10"/>
      <c r="CN419" s="10"/>
      <c r="CO419" s="10"/>
      <c r="CP419" s="10"/>
      <c r="CQ419" s="10"/>
      <c r="CR419" s="10"/>
      <c r="CS419" s="10"/>
      <c r="CT419" s="10"/>
      <c r="CU419" s="10"/>
      <c r="CV419" s="10"/>
      <c r="CW419" s="10"/>
      <c r="CX419" s="10"/>
      <c r="CY419" s="10"/>
      <c r="CZ419" s="10"/>
      <c r="DA419" s="10"/>
      <c r="DB419" s="10"/>
      <c r="DC419" s="10"/>
      <c r="DD419" s="10"/>
      <c r="DE419" s="10"/>
      <c r="DF419" s="10"/>
      <c r="DG419" s="10"/>
      <c r="DH419" s="10"/>
      <c r="DI419" s="10"/>
      <c r="DJ419" s="10"/>
      <c r="DK419" s="10"/>
      <c r="DL419" s="10"/>
      <c r="DM419" s="10"/>
      <c r="DN419" s="10"/>
      <c r="DO419" s="10"/>
      <c r="DP419" s="10"/>
      <c r="DQ419" s="10"/>
      <c r="DR419" s="10"/>
      <c r="DS419" s="10"/>
      <c r="DT419" s="10"/>
      <c r="DU419" s="10"/>
      <c r="DV419" s="10"/>
      <c r="DW419" s="10"/>
      <c r="DX419" s="10"/>
      <c r="DY419" s="10"/>
      <c r="DZ419" s="10"/>
      <c r="EA419" s="10"/>
      <c r="EB419" s="10"/>
      <c r="EC419" s="10"/>
      <c r="ED419" s="10"/>
      <c r="EE419" s="10"/>
      <c r="EF419" s="10"/>
      <c r="EG419" s="10"/>
      <c r="EH419" s="10"/>
      <c r="EI419" s="10"/>
      <c r="EJ419" s="10"/>
      <c r="EK419" s="10"/>
      <c r="EL419" s="10"/>
      <c r="EM419" s="10"/>
      <c r="EN419" s="10"/>
      <c r="EO419" s="10"/>
      <c r="EP419" s="10"/>
      <c r="EQ419" s="10"/>
      <c r="ER419" s="10"/>
      <c r="ES419" s="10"/>
      <c r="ET419" s="10"/>
      <c r="EU419" s="10"/>
    </row>
    <row r="420" spans="2:151" x14ac:dyDescent="0.4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/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  <c r="EN420" s="8"/>
      <c r="EO420" s="8"/>
      <c r="EP420" s="8"/>
      <c r="EQ420" s="8"/>
      <c r="ER420" s="8"/>
      <c r="ES420" s="8"/>
      <c r="ET420" s="8"/>
      <c r="EU420" s="8"/>
    </row>
    <row r="421" spans="2:151" x14ac:dyDescent="0.4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/>
      <c r="EL421" s="8"/>
      <c r="EM421" s="8"/>
      <c r="EN421" s="8"/>
      <c r="EO421" s="8"/>
      <c r="EP421" s="8"/>
      <c r="EQ421" s="8"/>
      <c r="ER421" s="8"/>
      <c r="ES421" s="8"/>
      <c r="ET421" s="8"/>
      <c r="EU421" s="8"/>
    </row>
    <row r="422" spans="2:151" x14ac:dyDescent="0.4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  <c r="EN422" s="8"/>
      <c r="EO422" s="8"/>
      <c r="EP422" s="8"/>
      <c r="EQ422" s="8"/>
      <c r="ER422" s="8"/>
      <c r="ES422" s="8"/>
      <c r="ET422" s="8"/>
      <c r="EU422" s="8"/>
    </row>
    <row r="423" spans="2:151" x14ac:dyDescent="0.4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  <c r="EN423" s="8"/>
      <c r="EO423" s="8"/>
      <c r="EP423" s="8"/>
      <c r="EQ423" s="8"/>
      <c r="ER423" s="8"/>
      <c r="ES423" s="8"/>
      <c r="ET423" s="8"/>
      <c r="EU423" s="8"/>
    </row>
    <row r="424" spans="2:151" x14ac:dyDescent="0.4"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  <c r="BA424" s="10"/>
      <c r="BB424" s="10"/>
      <c r="BC424" s="10"/>
      <c r="BD424" s="10"/>
      <c r="BE424" s="10"/>
      <c r="BF424" s="10"/>
      <c r="BG424" s="10"/>
      <c r="BH424" s="10"/>
      <c r="BI424" s="10"/>
      <c r="BJ424" s="10"/>
      <c r="BK424" s="10"/>
      <c r="BL424" s="10"/>
      <c r="BM424" s="10"/>
      <c r="BN424" s="10"/>
      <c r="BO424" s="10"/>
      <c r="BP424" s="10"/>
      <c r="BQ424" s="10"/>
      <c r="BR424" s="10"/>
      <c r="BS424" s="10"/>
      <c r="BT424" s="10"/>
      <c r="BU424" s="10"/>
      <c r="BV424" s="10"/>
      <c r="BW424" s="10"/>
      <c r="BX424" s="10"/>
      <c r="BY424" s="10"/>
      <c r="BZ424" s="10"/>
      <c r="CA424" s="10"/>
      <c r="CB424" s="10"/>
      <c r="CC424" s="10"/>
      <c r="CD424" s="10"/>
      <c r="CE424" s="10"/>
      <c r="CF424" s="10"/>
      <c r="CG424" s="10"/>
      <c r="CH424" s="10"/>
      <c r="CI424" s="10"/>
      <c r="CJ424" s="10"/>
      <c r="CK424" s="10"/>
      <c r="CL424" s="10"/>
      <c r="CM424" s="10"/>
      <c r="CN424" s="10"/>
      <c r="CO424" s="10"/>
      <c r="CP424" s="10"/>
      <c r="CQ424" s="10"/>
      <c r="CR424" s="10"/>
      <c r="CS424" s="10"/>
      <c r="CT424" s="10"/>
      <c r="CU424" s="10"/>
      <c r="CV424" s="10"/>
      <c r="CW424" s="10"/>
      <c r="CX424" s="10"/>
      <c r="CY424" s="10"/>
      <c r="CZ424" s="10"/>
      <c r="DA424" s="10"/>
      <c r="DB424" s="10"/>
      <c r="DC424" s="10"/>
      <c r="DD424" s="10"/>
      <c r="DE424" s="10"/>
      <c r="DF424" s="10"/>
      <c r="DG424" s="10"/>
      <c r="DH424" s="10"/>
      <c r="DI424" s="10"/>
      <c r="DJ424" s="10"/>
      <c r="DK424" s="10"/>
      <c r="DL424" s="10"/>
      <c r="DM424" s="10"/>
      <c r="DN424" s="10"/>
      <c r="DO424" s="10"/>
      <c r="DP424" s="10"/>
      <c r="DQ424" s="10"/>
      <c r="DR424" s="10"/>
      <c r="DS424" s="10"/>
      <c r="DT424" s="10"/>
      <c r="DU424" s="10"/>
      <c r="DV424" s="10"/>
      <c r="DW424" s="10"/>
      <c r="DX424" s="10"/>
      <c r="DY424" s="10"/>
      <c r="DZ424" s="10"/>
      <c r="EA424" s="10"/>
      <c r="EB424" s="10"/>
      <c r="EC424" s="10"/>
      <c r="ED424" s="10"/>
      <c r="EE424" s="10"/>
      <c r="EF424" s="10"/>
      <c r="EG424" s="10"/>
      <c r="EH424" s="10"/>
      <c r="EI424" s="10"/>
      <c r="EJ424" s="10"/>
      <c r="EK424" s="10"/>
      <c r="EL424" s="10"/>
      <c r="EM424" s="10"/>
      <c r="EN424" s="10"/>
      <c r="EO424" s="10"/>
      <c r="EP424" s="10"/>
      <c r="EQ424" s="10"/>
      <c r="ER424" s="10"/>
      <c r="ES424" s="10"/>
      <c r="ET424" s="10"/>
      <c r="EU424" s="10"/>
    </row>
    <row r="425" spans="2:151" x14ac:dyDescent="0.4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  <c r="EN425" s="8"/>
      <c r="EO425" s="8"/>
      <c r="EP425" s="8"/>
      <c r="EQ425" s="8"/>
      <c r="ER425" s="8"/>
      <c r="ES425" s="8"/>
      <c r="ET425" s="8"/>
      <c r="EU425" s="8"/>
    </row>
    <row r="426" spans="2:151" x14ac:dyDescent="0.4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  <c r="EN426" s="8"/>
      <c r="EO426" s="8"/>
      <c r="EP426" s="8"/>
      <c r="EQ426" s="8"/>
      <c r="ER426" s="8"/>
      <c r="ES426" s="8"/>
      <c r="ET426" s="8"/>
      <c r="EU426" s="8"/>
    </row>
    <row r="427" spans="2:151" x14ac:dyDescent="0.4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  <c r="EN427" s="8"/>
      <c r="EO427" s="8"/>
      <c r="EP427" s="8"/>
      <c r="EQ427" s="8"/>
      <c r="ER427" s="8"/>
      <c r="ES427" s="8"/>
      <c r="ET427" s="8"/>
      <c r="EU427" s="8"/>
    </row>
    <row r="428" spans="2:151" x14ac:dyDescent="0.4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  <c r="EN428" s="8"/>
      <c r="EO428" s="8"/>
      <c r="EP428" s="8"/>
      <c r="EQ428" s="8"/>
      <c r="ER428" s="8"/>
      <c r="ES428" s="8"/>
      <c r="ET428" s="8"/>
      <c r="EU428" s="8"/>
    </row>
    <row r="429" spans="2:151" x14ac:dyDescent="0.4"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  <c r="BA429" s="10"/>
      <c r="BB429" s="10"/>
      <c r="BC429" s="10"/>
      <c r="BD429" s="10"/>
      <c r="BE429" s="10"/>
      <c r="BF429" s="10"/>
      <c r="BG429" s="10"/>
      <c r="BH429" s="10"/>
      <c r="BI429" s="10"/>
      <c r="BJ429" s="10"/>
      <c r="BK429" s="10"/>
      <c r="BL429" s="10"/>
      <c r="BM429" s="10"/>
      <c r="BN429" s="10"/>
      <c r="BO429" s="10"/>
      <c r="BP429" s="10"/>
      <c r="BQ429" s="10"/>
      <c r="BR429" s="10"/>
      <c r="BS429" s="10"/>
      <c r="BT429" s="10"/>
      <c r="BU429" s="10"/>
      <c r="BV429" s="10"/>
      <c r="BW429" s="10"/>
      <c r="BX429" s="10"/>
      <c r="BY429" s="10"/>
      <c r="BZ429" s="10"/>
      <c r="CA429" s="10"/>
      <c r="CB429" s="10"/>
      <c r="CC429" s="10"/>
      <c r="CD429" s="10"/>
      <c r="CE429" s="10"/>
      <c r="CF429" s="10"/>
      <c r="CG429" s="10"/>
      <c r="CH429" s="10"/>
      <c r="CI429" s="10"/>
      <c r="CJ429" s="10"/>
      <c r="CK429" s="10"/>
      <c r="CL429" s="10"/>
      <c r="CM429" s="10"/>
      <c r="CN429" s="10"/>
      <c r="CO429" s="10"/>
      <c r="CP429" s="10"/>
      <c r="CQ429" s="10"/>
      <c r="CR429" s="10"/>
      <c r="CS429" s="10"/>
      <c r="CT429" s="10"/>
      <c r="CU429" s="10"/>
      <c r="CV429" s="10"/>
      <c r="CW429" s="10"/>
      <c r="CX429" s="10"/>
      <c r="CY429" s="10"/>
      <c r="CZ429" s="10"/>
      <c r="DA429" s="10"/>
      <c r="DB429" s="10"/>
      <c r="DC429" s="10"/>
      <c r="DD429" s="10"/>
      <c r="DE429" s="10"/>
      <c r="DF429" s="10"/>
      <c r="DG429" s="10"/>
      <c r="DH429" s="10"/>
      <c r="DI429" s="10"/>
      <c r="DJ429" s="10"/>
      <c r="DK429" s="10"/>
      <c r="DL429" s="10"/>
      <c r="DM429" s="10"/>
      <c r="DN429" s="10"/>
      <c r="DO429" s="10"/>
      <c r="DP429" s="10"/>
      <c r="DQ429" s="10"/>
      <c r="DR429" s="10"/>
      <c r="DS429" s="10"/>
      <c r="DT429" s="10"/>
      <c r="DU429" s="10"/>
      <c r="DV429" s="10"/>
      <c r="DW429" s="10"/>
      <c r="DX429" s="10"/>
      <c r="DY429" s="10"/>
      <c r="DZ429" s="10"/>
      <c r="EA429" s="10"/>
      <c r="EB429" s="10"/>
      <c r="EC429" s="10"/>
      <c r="ED429" s="10"/>
      <c r="EE429" s="10"/>
      <c r="EF429" s="10"/>
      <c r="EG429" s="10"/>
      <c r="EH429" s="10"/>
      <c r="EI429" s="10"/>
      <c r="EJ429" s="10"/>
      <c r="EK429" s="10"/>
      <c r="EL429" s="10"/>
      <c r="EM429" s="10"/>
      <c r="EN429" s="10"/>
      <c r="EO429" s="10"/>
      <c r="EP429" s="10"/>
      <c r="EQ429" s="10"/>
      <c r="ER429" s="10"/>
      <c r="ES429" s="10"/>
      <c r="ET429" s="10"/>
      <c r="EU429" s="10"/>
    </row>
    <row r="430" spans="2:151" x14ac:dyDescent="0.4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  <c r="EN430" s="8"/>
      <c r="EO430" s="8"/>
      <c r="EP430" s="8"/>
      <c r="EQ430" s="8"/>
      <c r="ER430" s="8"/>
      <c r="ES430" s="8"/>
      <c r="ET430" s="8"/>
      <c r="EU430" s="8"/>
    </row>
    <row r="431" spans="2:151" x14ac:dyDescent="0.4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  <c r="EN431" s="8"/>
      <c r="EO431" s="8"/>
      <c r="EP431" s="8"/>
      <c r="EQ431" s="8"/>
      <c r="ER431" s="8"/>
      <c r="ES431" s="8"/>
      <c r="ET431" s="8"/>
      <c r="EU431" s="8"/>
    </row>
    <row r="432" spans="2:151" x14ac:dyDescent="0.4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  <c r="EN432" s="8"/>
      <c r="EO432" s="8"/>
      <c r="EP432" s="8"/>
      <c r="EQ432" s="8"/>
      <c r="ER432" s="8"/>
      <c r="ES432" s="8"/>
      <c r="ET432" s="8"/>
      <c r="EU432" s="8"/>
    </row>
    <row r="433" spans="2:151" x14ac:dyDescent="0.4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/>
      <c r="EE433" s="8"/>
      <c r="EF433" s="8"/>
      <c r="EG433" s="8"/>
      <c r="EH433" s="8"/>
      <c r="EI433" s="8"/>
      <c r="EJ433" s="8"/>
      <c r="EK433" s="8"/>
      <c r="EL433" s="8"/>
      <c r="EM433" s="8"/>
      <c r="EN433" s="8"/>
      <c r="EO433" s="8"/>
      <c r="EP433" s="8"/>
      <c r="EQ433" s="8"/>
      <c r="ER433" s="8"/>
      <c r="ES433" s="8"/>
      <c r="ET433" s="8"/>
      <c r="EU433" s="8"/>
    </row>
    <row r="434" spans="2:151" x14ac:dyDescent="0.4"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  <c r="BA434" s="10"/>
      <c r="BB434" s="10"/>
      <c r="BC434" s="10"/>
      <c r="BD434" s="10"/>
      <c r="BE434" s="10"/>
      <c r="BF434" s="10"/>
      <c r="BG434" s="10"/>
      <c r="BH434" s="10"/>
      <c r="BI434" s="10"/>
      <c r="BJ434" s="10"/>
      <c r="BK434" s="10"/>
      <c r="BL434" s="10"/>
      <c r="BM434" s="10"/>
      <c r="BN434" s="10"/>
      <c r="BO434" s="10"/>
      <c r="BP434" s="10"/>
      <c r="BQ434" s="10"/>
      <c r="BR434" s="10"/>
      <c r="BS434" s="10"/>
      <c r="BT434" s="10"/>
      <c r="BU434" s="10"/>
      <c r="BV434" s="10"/>
      <c r="BW434" s="10"/>
      <c r="BX434" s="10"/>
      <c r="BY434" s="10"/>
      <c r="BZ434" s="10"/>
      <c r="CA434" s="10"/>
      <c r="CB434" s="10"/>
      <c r="CC434" s="10"/>
      <c r="CD434" s="10"/>
      <c r="CE434" s="10"/>
      <c r="CF434" s="10"/>
      <c r="CG434" s="10"/>
      <c r="CH434" s="10"/>
      <c r="CI434" s="10"/>
      <c r="CJ434" s="10"/>
      <c r="CK434" s="10"/>
      <c r="CL434" s="10"/>
      <c r="CM434" s="10"/>
      <c r="CN434" s="10"/>
      <c r="CO434" s="10"/>
      <c r="CP434" s="10"/>
      <c r="CQ434" s="10"/>
      <c r="CR434" s="10"/>
      <c r="CS434" s="10"/>
      <c r="CT434" s="10"/>
      <c r="CU434" s="10"/>
      <c r="CV434" s="10"/>
      <c r="CW434" s="10"/>
      <c r="CX434" s="10"/>
      <c r="CY434" s="10"/>
      <c r="CZ434" s="10"/>
      <c r="DA434" s="10"/>
      <c r="DB434" s="10"/>
      <c r="DC434" s="10"/>
      <c r="DD434" s="10"/>
      <c r="DE434" s="10"/>
      <c r="DF434" s="10"/>
      <c r="DG434" s="10"/>
      <c r="DH434" s="10"/>
      <c r="DI434" s="10"/>
      <c r="DJ434" s="10"/>
      <c r="DK434" s="10"/>
      <c r="DL434" s="10"/>
      <c r="DM434" s="10"/>
      <c r="DN434" s="10"/>
      <c r="DO434" s="10"/>
      <c r="DP434" s="10"/>
      <c r="DQ434" s="10"/>
      <c r="DR434" s="10"/>
      <c r="DS434" s="10"/>
      <c r="DT434" s="10"/>
      <c r="DU434" s="10"/>
      <c r="DV434" s="10"/>
      <c r="DW434" s="10"/>
      <c r="DX434" s="10"/>
      <c r="DY434" s="10"/>
      <c r="DZ434" s="10"/>
      <c r="EA434" s="10"/>
      <c r="EB434" s="10"/>
      <c r="EC434" s="10"/>
      <c r="ED434" s="10"/>
      <c r="EE434" s="10"/>
      <c r="EF434" s="10"/>
      <c r="EG434" s="10"/>
      <c r="EH434" s="10"/>
      <c r="EI434" s="10"/>
      <c r="EJ434" s="10"/>
      <c r="EK434" s="10"/>
      <c r="EL434" s="10"/>
      <c r="EM434" s="10"/>
      <c r="EN434" s="10"/>
      <c r="EO434" s="10"/>
      <c r="EP434" s="10"/>
      <c r="EQ434" s="10"/>
      <c r="ER434" s="10"/>
      <c r="ES434" s="10"/>
      <c r="ET434" s="10"/>
      <c r="EU434" s="10"/>
    </row>
    <row r="435" spans="2:151" x14ac:dyDescent="0.4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  <c r="EN435" s="8"/>
      <c r="EO435" s="8"/>
      <c r="EP435" s="8"/>
      <c r="EQ435" s="8"/>
      <c r="ER435" s="8"/>
      <c r="ES435" s="8"/>
      <c r="ET435" s="8"/>
      <c r="EU435" s="8"/>
    </row>
    <row r="436" spans="2:151" x14ac:dyDescent="0.4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  <c r="EN436" s="8"/>
      <c r="EO436" s="8"/>
      <c r="EP436" s="8"/>
      <c r="EQ436" s="8"/>
      <c r="ER436" s="8"/>
      <c r="ES436" s="8"/>
      <c r="ET436" s="8"/>
      <c r="EU436" s="8"/>
    </row>
    <row r="437" spans="2:151" x14ac:dyDescent="0.4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  <c r="EN437" s="8"/>
      <c r="EO437" s="8"/>
      <c r="EP437" s="8"/>
      <c r="EQ437" s="8"/>
      <c r="ER437" s="8"/>
      <c r="ES437" s="8"/>
      <c r="ET437" s="8"/>
      <c r="EU437" s="8"/>
    </row>
    <row r="438" spans="2:151" x14ac:dyDescent="0.4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  <c r="EN438" s="8"/>
      <c r="EO438" s="8"/>
      <c r="EP438" s="8"/>
      <c r="EQ438" s="8"/>
      <c r="ER438" s="8"/>
      <c r="ES438" s="8"/>
      <c r="ET438" s="8"/>
      <c r="EU438" s="8"/>
    </row>
    <row r="439" spans="2:151" x14ac:dyDescent="0.4"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  <c r="BA439" s="10"/>
      <c r="BB439" s="10"/>
      <c r="BC439" s="10"/>
      <c r="BD439" s="10"/>
      <c r="BE439" s="10"/>
      <c r="BF439" s="10"/>
      <c r="BG439" s="10"/>
      <c r="BH439" s="10"/>
      <c r="BI439" s="10"/>
      <c r="BJ439" s="10"/>
      <c r="BK439" s="10"/>
      <c r="BL439" s="10"/>
      <c r="BM439" s="10"/>
      <c r="BN439" s="10"/>
      <c r="BO439" s="10"/>
      <c r="BP439" s="10"/>
      <c r="BQ439" s="10"/>
      <c r="BR439" s="10"/>
      <c r="BS439" s="10"/>
      <c r="BT439" s="10"/>
      <c r="BU439" s="10"/>
      <c r="BV439" s="10"/>
      <c r="BW439" s="10"/>
      <c r="BX439" s="10"/>
      <c r="BY439" s="10"/>
      <c r="BZ439" s="10"/>
      <c r="CA439" s="10"/>
      <c r="CB439" s="10"/>
      <c r="CC439" s="10"/>
      <c r="CD439" s="10"/>
      <c r="CE439" s="10"/>
      <c r="CF439" s="10"/>
      <c r="CG439" s="10"/>
      <c r="CH439" s="10"/>
      <c r="CI439" s="10"/>
      <c r="CJ439" s="10"/>
      <c r="CK439" s="10"/>
      <c r="CL439" s="10"/>
      <c r="CM439" s="10"/>
      <c r="CN439" s="10"/>
      <c r="CO439" s="10"/>
      <c r="CP439" s="10"/>
      <c r="CQ439" s="10"/>
      <c r="CR439" s="10"/>
      <c r="CS439" s="10"/>
      <c r="CT439" s="10"/>
      <c r="CU439" s="10"/>
      <c r="CV439" s="10"/>
      <c r="CW439" s="10"/>
      <c r="CX439" s="10"/>
      <c r="CY439" s="10"/>
      <c r="CZ439" s="10"/>
      <c r="DA439" s="10"/>
      <c r="DB439" s="10"/>
      <c r="DC439" s="10"/>
      <c r="DD439" s="10"/>
      <c r="DE439" s="10"/>
      <c r="DF439" s="10"/>
      <c r="DG439" s="10"/>
      <c r="DH439" s="10"/>
      <c r="DI439" s="10"/>
      <c r="DJ439" s="10"/>
      <c r="DK439" s="10"/>
      <c r="DL439" s="10"/>
      <c r="DM439" s="10"/>
      <c r="DN439" s="10"/>
      <c r="DO439" s="10"/>
      <c r="DP439" s="10"/>
      <c r="DQ439" s="10"/>
      <c r="DR439" s="10"/>
      <c r="DS439" s="10"/>
      <c r="DT439" s="10"/>
      <c r="DU439" s="10"/>
      <c r="DV439" s="10"/>
      <c r="DW439" s="10"/>
      <c r="DX439" s="10"/>
      <c r="DY439" s="10"/>
      <c r="DZ439" s="10"/>
      <c r="EA439" s="10"/>
      <c r="EB439" s="10"/>
      <c r="EC439" s="10"/>
      <c r="ED439" s="10"/>
      <c r="EE439" s="10"/>
      <c r="EF439" s="10"/>
      <c r="EG439" s="10"/>
      <c r="EH439" s="10"/>
      <c r="EI439" s="10"/>
      <c r="EJ439" s="10"/>
      <c r="EK439" s="10"/>
      <c r="EL439" s="10"/>
      <c r="EM439" s="10"/>
      <c r="EN439" s="10"/>
      <c r="EO439" s="10"/>
      <c r="EP439" s="10"/>
      <c r="EQ439" s="10"/>
      <c r="ER439" s="10"/>
      <c r="ES439" s="10"/>
      <c r="ET439" s="10"/>
      <c r="EU439" s="10"/>
    </row>
    <row r="440" spans="2:151" x14ac:dyDescent="0.4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  <c r="EN440" s="8"/>
      <c r="EO440" s="8"/>
      <c r="EP440" s="8"/>
      <c r="EQ440" s="8"/>
      <c r="ER440" s="8"/>
      <c r="ES440" s="8"/>
      <c r="ET440" s="8"/>
      <c r="EU440" s="8"/>
    </row>
    <row r="441" spans="2:151" x14ac:dyDescent="0.4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/>
      <c r="EL441" s="8"/>
      <c r="EM441" s="8"/>
      <c r="EN441" s="8"/>
      <c r="EO441" s="8"/>
      <c r="EP441" s="8"/>
      <c r="EQ441" s="8"/>
      <c r="ER441" s="8"/>
      <c r="ES441" s="8"/>
      <c r="ET441" s="8"/>
      <c r="EU441" s="8"/>
    </row>
    <row r="442" spans="2:151" x14ac:dyDescent="0.4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  <c r="EN442" s="8"/>
      <c r="EO442" s="8"/>
      <c r="EP442" s="8"/>
      <c r="EQ442" s="8"/>
      <c r="ER442" s="8"/>
      <c r="ES442" s="8"/>
      <c r="ET442" s="8"/>
      <c r="EU442" s="8"/>
    </row>
    <row r="443" spans="2:151" x14ac:dyDescent="0.4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/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  <c r="EN443" s="8"/>
      <c r="EO443" s="8"/>
      <c r="EP443" s="8"/>
      <c r="EQ443" s="8"/>
      <c r="ER443" s="8"/>
      <c r="ES443" s="8"/>
      <c r="ET443" s="8"/>
      <c r="EU443" s="8"/>
    </row>
    <row r="444" spans="2:151" x14ac:dyDescent="0.4"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  <c r="BA444" s="10"/>
      <c r="BB444" s="10"/>
      <c r="BC444" s="10"/>
      <c r="BD444" s="10"/>
      <c r="BE444" s="10"/>
      <c r="BF444" s="10"/>
      <c r="BG444" s="10"/>
      <c r="BH444" s="10"/>
      <c r="BI444" s="10"/>
      <c r="BJ444" s="10"/>
      <c r="BK444" s="10"/>
      <c r="BL444" s="10"/>
      <c r="BM444" s="10"/>
      <c r="BN444" s="10"/>
      <c r="BO444" s="10"/>
      <c r="BP444" s="10"/>
      <c r="BQ444" s="10"/>
      <c r="BR444" s="10"/>
      <c r="BS444" s="10"/>
      <c r="BT444" s="10"/>
      <c r="BU444" s="10"/>
      <c r="BV444" s="10"/>
      <c r="BW444" s="10"/>
      <c r="BX444" s="10"/>
      <c r="BY444" s="10"/>
      <c r="BZ444" s="10"/>
      <c r="CA444" s="10"/>
      <c r="CB444" s="10"/>
      <c r="CC444" s="10"/>
      <c r="CD444" s="10"/>
      <c r="CE444" s="10"/>
      <c r="CF444" s="10"/>
      <c r="CG444" s="10"/>
      <c r="CH444" s="10"/>
      <c r="CI444" s="10"/>
      <c r="CJ444" s="10"/>
      <c r="CK444" s="10"/>
      <c r="CL444" s="10"/>
      <c r="CM444" s="10"/>
      <c r="CN444" s="10"/>
      <c r="CO444" s="10"/>
      <c r="CP444" s="10"/>
      <c r="CQ444" s="10"/>
      <c r="CR444" s="10"/>
      <c r="CS444" s="10"/>
      <c r="CT444" s="10"/>
      <c r="CU444" s="10"/>
      <c r="CV444" s="10"/>
      <c r="CW444" s="10"/>
      <c r="CX444" s="10"/>
      <c r="CY444" s="10"/>
      <c r="CZ444" s="10"/>
      <c r="DA444" s="10"/>
      <c r="DB444" s="10"/>
      <c r="DC444" s="10"/>
      <c r="DD444" s="10"/>
      <c r="DE444" s="10"/>
      <c r="DF444" s="10"/>
      <c r="DG444" s="10"/>
      <c r="DH444" s="10"/>
      <c r="DI444" s="10"/>
      <c r="DJ444" s="10"/>
      <c r="DK444" s="10"/>
      <c r="DL444" s="10"/>
      <c r="DM444" s="10"/>
      <c r="DN444" s="10"/>
      <c r="DO444" s="10"/>
      <c r="DP444" s="10"/>
      <c r="DQ444" s="10"/>
      <c r="DR444" s="10"/>
      <c r="DS444" s="10"/>
      <c r="DT444" s="10"/>
      <c r="DU444" s="10"/>
      <c r="DV444" s="10"/>
      <c r="DW444" s="10"/>
      <c r="DX444" s="10"/>
      <c r="DY444" s="10"/>
      <c r="DZ444" s="10"/>
      <c r="EA444" s="10"/>
      <c r="EB444" s="10"/>
      <c r="EC444" s="10"/>
      <c r="ED444" s="10"/>
      <c r="EE444" s="10"/>
      <c r="EF444" s="10"/>
      <c r="EG444" s="10"/>
      <c r="EH444" s="10"/>
      <c r="EI444" s="10"/>
      <c r="EJ444" s="10"/>
      <c r="EK444" s="10"/>
      <c r="EL444" s="10"/>
      <c r="EM444" s="10"/>
      <c r="EN444" s="10"/>
      <c r="EO444" s="10"/>
      <c r="EP444" s="10"/>
      <c r="EQ444" s="10"/>
      <c r="ER444" s="10"/>
      <c r="ES444" s="10"/>
      <c r="ET444" s="10"/>
      <c r="EU444" s="10"/>
    </row>
    <row r="445" spans="2:151" x14ac:dyDescent="0.4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  <c r="EN445" s="8"/>
      <c r="EO445" s="8"/>
      <c r="EP445" s="8"/>
      <c r="EQ445" s="8"/>
      <c r="ER445" s="8"/>
      <c r="ES445" s="8"/>
      <c r="ET445" s="8"/>
      <c r="EU445" s="8"/>
    </row>
    <row r="446" spans="2:151" x14ac:dyDescent="0.4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  <c r="EN446" s="8"/>
      <c r="EO446" s="8"/>
      <c r="EP446" s="8"/>
      <c r="EQ446" s="8"/>
      <c r="ER446" s="8"/>
      <c r="ES446" s="8"/>
      <c r="ET446" s="8"/>
      <c r="EU446" s="8"/>
    </row>
    <row r="447" spans="2:151" x14ac:dyDescent="0.4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  <c r="EN447" s="8"/>
      <c r="EO447" s="8"/>
      <c r="EP447" s="8"/>
      <c r="EQ447" s="8"/>
      <c r="ER447" s="8"/>
      <c r="ES447" s="8"/>
      <c r="ET447" s="8"/>
      <c r="EU447" s="8"/>
    </row>
    <row r="448" spans="2:151" x14ac:dyDescent="0.4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  <c r="EN448" s="8"/>
      <c r="EO448" s="8"/>
      <c r="EP448" s="8"/>
      <c r="EQ448" s="8"/>
      <c r="ER448" s="8"/>
      <c r="ES448" s="8"/>
      <c r="ET448" s="8"/>
      <c r="EU448" s="8"/>
    </row>
    <row r="449" spans="2:151" x14ac:dyDescent="0.4"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  <c r="BA449" s="10"/>
      <c r="BB449" s="10"/>
      <c r="BC449" s="10"/>
      <c r="BD449" s="10"/>
      <c r="BE449" s="10"/>
      <c r="BF449" s="10"/>
      <c r="BG449" s="10"/>
      <c r="BH449" s="10"/>
      <c r="BI449" s="10"/>
      <c r="BJ449" s="10"/>
      <c r="BK449" s="10"/>
      <c r="BL449" s="10"/>
      <c r="BM449" s="10"/>
      <c r="BN449" s="10"/>
      <c r="BO449" s="10"/>
      <c r="BP449" s="10"/>
      <c r="BQ449" s="10"/>
      <c r="BR449" s="10"/>
      <c r="BS449" s="10"/>
      <c r="BT449" s="10"/>
      <c r="BU449" s="10"/>
      <c r="BV449" s="10"/>
      <c r="BW449" s="10"/>
      <c r="BX449" s="10"/>
      <c r="BY449" s="10"/>
      <c r="BZ449" s="10"/>
      <c r="CA449" s="10"/>
      <c r="CB449" s="10"/>
      <c r="CC449" s="10"/>
      <c r="CD449" s="10"/>
      <c r="CE449" s="10"/>
      <c r="CF449" s="10"/>
      <c r="CG449" s="10"/>
      <c r="CH449" s="10"/>
      <c r="CI449" s="10"/>
      <c r="CJ449" s="10"/>
      <c r="CK449" s="10"/>
      <c r="CL449" s="10"/>
      <c r="CM449" s="10"/>
      <c r="CN449" s="10"/>
      <c r="CO449" s="10"/>
      <c r="CP449" s="10"/>
      <c r="CQ449" s="10"/>
      <c r="CR449" s="10"/>
      <c r="CS449" s="10"/>
      <c r="CT449" s="10"/>
      <c r="CU449" s="10"/>
      <c r="CV449" s="10"/>
      <c r="CW449" s="10"/>
      <c r="CX449" s="10"/>
      <c r="CY449" s="10"/>
      <c r="CZ449" s="10"/>
      <c r="DA449" s="10"/>
      <c r="DB449" s="10"/>
      <c r="DC449" s="10"/>
      <c r="DD449" s="10"/>
      <c r="DE449" s="10"/>
      <c r="DF449" s="10"/>
      <c r="DG449" s="10"/>
      <c r="DH449" s="10"/>
      <c r="DI449" s="10"/>
      <c r="DJ449" s="10"/>
      <c r="DK449" s="10"/>
      <c r="DL449" s="10"/>
      <c r="DM449" s="10"/>
      <c r="DN449" s="10"/>
      <c r="DO449" s="10"/>
      <c r="DP449" s="10"/>
      <c r="DQ449" s="10"/>
      <c r="DR449" s="10"/>
      <c r="DS449" s="10"/>
      <c r="DT449" s="10"/>
      <c r="DU449" s="10"/>
      <c r="DV449" s="10"/>
      <c r="DW449" s="10"/>
      <c r="DX449" s="10"/>
      <c r="DY449" s="10"/>
      <c r="DZ449" s="10"/>
      <c r="EA449" s="10"/>
      <c r="EB449" s="10"/>
      <c r="EC449" s="10"/>
      <c r="ED449" s="10"/>
      <c r="EE449" s="10"/>
      <c r="EF449" s="10"/>
      <c r="EG449" s="10"/>
      <c r="EH449" s="10"/>
      <c r="EI449" s="10"/>
      <c r="EJ449" s="10"/>
      <c r="EK449" s="10"/>
      <c r="EL449" s="10"/>
      <c r="EM449" s="10"/>
      <c r="EN449" s="10"/>
      <c r="EO449" s="10"/>
      <c r="EP449" s="10"/>
      <c r="EQ449" s="10"/>
      <c r="ER449" s="10"/>
      <c r="ES449" s="10"/>
      <c r="ET449" s="10"/>
      <c r="EU449" s="10"/>
    </row>
    <row r="450" spans="2:151" x14ac:dyDescent="0.4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/>
      <c r="EG450" s="8"/>
      <c r="EH450" s="8"/>
      <c r="EI450" s="8"/>
      <c r="EJ450" s="8"/>
      <c r="EK450" s="8"/>
      <c r="EL450" s="8"/>
      <c r="EM450" s="8"/>
      <c r="EN450" s="8"/>
      <c r="EO450" s="8"/>
      <c r="EP450" s="8"/>
      <c r="EQ450" s="8"/>
      <c r="ER450" s="8"/>
      <c r="ES450" s="8"/>
      <c r="ET450" s="8"/>
      <c r="EU450" s="8"/>
    </row>
    <row r="451" spans="2:151" x14ac:dyDescent="0.4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/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  <c r="EN451" s="8"/>
      <c r="EO451" s="8"/>
      <c r="EP451" s="8"/>
      <c r="EQ451" s="8"/>
      <c r="ER451" s="8"/>
      <c r="ES451" s="8"/>
      <c r="ET451" s="8"/>
      <c r="EU451" s="8"/>
    </row>
    <row r="452" spans="2:151" x14ac:dyDescent="0.4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/>
      <c r="EE452" s="8"/>
      <c r="EF452" s="8"/>
      <c r="EG452" s="8"/>
      <c r="EH452" s="8"/>
      <c r="EI452" s="8"/>
      <c r="EJ452" s="8"/>
      <c r="EK452" s="8"/>
      <c r="EL452" s="8"/>
      <c r="EM452" s="8"/>
      <c r="EN452" s="8"/>
      <c r="EO452" s="8"/>
      <c r="EP452" s="8"/>
      <c r="EQ452" s="8"/>
      <c r="ER452" s="8"/>
      <c r="ES452" s="8"/>
      <c r="ET452" s="8"/>
      <c r="EU452" s="8"/>
    </row>
    <row r="453" spans="2:151" x14ac:dyDescent="0.4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  <c r="EN453" s="8"/>
      <c r="EO453" s="8"/>
      <c r="EP453" s="8"/>
      <c r="EQ453" s="8"/>
      <c r="ER453" s="8"/>
      <c r="ES453" s="8"/>
      <c r="ET453" s="8"/>
      <c r="EU453" s="8"/>
    </row>
    <row r="454" spans="2:151" x14ac:dyDescent="0.4"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  <c r="BA454" s="10"/>
      <c r="BB454" s="10"/>
      <c r="BC454" s="10"/>
      <c r="BD454" s="10"/>
      <c r="BE454" s="10"/>
      <c r="BF454" s="10"/>
      <c r="BG454" s="10"/>
      <c r="BH454" s="10"/>
      <c r="BI454" s="10"/>
      <c r="BJ454" s="10"/>
      <c r="BK454" s="10"/>
      <c r="BL454" s="10"/>
      <c r="BM454" s="10"/>
      <c r="BN454" s="10"/>
      <c r="BO454" s="10"/>
      <c r="BP454" s="10"/>
      <c r="BQ454" s="10"/>
      <c r="BR454" s="10"/>
      <c r="BS454" s="10"/>
      <c r="BT454" s="10"/>
      <c r="BU454" s="10"/>
      <c r="BV454" s="10"/>
      <c r="BW454" s="10"/>
      <c r="BX454" s="10"/>
      <c r="BY454" s="10"/>
      <c r="BZ454" s="10"/>
      <c r="CA454" s="10"/>
      <c r="CB454" s="10"/>
      <c r="CC454" s="10"/>
      <c r="CD454" s="10"/>
      <c r="CE454" s="10"/>
      <c r="CF454" s="10"/>
      <c r="CG454" s="10"/>
      <c r="CH454" s="10"/>
      <c r="CI454" s="10"/>
      <c r="CJ454" s="10"/>
      <c r="CK454" s="10"/>
      <c r="CL454" s="10"/>
      <c r="CM454" s="10"/>
      <c r="CN454" s="10"/>
      <c r="CO454" s="10"/>
      <c r="CP454" s="10"/>
      <c r="CQ454" s="10"/>
      <c r="CR454" s="10"/>
      <c r="CS454" s="10"/>
      <c r="CT454" s="10"/>
      <c r="CU454" s="10"/>
      <c r="CV454" s="10"/>
      <c r="CW454" s="10"/>
      <c r="CX454" s="10"/>
      <c r="CY454" s="10"/>
      <c r="CZ454" s="10"/>
      <c r="DA454" s="10"/>
      <c r="DB454" s="10"/>
      <c r="DC454" s="10"/>
      <c r="DD454" s="10"/>
      <c r="DE454" s="10"/>
      <c r="DF454" s="10"/>
      <c r="DG454" s="10"/>
      <c r="DH454" s="10"/>
      <c r="DI454" s="10"/>
      <c r="DJ454" s="10"/>
      <c r="DK454" s="10"/>
      <c r="DL454" s="10"/>
      <c r="DM454" s="10"/>
      <c r="DN454" s="10"/>
      <c r="DO454" s="10"/>
      <c r="DP454" s="10"/>
      <c r="DQ454" s="10"/>
      <c r="DR454" s="10"/>
      <c r="DS454" s="10"/>
      <c r="DT454" s="10"/>
      <c r="DU454" s="10"/>
      <c r="DV454" s="10"/>
      <c r="DW454" s="10"/>
      <c r="DX454" s="10"/>
      <c r="DY454" s="10"/>
      <c r="DZ454" s="10"/>
      <c r="EA454" s="10"/>
      <c r="EB454" s="10"/>
      <c r="EC454" s="10"/>
      <c r="ED454" s="10"/>
      <c r="EE454" s="10"/>
      <c r="EF454" s="10"/>
      <c r="EG454" s="10"/>
      <c r="EH454" s="10"/>
      <c r="EI454" s="10"/>
      <c r="EJ454" s="10"/>
      <c r="EK454" s="10"/>
      <c r="EL454" s="10"/>
      <c r="EM454" s="10"/>
      <c r="EN454" s="10"/>
      <c r="EO454" s="10"/>
      <c r="EP454" s="10"/>
      <c r="EQ454" s="10"/>
      <c r="ER454" s="10"/>
      <c r="ES454" s="10"/>
      <c r="ET454" s="10"/>
      <c r="EU454" s="10"/>
    </row>
    <row r="455" spans="2:151" x14ac:dyDescent="0.4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  <c r="EN455" s="8"/>
      <c r="EO455" s="8"/>
      <c r="EP455" s="8"/>
      <c r="EQ455" s="8"/>
      <c r="ER455" s="8"/>
      <c r="ES455" s="8"/>
      <c r="ET455" s="8"/>
      <c r="EU455" s="8"/>
    </row>
    <row r="456" spans="2:151" x14ac:dyDescent="0.4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  <c r="EN456" s="8"/>
      <c r="EO456" s="8"/>
      <c r="EP456" s="8"/>
      <c r="EQ456" s="8"/>
      <c r="ER456" s="8"/>
      <c r="ES456" s="8"/>
      <c r="ET456" s="8"/>
      <c r="EU456" s="8"/>
    </row>
    <row r="457" spans="2:151" x14ac:dyDescent="0.4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/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  <c r="EN457" s="8"/>
      <c r="EO457" s="8"/>
      <c r="EP457" s="8"/>
      <c r="EQ457" s="8"/>
      <c r="ER457" s="8"/>
      <c r="ES457" s="8"/>
      <c r="ET457" s="8"/>
      <c r="EU457" s="8"/>
    </row>
    <row r="458" spans="2:151" x14ac:dyDescent="0.4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  <c r="EN458" s="8"/>
      <c r="EO458" s="8"/>
      <c r="EP458" s="8"/>
      <c r="EQ458" s="8"/>
      <c r="ER458" s="8"/>
      <c r="ES458" s="8"/>
      <c r="ET458" s="8"/>
      <c r="EU458" s="8"/>
    </row>
    <row r="459" spans="2:151" x14ac:dyDescent="0.4"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  <c r="BA459" s="10"/>
      <c r="BB459" s="10"/>
      <c r="BC459" s="10"/>
      <c r="BD459" s="10"/>
      <c r="BE459" s="10"/>
      <c r="BF459" s="10"/>
      <c r="BG459" s="10"/>
      <c r="BH459" s="10"/>
      <c r="BI459" s="10"/>
      <c r="BJ459" s="10"/>
      <c r="BK459" s="10"/>
      <c r="BL459" s="10"/>
      <c r="BM459" s="10"/>
      <c r="BN459" s="10"/>
      <c r="BO459" s="10"/>
      <c r="BP459" s="10"/>
      <c r="BQ459" s="10"/>
      <c r="BR459" s="10"/>
      <c r="BS459" s="10"/>
      <c r="BT459" s="10"/>
      <c r="BU459" s="10"/>
      <c r="BV459" s="10"/>
      <c r="BW459" s="10"/>
      <c r="BX459" s="10"/>
      <c r="BY459" s="10"/>
      <c r="BZ459" s="10"/>
      <c r="CA459" s="10"/>
      <c r="CB459" s="10"/>
      <c r="CC459" s="10"/>
      <c r="CD459" s="10"/>
      <c r="CE459" s="10"/>
      <c r="CF459" s="10"/>
      <c r="CG459" s="10"/>
      <c r="CH459" s="10"/>
      <c r="CI459" s="10"/>
      <c r="CJ459" s="10"/>
      <c r="CK459" s="10"/>
      <c r="CL459" s="10"/>
      <c r="CM459" s="10"/>
      <c r="CN459" s="10"/>
      <c r="CO459" s="10"/>
      <c r="CP459" s="10"/>
      <c r="CQ459" s="10"/>
      <c r="CR459" s="10"/>
      <c r="CS459" s="10"/>
      <c r="CT459" s="10"/>
      <c r="CU459" s="10"/>
      <c r="CV459" s="10"/>
      <c r="CW459" s="10"/>
      <c r="CX459" s="10"/>
      <c r="CY459" s="10"/>
      <c r="CZ459" s="10"/>
      <c r="DA459" s="10"/>
      <c r="DB459" s="10"/>
      <c r="DC459" s="10"/>
      <c r="DD459" s="10"/>
      <c r="DE459" s="10"/>
      <c r="DF459" s="10"/>
      <c r="DG459" s="10"/>
      <c r="DH459" s="10"/>
      <c r="DI459" s="10"/>
      <c r="DJ459" s="10"/>
      <c r="DK459" s="10"/>
      <c r="DL459" s="10"/>
      <c r="DM459" s="10"/>
      <c r="DN459" s="10"/>
      <c r="DO459" s="10"/>
      <c r="DP459" s="10"/>
      <c r="DQ459" s="10"/>
      <c r="DR459" s="10"/>
      <c r="DS459" s="10"/>
      <c r="DT459" s="10"/>
      <c r="DU459" s="10"/>
      <c r="DV459" s="10"/>
      <c r="DW459" s="10"/>
      <c r="DX459" s="10"/>
      <c r="DY459" s="10"/>
      <c r="DZ459" s="10"/>
      <c r="EA459" s="10"/>
      <c r="EB459" s="10"/>
      <c r="EC459" s="10"/>
      <c r="ED459" s="10"/>
      <c r="EE459" s="10"/>
      <c r="EF459" s="10"/>
      <c r="EG459" s="10"/>
      <c r="EH459" s="10"/>
      <c r="EI459" s="10"/>
      <c r="EJ459" s="10"/>
      <c r="EK459" s="10"/>
      <c r="EL459" s="10"/>
      <c r="EM459" s="10"/>
      <c r="EN459" s="10"/>
      <c r="EO459" s="10"/>
      <c r="EP459" s="10"/>
      <c r="EQ459" s="10"/>
      <c r="ER459" s="10"/>
      <c r="ES459" s="10"/>
      <c r="ET459" s="10"/>
      <c r="EU459" s="10"/>
    </row>
    <row r="460" spans="2:151" x14ac:dyDescent="0.4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/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  <c r="EN460" s="8"/>
      <c r="EO460" s="8"/>
      <c r="EP460" s="8"/>
      <c r="EQ460" s="8"/>
      <c r="ER460" s="8"/>
      <c r="ES460" s="8"/>
      <c r="ET460" s="8"/>
      <c r="EU460" s="8"/>
    </row>
    <row r="461" spans="2:151" x14ac:dyDescent="0.4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  <c r="EN461" s="8"/>
      <c r="EO461" s="8"/>
      <c r="EP461" s="8"/>
      <c r="EQ461" s="8"/>
      <c r="ER461" s="8"/>
      <c r="ES461" s="8"/>
      <c r="ET461" s="8"/>
      <c r="EU461" s="8"/>
    </row>
    <row r="462" spans="2:151" x14ac:dyDescent="0.4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/>
      <c r="EL462" s="8"/>
      <c r="EM462" s="8"/>
      <c r="EN462" s="8"/>
      <c r="EO462" s="8"/>
      <c r="EP462" s="8"/>
      <c r="EQ462" s="8"/>
      <c r="ER462" s="8"/>
      <c r="ES462" s="8"/>
      <c r="ET462" s="8"/>
      <c r="EU462" s="8"/>
    </row>
    <row r="463" spans="2:151" x14ac:dyDescent="0.4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  <c r="EN463" s="8"/>
      <c r="EO463" s="8"/>
      <c r="EP463" s="8"/>
      <c r="EQ463" s="8"/>
      <c r="ER463" s="8"/>
      <c r="ES463" s="8"/>
      <c r="ET463" s="8"/>
      <c r="EU463" s="8"/>
    </row>
    <row r="464" spans="2:151" x14ac:dyDescent="0.4"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  <c r="BA464" s="10"/>
      <c r="BB464" s="10"/>
      <c r="BC464" s="10"/>
      <c r="BD464" s="10"/>
      <c r="BE464" s="10"/>
      <c r="BF464" s="10"/>
      <c r="BG464" s="10"/>
      <c r="BH464" s="10"/>
      <c r="BI464" s="10"/>
      <c r="BJ464" s="10"/>
      <c r="BK464" s="10"/>
      <c r="BL464" s="10"/>
      <c r="BM464" s="10"/>
      <c r="BN464" s="10"/>
      <c r="BO464" s="10"/>
      <c r="BP464" s="10"/>
      <c r="BQ464" s="10"/>
      <c r="BR464" s="10"/>
      <c r="BS464" s="10"/>
      <c r="BT464" s="10"/>
      <c r="BU464" s="10"/>
      <c r="BV464" s="10"/>
      <c r="BW464" s="10"/>
      <c r="BX464" s="10"/>
      <c r="BY464" s="10"/>
      <c r="BZ464" s="10"/>
      <c r="CA464" s="10"/>
      <c r="CB464" s="10"/>
      <c r="CC464" s="10"/>
      <c r="CD464" s="10"/>
      <c r="CE464" s="10"/>
      <c r="CF464" s="10"/>
      <c r="CG464" s="10"/>
      <c r="CH464" s="10"/>
      <c r="CI464" s="10"/>
      <c r="CJ464" s="10"/>
      <c r="CK464" s="10"/>
      <c r="CL464" s="10"/>
      <c r="CM464" s="10"/>
      <c r="CN464" s="10"/>
      <c r="CO464" s="10"/>
      <c r="CP464" s="10"/>
      <c r="CQ464" s="10"/>
      <c r="CR464" s="10"/>
      <c r="CS464" s="10"/>
      <c r="CT464" s="10"/>
      <c r="CU464" s="10"/>
      <c r="CV464" s="10"/>
      <c r="CW464" s="10"/>
      <c r="CX464" s="10"/>
      <c r="CY464" s="10"/>
      <c r="CZ464" s="10"/>
      <c r="DA464" s="10"/>
      <c r="DB464" s="10"/>
      <c r="DC464" s="10"/>
      <c r="DD464" s="10"/>
      <c r="DE464" s="10"/>
      <c r="DF464" s="10"/>
      <c r="DG464" s="10"/>
      <c r="DH464" s="10"/>
      <c r="DI464" s="10"/>
      <c r="DJ464" s="10"/>
      <c r="DK464" s="10"/>
      <c r="DL464" s="10"/>
      <c r="DM464" s="10"/>
      <c r="DN464" s="10"/>
      <c r="DO464" s="10"/>
      <c r="DP464" s="10"/>
      <c r="DQ464" s="10"/>
      <c r="DR464" s="10"/>
      <c r="DS464" s="10"/>
      <c r="DT464" s="10"/>
      <c r="DU464" s="10"/>
      <c r="DV464" s="10"/>
      <c r="DW464" s="10"/>
      <c r="DX464" s="10"/>
      <c r="DY464" s="10"/>
      <c r="DZ464" s="10"/>
      <c r="EA464" s="10"/>
      <c r="EB464" s="10"/>
      <c r="EC464" s="10"/>
      <c r="ED464" s="10"/>
      <c r="EE464" s="10"/>
      <c r="EF464" s="10"/>
      <c r="EG464" s="10"/>
      <c r="EH464" s="10"/>
      <c r="EI464" s="10"/>
      <c r="EJ464" s="10"/>
      <c r="EK464" s="10"/>
      <c r="EL464" s="10"/>
      <c r="EM464" s="10"/>
      <c r="EN464" s="10"/>
      <c r="EO464" s="10"/>
      <c r="EP464" s="10"/>
      <c r="EQ464" s="10"/>
      <c r="ER464" s="10"/>
      <c r="ES464" s="10"/>
      <c r="ET464" s="10"/>
      <c r="EU464" s="10"/>
    </row>
    <row r="465" spans="2:151" x14ac:dyDescent="0.4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  <c r="EN465" s="8"/>
      <c r="EO465" s="8"/>
      <c r="EP465" s="8"/>
      <c r="EQ465" s="8"/>
      <c r="ER465" s="8"/>
      <c r="ES465" s="8"/>
      <c r="ET465" s="8"/>
      <c r="EU465" s="8"/>
    </row>
    <row r="466" spans="2:151" x14ac:dyDescent="0.4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  <c r="EN466" s="8"/>
      <c r="EO466" s="8"/>
      <c r="EP466" s="8"/>
      <c r="EQ466" s="8"/>
      <c r="ER466" s="8"/>
      <c r="ES466" s="8"/>
      <c r="ET466" s="8"/>
      <c r="EU466" s="8"/>
    </row>
    <row r="467" spans="2:151" x14ac:dyDescent="0.4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  <c r="EN467" s="8"/>
      <c r="EO467" s="8"/>
      <c r="EP467" s="8"/>
      <c r="EQ467" s="8"/>
      <c r="ER467" s="8"/>
      <c r="ES467" s="8"/>
      <c r="ET467" s="8"/>
      <c r="EU467" s="8"/>
    </row>
    <row r="468" spans="2:151" x14ac:dyDescent="0.4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  <c r="EN468" s="8"/>
      <c r="EO468" s="8"/>
      <c r="EP468" s="8"/>
      <c r="EQ468" s="8"/>
      <c r="ER468" s="8"/>
      <c r="ES468" s="8"/>
      <c r="ET468" s="8"/>
      <c r="EU468" s="8"/>
    </row>
    <row r="469" spans="2:151" x14ac:dyDescent="0.4"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  <c r="BA469" s="10"/>
      <c r="BB469" s="10"/>
      <c r="BC469" s="10"/>
      <c r="BD469" s="10"/>
      <c r="BE469" s="10"/>
      <c r="BF469" s="10"/>
      <c r="BG469" s="10"/>
      <c r="BH469" s="10"/>
      <c r="BI469" s="10"/>
      <c r="BJ469" s="10"/>
      <c r="BK469" s="10"/>
      <c r="BL469" s="10"/>
      <c r="BM469" s="10"/>
      <c r="BN469" s="10"/>
      <c r="BO469" s="10"/>
      <c r="BP469" s="10"/>
      <c r="BQ469" s="10"/>
      <c r="BR469" s="10"/>
      <c r="BS469" s="10"/>
      <c r="BT469" s="10"/>
      <c r="BU469" s="10"/>
      <c r="BV469" s="10"/>
      <c r="BW469" s="10"/>
      <c r="BX469" s="10"/>
      <c r="BY469" s="10"/>
      <c r="BZ469" s="10"/>
      <c r="CA469" s="10"/>
      <c r="CB469" s="10"/>
      <c r="CC469" s="10"/>
      <c r="CD469" s="10"/>
      <c r="CE469" s="10"/>
      <c r="CF469" s="10"/>
      <c r="CG469" s="10"/>
      <c r="CH469" s="10"/>
      <c r="CI469" s="10"/>
      <c r="CJ469" s="10"/>
      <c r="CK469" s="10"/>
      <c r="CL469" s="10"/>
      <c r="CM469" s="10"/>
      <c r="CN469" s="10"/>
      <c r="CO469" s="10"/>
      <c r="CP469" s="10"/>
      <c r="CQ469" s="10"/>
      <c r="CR469" s="10"/>
      <c r="CS469" s="10"/>
      <c r="CT469" s="10"/>
      <c r="CU469" s="10"/>
      <c r="CV469" s="10"/>
      <c r="CW469" s="10"/>
      <c r="CX469" s="10"/>
      <c r="CY469" s="10"/>
      <c r="CZ469" s="10"/>
      <c r="DA469" s="10"/>
      <c r="DB469" s="10"/>
      <c r="DC469" s="10"/>
      <c r="DD469" s="10"/>
      <c r="DE469" s="10"/>
      <c r="DF469" s="10"/>
      <c r="DG469" s="10"/>
      <c r="DH469" s="10"/>
      <c r="DI469" s="10"/>
      <c r="DJ469" s="10"/>
      <c r="DK469" s="10"/>
      <c r="DL469" s="10"/>
      <c r="DM469" s="10"/>
      <c r="DN469" s="10"/>
      <c r="DO469" s="10"/>
      <c r="DP469" s="10"/>
      <c r="DQ469" s="10"/>
      <c r="DR469" s="10"/>
      <c r="DS469" s="10"/>
      <c r="DT469" s="10"/>
      <c r="DU469" s="10"/>
      <c r="DV469" s="10"/>
      <c r="DW469" s="10"/>
      <c r="DX469" s="10"/>
      <c r="DY469" s="10"/>
      <c r="DZ469" s="10"/>
      <c r="EA469" s="10"/>
      <c r="EB469" s="10"/>
      <c r="EC469" s="10"/>
      <c r="ED469" s="10"/>
      <c r="EE469" s="10"/>
      <c r="EF469" s="10"/>
      <c r="EG469" s="10"/>
      <c r="EH469" s="10"/>
      <c r="EI469" s="10"/>
      <c r="EJ469" s="10"/>
      <c r="EK469" s="10"/>
      <c r="EL469" s="10"/>
      <c r="EM469" s="10"/>
      <c r="EN469" s="10"/>
      <c r="EO469" s="10"/>
      <c r="EP469" s="10"/>
      <c r="EQ469" s="10"/>
      <c r="ER469" s="10"/>
      <c r="ES469" s="10"/>
      <c r="ET469" s="10"/>
      <c r="EU469" s="10"/>
    </row>
    <row r="470" spans="2:151" x14ac:dyDescent="0.4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/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  <c r="EN470" s="8"/>
      <c r="EO470" s="8"/>
      <c r="EP470" s="8"/>
      <c r="EQ470" s="8"/>
      <c r="ER470" s="8"/>
      <c r="ES470" s="8"/>
      <c r="ET470" s="8"/>
      <c r="EU470" s="8"/>
    </row>
    <row r="471" spans="2:151" x14ac:dyDescent="0.4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  <c r="EN471" s="8"/>
      <c r="EO471" s="8"/>
      <c r="EP471" s="8"/>
      <c r="EQ471" s="8"/>
      <c r="ER471" s="8"/>
      <c r="ES471" s="8"/>
      <c r="ET471" s="8"/>
      <c r="EU471" s="8"/>
    </row>
    <row r="472" spans="2:151" x14ac:dyDescent="0.4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  <c r="EN472" s="8"/>
      <c r="EO472" s="8"/>
      <c r="EP472" s="8"/>
      <c r="EQ472" s="8"/>
      <c r="ER472" s="8"/>
      <c r="ES472" s="8"/>
      <c r="ET472" s="8"/>
      <c r="EU472" s="8"/>
    </row>
    <row r="473" spans="2:151" x14ac:dyDescent="0.4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/>
      <c r="EK473" s="8"/>
      <c r="EL473" s="8"/>
      <c r="EM473" s="8"/>
      <c r="EN473" s="8"/>
      <c r="EO473" s="8"/>
      <c r="EP473" s="8"/>
      <c r="EQ473" s="8"/>
      <c r="ER473" s="8"/>
      <c r="ES473" s="8"/>
      <c r="ET473" s="8"/>
      <c r="EU473" s="8"/>
    </row>
    <row r="474" spans="2:151" x14ac:dyDescent="0.4"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  <c r="BA474" s="10"/>
      <c r="BB474" s="10"/>
      <c r="BC474" s="10"/>
      <c r="BD474" s="10"/>
      <c r="BE474" s="10"/>
      <c r="BF474" s="10"/>
      <c r="BG474" s="10"/>
      <c r="BH474" s="10"/>
      <c r="BI474" s="10"/>
      <c r="BJ474" s="10"/>
      <c r="BK474" s="10"/>
      <c r="BL474" s="10"/>
      <c r="BM474" s="10"/>
      <c r="BN474" s="10"/>
      <c r="BO474" s="10"/>
      <c r="BP474" s="10"/>
      <c r="BQ474" s="10"/>
      <c r="BR474" s="10"/>
      <c r="BS474" s="10"/>
      <c r="BT474" s="10"/>
      <c r="BU474" s="10"/>
      <c r="BV474" s="10"/>
      <c r="BW474" s="10"/>
      <c r="BX474" s="10"/>
      <c r="BY474" s="10"/>
      <c r="BZ474" s="10"/>
      <c r="CA474" s="10"/>
      <c r="CB474" s="10"/>
      <c r="CC474" s="10"/>
      <c r="CD474" s="10"/>
      <c r="CE474" s="10"/>
      <c r="CF474" s="10"/>
      <c r="CG474" s="10"/>
      <c r="CH474" s="10"/>
      <c r="CI474" s="10"/>
      <c r="CJ474" s="10"/>
      <c r="CK474" s="10"/>
      <c r="CL474" s="10"/>
      <c r="CM474" s="10"/>
      <c r="CN474" s="10"/>
      <c r="CO474" s="10"/>
      <c r="CP474" s="10"/>
      <c r="CQ474" s="10"/>
      <c r="CR474" s="10"/>
      <c r="CS474" s="10"/>
      <c r="CT474" s="10"/>
      <c r="CU474" s="10"/>
      <c r="CV474" s="10"/>
      <c r="CW474" s="10"/>
      <c r="CX474" s="10"/>
      <c r="CY474" s="10"/>
      <c r="CZ474" s="10"/>
      <c r="DA474" s="10"/>
      <c r="DB474" s="10"/>
      <c r="DC474" s="10"/>
      <c r="DD474" s="10"/>
      <c r="DE474" s="10"/>
      <c r="DF474" s="10"/>
      <c r="DG474" s="10"/>
      <c r="DH474" s="10"/>
      <c r="DI474" s="10"/>
      <c r="DJ474" s="10"/>
      <c r="DK474" s="10"/>
      <c r="DL474" s="10"/>
      <c r="DM474" s="10"/>
      <c r="DN474" s="10"/>
      <c r="DO474" s="10"/>
      <c r="DP474" s="10"/>
      <c r="DQ474" s="10"/>
      <c r="DR474" s="10"/>
      <c r="DS474" s="10"/>
      <c r="DT474" s="10"/>
      <c r="DU474" s="10"/>
      <c r="DV474" s="10"/>
      <c r="DW474" s="10"/>
      <c r="DX474" s="10"/>
      <c r="DY474" s="10"/>
      <c r="DZ474" s="10"/>
      <c r="EA474" s="10"/>
      <c r="EB474" s="10"/>
      <c r="EC474" s="10"/>
      <c r="ED474" s="10"/>
      <c r="EE474" s="10"/>
      <c r="EF474" s="10"/>
      <c r="EG474" s="10"/>
      <c r="EH474" s="10"/>
      <c r="EI474" s="10"/>
      <c r="EJ474" s="10"/>
      <c r="EK474" s="10"/>
      <c r="EL474" s="10"/>
      <c r="EM474" s="10"/>
      <c r="EN474" s="10"/>
      <c r="EO474" s="10"/>
      <c r="EP474" s="10"/>
      <c r="EQ474" s="10"/>
      <c r="ER474" s="10"/>
      <c r="ES474" s="10"/>
      <c r="ET474" s="10"/>
      <c r="EU474" s="10"/>
    </row>
    <row r="475" spans="2:151" x14ac:dyDescent="0.4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  <c r="EN475" s="8"/>
      <c r="EO475" s="8"/>
      <c r="EP475" s="8"/>
      <c r="EQ475" s="8"/>
      <c r="ER475" s="8"/>
      <c r="ES475" s="8"/>
      <c r="ET475" s="8"/>
      <c r="EU475" s="8"/>
    </row>
    <row r="476" spans="2:151" x14ac:dyDescent="0.4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  <c r="EN476" s="8"/>
      <c r="EO476" s="8"/>
      <c r="EP476" s="8"/>
      <c r="EQ476" s="8"/>
      <c r="ER476" s="8"/>
      <c r="ES476" s="8"/>
      <c r="ET476" s="8"/>
      <c r="EU476" s="8"/>
    </row>
    <row r="477" spans="2:151" x14ac:dyDescent="0.4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  <c r="EN477" s="8"/>
      <c r="EO477" s="8"/>
      <c r="EP477" s="8"/>
      <c r="EQ477" s="8"/>
      <c r="ER477" s="8"/>
      <c r="ES477" s="8"/>
      <c r="ET477" s="8"/>
      <c r="EU477" s="8"/>
    </row>
    <row r="478" spans="2:151" x14ac:dyDescent="0.4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/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  <c r="EN478" s="8"/>
      <c r="EO478" s="8"/>
      <c r="EP478" s="8"/>
      <c r="EQ478" s="8"/>
      <c r="ER478" s="8"/>
      <c r="ES478" s="8"/>
      <c r="ET478" s="8"/>
      <c r="EU478" s="8"/>
    </row>
    <row r="479" spans="2:151" x14ac:dyDescent="0.4"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  <c r="BA479" s="10"/>
      <c r="BB479" s="10"/>
      <c r="BC479" s="10"/>
      <c r="BD479" s="10"/>
      <c r="BE479" s="10"/>
      <c r="BF479" s="10"/>
      <c r="BG479" s="10"/>
      <c r="BH479" s="10"/>
      <c r="BI479" s="10"/>
      <c r="BJ479" s="10"/>
      <c r="BK479" s="10"/>
      <c r="BL479" s="10"/>
      <c r="BM479" s="10"/>
      <c r="BN479" s="10"/>
      <c r="BO479" s="10"/>
      <c r="BP479" s="10"/>
      <c r="BQ479" s="10"/>
      <c r="BR479" s="10"/>
      <c r="BS479" s="10"/>
      <c r="BT479" s="10"/>
      <c r="BU479" s="10"/>
      <c r="BV479" s="10"/>
      <c r="BW479" s="10"/>
      <c r="BX479" s="10"/>
      <c r="BY479" s="10"/>
      <c r="BZ479" s="10"/>
      <c r="CA479" s="10"/>
      <c r="CB479" s="10"/>
      <c r="CC479" s="10"/>
      <c r="CD479" s="10"/>
      <c r="CE479" s="10"/>
      <c r="CF479" s="10"/>
      <c r="CG479" s="10"/>
      <c r="CH479" s="10"/>
      <c r="CI479" s="10"/>
      <c r="CJ479" s="10"/>
      <c r="CK479" s="10"/>
      <c r="CL479" s="10"/>
      <c r="CM479" s="10"/>
      <c r="CN479" s="10"/>
      <c r="CO479" s="10"/>
      <c r="CP479" s="10"/>
      <c r="CQ479" s="10"/>
      <c r="CR479" s="10"/>
      <c r="CS479" s="10"/>
      <c r="CT479" s="10"/>
      <c r="CU479" s="10"/>
      <c r="CV479" s="10"/>
      <c r="CW479" s="10"/>
      <c r="CX479" s="10"/>
      <c r="CY479" s="10"/>
      <c r="CZ479" s="10"/>
      <c r="DA479" s="10"/>
      <c r="DB479" s="10"/>
      <c r="DC479" s="10"/>
      <c r="DD479" s="10"/>
      <c r="DE479" s="10"/>
      <c r="DF479" s="10"/>
      <c r="DG479" s="10"/>
      <c r="DH479" s="10"/>
      <c r="DI479" s="10"/>
      <c r="DJ479" s="10"/>
      <c r="DK479" s="10"/>
      <c r="DL479" s="10"/>
      <c r="DM479" s="10"/>
      <c r="DN479" s="10"/>
      <c r="DO479" s="10"/>
      <c r="DP479" s="10"/>
      <c r="DQ479" s="10"/>
      <c r="DR479" s="10"/>
      <c r="DS479" s="10"/>
      <c r="DT479" s="10"/>
      <c r="DU479" s="10"/>
      <c r="DV479" s="10"/>
      <c r="DW479" s="10"/>
      <c r="DX479" s="10"/>
      <c r="DY479" s="10"/>
      <c r="DZ479" s="10"/>
      <c r="EA479" s="10"/>
      <c r="EB479" s="10"/>
      <c r="EC479" s="10"/>
      <c r="ED479" s="10"/>
      <c r="EE479" s="10"/>
      <c r="EF479" s="10"/>
      <c r="EG479" s="10"/>
      <c r="EH479" s="10"/>
      <c r="EI479" s="10"/>
      <c r="EJ479" s="10"/>
      <c r="EK479" s="10"/>
      <c r="EL479" s="10"/>
      <c r="EM479" s="10"/>
      <c r="EN479" s="10"/>
      <c r="EO479" s="10"/>
      <c r="EP479" s="10"/>
      <c r="EQ479" s="10"/>
      <c r="ER479" s="10"/>
      <c r="ES479" s="10"/>
      <c r="ET479" s="10"/>
      <c r="EU479" s="10"/>
    </row>
    <row r="480" spans="2:151" x14ac:dyDescent="0.4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/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  <c r="EN480" s="8"/>
      <c r="EO480" s="8"/>
      <c r="EP480" s="8"/>
      <c r="EQ480" s="8"/>
      <c r="ER480" s="8"/>
      <c r="ES480" s="8"/>
      <c r="ET480" s="8"/>
      <c r="EU480" s="8"/>
    </row>
    <row r="481" spans="2:151" x14ac:dyDescent="0.4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/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  <c r="EN481" s="8"/>
      <c r="EO481" s="8"/>
      <c r="EP481" s="8"/>
      <c r="EQ481" s="8"/>
      <c r="ER481" s="8"/>
      <c r="ES481" s="8"/>
      <c r="ET481" s="8"/>
      <c r="EU481" s="8"/>
    </row>
    <row r="482" spans="2:151" x14ac:dyDescent="0.4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/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  <c r="EN482" s="8"/>
      <c r="EO482" s="8"/>
      <c r="EP482" s="8"/>
      <c r="EQ482" s="8"/>
      <c r="ER482" s="8"/>
      <c r="ES482" s="8"/>
      <c r="ET482" s="8"/>
      <c r="EU482" s="8"/>
    </row>
    <row r="483" spans="2:151" x14ac:dyDescent="0.4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  <c r="EN483" s="8"/>
      <c r="EO483" s="8"/>
      <c r="EP483" s="8"/>
      <c r="EQ483" s="8"/>
      <c r="ER483" s="8"/>
      <c r="ES483" s="8"/>
      <c r="ET483" s="8"/>
      <c r="EU483" s="8"/>
    </row>
    <row r="484" spans="2:151" x14ac:dyDescent="0.4"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  <c r="BA484" s="10"/>
      <c r="BB484" s="10"/>
      <c r="BC484" s="10"/>
      <c r="BD484" s="10"/>
      <c r="BE484" s="10"/>
      <c r="BF484" s="10"/>
      <c r="BG484" s="10"/>
      <c r="BH484" s="10"/>
      <c r="BI484" s="10"/>
      <c r="BJ484" s="10"/>
      <c r="BK484" s="10"/>
      <c r="BL484" s="10"/>
      <c r="BM484" s="10"/>
      <c r="BN484" s="10"/>
      <c r="BO484" s="10"/>
      <c r="BP484" s="10"/>
      <c r="BQ484" s="10"/>
      <c r="BR484" s="10"/>
      <c r="BS484" s="10"/>
      <c r="BT484" s="10"/>
      <c r="BU484" s="10"/>
      <c r="BV484" s="10"/>
      <c r="BW484" s="10"/>
      <c r="BX484" s="10"/>
      <c r="BY484" s="10"/>
      <c r="BZ484" s="10"/>
      <c r="CA484" s="10"/>
      <c r="CB484" s="10"/>
      <c r="CC484" s="10"/>
      <c r="CD484" s="10"/>
      <c r="CE484" s="10"/>
      <c r="CF484" s="10"/>
      <c r="CG484" s="10"/>
      <c r="CH484" s="10"/>
      <c r="CI484" s="10"/>
      <c r="CJ484" s="10"/>
      <c r="CK484" s="10"/>
      <c r="CL484" s="10"/>
      <c r="CM484" s="10"/>
      <c r="CN484" s="10"/>
      <c r="CO484" s="10"/>
      <c r="CP484" s="10"/>
      <c r="CQ484" s="10"/>
      <c r="CR484" s="10"/>
      <c r="CS484" s="10"/>
      <c r="CT484" s="10"/>
      <c r="CU484" s="10"/>
      <c r="CV484" s="10"/>
      <c r="CW484" s="10"/>
      <c r="CX484" s="10"/>
      <c r="CY484" s="10"/>
      <c r="CZ484" s="10"/>
      <c r="DA484" s="10"/>
      <c r="DB484" s="10"/>
      <c r="DC484" s="10"/>
      <c r="DD484" s="10"/>
      <c r="DE484" s="10"/>
      <c r="DF484" s="10"/>
      <c r="DG484" s="10"/>
      <c r="DH484" s="10"/>
      <c r="DI484" s="10"/>
      <c r="DJ484" s="10"/>
      <c r="DK484" s="10"/>
      <c r="DL484" s="10"/>
      <c r="DM484" s="10"/>
      <c r="DN484" s="10"/>
      <c r="DO484" s="10"/>
      <c r="DP484" s="10"/>
      <c r="DQ484" s="10"/>
      <c r="DR484" s="10"/>
      <c r="DS484" s="10"/>
      <c r="DT484" s="10"/>
      <c r="DU484" s="10"/>
      <c r="DV484" s="10"/>
      <c r="DW484" s="10"/>
      <c r="DX484" s="10"/>
      <c r="DY484" s="10"/>
      <c r="DZ484" s="10"/>
      <c r="EA484" s="10"/>
      <c r="EB484" s="10"/>
      <c r="EC484" s="10"/>
      <c r="ED484" s="10"/>
      <c r="EE484" s="10"/>
      <c r="EF484" s="10"/>
      <c r="EG484" s="10"/>
      <c r="EH484" s="10"/>
      <c r="EI484" s="10"/>
      <c r="EJ484" s="10"/>
      <c r="EK484" s="10"/>
      <c r="EL484" s="10"/>
      <c r="EM484" s="10"/>
      <c r="EN484" s="10"/>
      <c r="EO484" s="10"/>
      <c r="EP484" s="10"/>
      <c r="EQ484" s="10"/>
      <c r="ER484" s="10"/>
      <c r="ES484" s="10"/>
      <c r="ET484" s="10"/>
      <c r="EU484" s="10"/>
    </row>
    <row r="485" spans="2:151" x14ac:dyDescent="0.4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/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  <c r="EN485" s="8"/>
      <c r="EO485" s="8"/>
      <c r="EP485" s="8"/>
      <c r="EQ485" s="8"/>
      <c r="ER485" s="8"/>
      <c r="ES485" s="8"/>
      <c r="ET485" s="8"/>
      <c r="EU485" s="8"/>
    </row>
    <row r="486" spans="2:151" x14ac:dyDescent="0.4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  <c r="EN486" s="8"/>
      <c r="EO486" s="8"/>
      <c r="EP486" s="8"/>
      <c r="EQ486" s="8"/>
      <c r="ER486" s="8"/>
      <c r="ES486" s="8"/>
      <c r="ET486" s="8"/>
      <c r="EU486" s="8"/>
    </row>
    <row r="487" spans="2:151" x14ac:dyDescent="0.4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/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/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  <c r="EN487" s="8"/>
      <c r="EO487" s="8"/>
      <c r="EP487" s="8"/>
      <c r="EQ487" s="8"/>
      <c r="ER487" s="8"/>
      <c r="ES487" s="8"/>
      <c r="ET487" s="8"/>
      <c r="EU487" s="8"/>
    </row>
    <row r="488" spans="2:151" x14ac:dyDescent="0.4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  <c r="EN488" s="8"/>
      <c r="EO488" s="8"/>
      <c r="EP488" s="8"/>
      <c r="EQ488" s="8"/>
      <c r="ER488" s="8"/>
      <c r="ES488" s="8"/>
      <c r="ET488" s="8"/>
      <c r="EU488" s="8"/>
    </row>
    <row r="489" spans="2:151" x14ac:dyDescent="0.4"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  <c r="BA489" s="10"/>
      <c r="BB489" s="10"/>
      <c r="BC489" s="10"/>
      <c r="BD489" s="10"/>
      <c r="BE489" s="10"/>
      <c r="BF489" s="10"/>
      <c r="BG489" s="10"/>
      <c r="BH489" s="10"/>
      <c r="BI489" s="10"/>
      <c r="BJ489" s="10"/>
      <c r="BK489" s="10"/>
      <c r="BL489" s="10"/>
      <c r="BM489" s="10"/>
      <c r="BN489" s="10"/>
      <c r="BO489" s="10"/>
      <c r="BP489" s="10"/>
      <c r="BQ489" s="10"/>
      <c r="BR489" s="10"/>
      <c r="BS489" s="10"/>
      <c r="BT489" s="10"/>
      <c r="BU489" s="10"/>
      <c r="BV489" s="10"/>
      <c r="BW489" s="10"/>
      <c r="BX489" s="10"/>
      <c r="BY489" s="10"/>
      <c r="BZ489" s="10"/>
      <c r="CA489" s="10"/>
      <c r="CB489" s="10"/>
      <c r="CC489" s="10"/>
      <c r="CD489" s="10"/>
      <c r="CE489" s="10"/>
      <c r="CF489" s="10"/>
      <c r="CG489" s="10"/>
      <c r="CH489" s="10"/>
      <c r="CI489" s="10"/>
      <c r="CJ489" s="10"/>
      <c r="CK489" s="10"/>
      <c r="CL489" s="10"/>
      <c r="CM489" s="10"/>
      <c r="CN489" s="10"/>
      <c r="CO489" s="10"/>
      <c r="CP489" s="10"/>
      <c r="CQ489" s="10"/>
      <c r="CR489" s="10"/>
      <c r="CS489" s="10"/>
      <c r="CT489" s="10"/>
      <c r="CU489" s="10"/>
      <c r="CV489" s="10"/>
      <c r="CW489" s="10"/>
      <c r="CX489" s="10"/>
      <c r="CY489" s="10"/>
      <c r="CZ489" s="10"/>
      <c r="DA489" s="10"/>
      <c r="DB489" s="10"/>
      <c r="DC489" s="10"/>
      <c r="DD489" s="10"/>
      <c r="DE489" s="10"/>
      <c r="DF489" s="10"/>
      <c r="DG489" s="10"/>
      <c r="DH489" s="10"/>
      <c r="DI489" s="10"/>
      <c r="DJ489" s="10"/>
      <c r="DK489" s="10"/>
      <c r="DL489" s="10"/>
      <c r="DM489" s="10"/>
      <c r="DN489" s="10"/>
      <c r="DO489" s="10"/>
      <c r="DP489" s="10"/>
      <c r="DQ489" s="10"/>
      <c r="DR489" s="10"/>
      <c r="DS489" s="10"/>
      <c r="DT489" s="10"/>
      <c r="DU489" s="10"/>
      <c r="DV489" s="10"/>
      <c r="DW489" s="10"/>
      <c r="DX489" s="10"/>
      <c r="DY489" s="10"/>
      <c r="DZ489" s="10"/>
      <c r="EA489" s="10"/>
      <c r="EB489" s="10"/>
      <c r="EC489" s="10"/>
      <c r="ED489" s="10"/>
      <c r="EE489" s="10"/>
      <c r="EF489" s="10"/>
      <c r="EG489" s="10"/>
      <c r="EH489" s="10"/>
      <c r="EI489" s="10"/>
      <c r="EJ489" s="10"/>
      <c r="EK489" s="10"/>
      <c r="EL489" s="10"/>
      <c r="EM489" s="10"/>
      <c r="EN489" s="10"/>
      <c r="EO489" s="10"/>
      <c r="EP489" s="10"/>
      <c r="EQ489" s="10"/>
      <c r="ER489" s="10"/>
      <c r="ES489" s="10"/>
      <c r="ET489" s="10"/>
      <c r="EU489" s="10"/>
    </row>
    <row r="490" spans="2:151" x14ac:dyDescent="0.4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  <c r="EN490" s="8"/>
      <c r="EO490" s="8"/>
      <c r="EP490" s="8"/>
      <c r="EQ490" s="8"/>
      <c r="ER490" s="8"/>
      <c r="ES490" s="8"/>
      <c r="ET490" s="8"/>
      <c r="EU490" s="8"/>
    </row>
    <row r="491" spans="2:151" x14ac:dyDescent="0.4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/>
      <c r="EL491" s="8"/>
      <c r="EM491" s="8"/>
      <c r="EN491" s="8"/>
      <c r="EO491" s="8"/>
      <c r="EP491" s="8"/>
      <c r="EQ491" s="8"/>
      <c r="ER491" s="8"/>
      <c r="ES491" s="8"/>
      <c r="ET491" s="8"/>
      <c r="EU491" s="8"/>
    </row>
    <row r="492" spans="2:151" x14ac:dyDescent="0.4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  <c r="EN492" s="8"/>
      <c r="EO492" s="8"/>
      <c r="EP492" s="8"/>
      <c r="EQ492" s="8"/>
      <c r="ER492" s="8"/>
      <c r="ES492" s="8"/>
      <c r="ET492" s="8"/>
      <c r="EU492" s="8"/>
    </row>
    <row r="493" spans="2:151" x14ac:dyDescent="0.4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  <c r="EN493" s="8"/>
      <c r="EO493" s="8"/>
      <c r="EP493" s="8"/>
      <c r="EQ493" s="8"/>
      <c r="ER493" s="8"/>
      <c r="ES493" s="8"/>
      <c r="ET493" s="8"/>
      <c r="EU493" s="8"/>
    </row>
    <row r="494" spans="2:151" x14ac:dyDescent="0.4"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  <c r="BA494" s="10"/>
      <c r="BB494" s="10"/>
      <c r="BC494" s="10"/>
      <c r="BD494" s="10"/>
      <c r="BE494" s="10"/>
      <c r="BF494" s="10"/>
      <c r="BG494" s="10"/>
      <c r="BH494" s="10"/>
      <c r="BI494" s="10"/>
      <c r="BJ494" s="10"/>
      <c r="BK494" s="10"/>
      <c r="BL494" s="10"/>
      <c r="BM494" s="10"/>
      <c r="BN494" s="10"/>
      <c r="BO494" s="10"/>
      <c r="BP494" s="10"/>
      <c r="BQ494" s="10"/>
      <c r="BR494" s="10"/>
      <c r="BS494" s="10"/>
      <c r="BT494" s="10"/>
      <c r="BU494" s="10"/>
      <c r="BV494" s="10"/>
      <c r="BW494" s="10"/>
      <c r="BX494" s="10"/>
      <c r="BY494" s="10"/>
      <c r="BZ494" s="10"/>
      <c r="CA494" s="10"/>
      <c r="CB494" s="10"/>
      <c r="CC494" s="10"/>
      <c r="CD494" s="10"/>
      <c r="CE494" s="10"/>
      <c r="CF494" s="10"/>
      <c r="CG494" s="10"/>
      <c r="CH494" s="10"/>
      <c r="CI494" s="10"/>
      <c r="CJ494" s="10"/>
      <c r="CK494" s="10"/>
      <c r="CL494" s="10"/>
      <c r="CM494" s="10"/>
      <c r="CN494" s="10"/>
      <c r="CO494" s="10"/>
      <c r="CP494" s="10"/>
      <c r="CQ494" s="10"/>
      <c r="CR494" s="10"/>
      <c r="CS494" s="10"/>
      <c r="CT494" s="10"/>
      <c r="CU494" s="10"/>
      <c r="CV494" s="10"/>
      <c r="CW494" s="10"/>
      <c r="CX494" s="10"/>
      <c r="CY494" s="10"/>
      <c r="CZ494" s="10"/>
      <c r="DA494" s="10"/>
      <c r="DB494" s="10"/>
      <c r="DC494" s="10"/>
      <c r="DD494" s="10"/>
      <c r="DE494" s="10"/>
      <c r="DF494" s="10"/>
      <c r="DG494" s="10"/>
      <c r="DH494" s="10"/>
      <c r="DI494" s="10"/>
      <c r="DJ494" s="10"/>
      <c r="DK494" s="10"/>
      <c r="DL494" s="10"/>
      <c r="DM494" s="10"/>
      <c r="DN494" s="10"/>
      <c r="DO494" s="10"/>
      <c r="DP494" s="10"/>
      <c r="DQ494" s="10"/>
      <c r="DR494" s="10"/>
      <c r="DS494" s="10"/>
      <c r="DT494" s="10"/>
      <c r="DU494" s="10"/>
      <c r="DV494" s="10"/>
      <c r="DW494" s="10"/>
      <c r="DX494" s="10"/>
      <c r="DY494" s="10"/>
      <c r="DZ494" s="10"/>
      <c r="EA494" s="10"/>
      <c r="EB494" s="10"/>
      <c r="EC494" s="10"/>
      <c r="ED494" s="10"/>
      <c r="EE494" s="10"/>
      <c r="EF494" s="10"/>
      <c r="EG494" s="10"/>
      <c r="EH494" s="10"/>
      <c r="EI494" s="10"/>
      <c r="EJ494" s="10"/>
      <c r="EK494" s="10"/>
      <c r="EL494" s="10"/>
      <c r="EM494" s="10"/>
      <c r="EN494" s="10"/>
      <c r="EO494" s="10"/>
      <c r="EP494" s="10"/>
      <c r="EQ494" s="10"/>
      <c r="ER494" s="10"/>
      <c r="ES494" s="10"/>
      <c r="ET494" s="10"/>
      <c r="EU494" s="10"/>
    </row>
    <row r="495" spans="2:151" x14ac:dyDescent="0.4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/>
      <c r="EL495" s="8"/>
      <c r="EM495" s="8"/>
      <c r="EN495" s="8"/>
      <c r="EO495" s="8"/>
      <c r="EP495" s="8"/>
      <c r="EQ495" s="8"/>
      <c r="ER495" s="8"/>
      <c r="ES495" s="8"/>
      <c r="ET495" s="8"/>
      <c r="EU495" s="8"/>
    </row>
    <row r="496" spans="2:151" x14ac:dyDescent="0.4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  <c r="CY496" s="8"/>
      <c r="CZ496" s="8"/>
      <c r="DA496" s="8"/>
      <c r="DB496" s="8"/>
      <c r="DC496" s="8"/>
      <c r="DD496" s="8"/>
      <c r="DE496" s="8"/>
      <c r="DF496" s="8"/>
      <c r="DG496" s="8"/>
      <c r="DH496" s="8"/>
      <c r="DI496" s="8"/>
      <c r="DJ496" s="8"/>
      <c r="DK496" s="8"/>
      <c r="DL496" s="8"/>
      <c r="DM496" s="8"/>
      <c r="DN496" s="8"/>
      <c r="DO496" s="8"/>
      <c r="DP496" s="8"/>
      <c r="DQ496" s="8"/>
      <c r="DR496" s="8"/>
      <c r="DS496" s="8"/>
      <c r="DT496" s="8"/>
      <c r="DU496" s="8"/>
      <c r="DV496" s="8"/>
      <c r="DW496" s="8"/>
      <c r="DX496" s="8"/>
      <c r="DY496" s="8"/>
      <c r="DZ496" s="8"/>
      <c r="EA496" s="8"/>
      <c r="EB496" s="8"/>
      <c r="EC496" s="8"/>
      <c r="ED496" s="8"/>
      <c r="EE496" s="8"/>
      <c r="EF496" s="8"/>
      <c r="EG496" s="8"/>
      <c r="EH496" s="8"/>
      <c r="EI496" s="8"/>
      <c r="EJ496" s="8"/>
      <c r="EK496" s="8"/>
      <c r="EL496" s="8"/>
      <c r="EM496" s="8"/>
      <c r="EN496" s="8"/>
      <c r="EO496" s="8"/>
      <c r="EP496" s="8"/>
      <c r="EQ496" s="8"/>
      <c r="ER496" s="8"/>
      <c r="ES496" s="8"/>
      <c r="ET496" s="8"/>
      <c r="EU496" s="8"/>
    </row>
    <row r="497" spans="2:151" x14ac:dyDescent="0.4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  <c r="CY497" s="8"/>
      <c r="CZ497" s="8"/>
      <c r="DA497" s="8"/>
      <c r="DB497" s="8"/>
      <c r="DC497" s="8"/>
      <c r="DD497" s="8"/>
      <c r="DE497" s="8"/>
      <c r="DF497" s="8"/>
      <c r="DG497" s="8"/>
      <c r="DH497" s="8"/>
      <c r="DI497" s="8"/>
      <c r="DJ497" s="8"/>
      <c r="DK497" s="8"/>
      <c r="DL497" s="8"/>
      <c r="DM497" s="8"/>
      <c r="DN497" s="8"/>
      <c r="DO497" s="8"/>
      <c r="DP497" s="8"/>
      <c r="DQ497" s="8"/>
      <c r="DR497" s="8"/>
      <c r="DS497" s="8"/>
      <c r="DT497" s="8"/>
      <c r="DU497" s="8"/>
      <c r="DV497" s="8"/>
      <c r="DW497" s="8"/>
      <c r="DX497" s="8"/>
      <c r="DY497" s="8"/>
      <c r="DZ497" s="8"/>
      <c r="EA497" s="8"/>
      <c r="EB497" s="8"/>
      <c r="EC497" s="8"/>
      <c r="ED497" s="8"/>
      <c r="EE497" s="8"/>
      <c r="EF497" s="8"/>
      <c r="EG497" s="8"/>
      <c r="EH497" s="8"/>
      <c r="EI497" s="8"/>
      <c r="EJ497" s="8"/>
      <c r="EK497" s="8"/>
      <c r="EL497" s="8"/>
      <c r="EM497" s="8"/>
      <c r="EN497" s="8"/>
      <c r="EO497" s="8"/>
      <c r="EP497" s="8"/>
      <c r="EQ497" s="8"/>
      <c r="ER497" s="8"/>
      <c r="ES497" s="8"/>
      <c r="ET497" s="8"/>
      <c r="EU497" s="8"/>
    </row>
    <row r="498" spans="2:151" x14ac:dyDescent="0.4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  <c r="CY498" s="8"/>
      <c r="CZ498" s="8"/>
      <c r="DA498" s="8"/>
      <c r="DB498" s="8"/>
      <c r="DC498" s="8"/>
      <c r="DD498" s="8"/>
      <c r="DE498" s="8"/>
      <c r="DF498" s="8"/>
      <c r="DG498" s="8"/>
      <c r="DH498" s="8"/>
      <c r="DI498" s="8"/>
      <c r="DJ498" s="8"/>
      <c r="DK498" s="8"/>
      <c r="DL498" s="8"/>
      <c r="DM498" s="8"/>
      <c r="DN498" s="8"/>
      <c r="DO498" s="8"/>
      <c r="DP498" s="8"/>
      <c r="DQ498" s="8"/>
      <c r="DR498" s="8"/>
      <c r="DS498" s="8"/>
      <c r="DT498" s="8"/>
      <c r="DU498" s="8"/>
      <c r="DV498" s="8"/>
      <c r="DW498" s="8"/>
      <c r="DX498" s="8"/>
      <c r="DY498" s="8"/>
      <c r="DZ498" s="8"/>
      <c r="EA498" s="8"/>
      <c r="EB498" s="8"/>
      <c r="EC498" s="8"/>
      <c r="ED498" s="8"/>
      <c r="EE498" s="8"/>
      <c r="EF498" s="8"/>
      <c r="EG498" s="8"/>
      <c r="EH498" s="8"/>
      <c r="EI498" s="8"/>
      <c r="EJ498" s="8"/>
      <c r="EK498" s="8"/>
      <c r="EL498" s="8"/>
      <c r="EM498" s="8"/>
      <c r="EN498" s="8"/>
      <c r="EO498" s="8"/>
      <c r="EP498" s="8"/>
      <c r="EQ498" s="8"/>
      <c r="ER498" s="8"/>
      <c r="ES498" s="8"/>
      <c r="ET498" s="8"/>
      <c r="EU498" s="8"/>
    </row>
    <row r="499" spans="2:151" x14ac:dyDescent="0.4"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  <c r="BA499" s="10"/>
      <c r="BB499" s="10"/>
      <c r="BC499" s="10"/>
      <c r="BD499" s="10"/>
      <c r="BE499" s="10"/>
      <c r="BF499" s="10"/>
      <c r="BG499" s="10"/>
      <c r="BH499" s="10"/>
      <c r="BI499" s="10"/>
      <c r="BJ499" s="10"/>
      <c r="BK499" s="10"/>
      <c r="BL499" s="10"/>
      <c r="BM499" s="10"/>
      <c r="BN499" s="10"/>
      <c r="BO499" s="10"/>
      <c r="BP499" s="10"/>
      <c r="BQ499" s="10"/>
      <c r="BR499" s="10"/>
      <c r="BS499" s="10"/>
      <c r="BT499" s="10"/>
      <c r="BU499" s="10"/>
      <c r="BV499" s="10"/>
      <c r="BW499" s="10"/>
      <c r="BX499" s="10"/>
      <c r="BY499" s="10"/>
      <c r="BZ499" s="10"/>
      <c r="CA499" s="10"/>
      <c r="CB499" s="10"/>
      <c r="CC499" s="10"/>
      <c r="CD499" s="10"/>
      <c r="CE499" s="10"/>
      <c r="CF499" s="10"/>
      <c r="CG499" s="10"/>
      <c r="CH499" s="10"/>
      <c r="CI499" s="10"/>
      <c r="CJ499" s="10"/>
      <c r="CK499" s="10"/>
      <c r="CL499" s="10"/>
      <c r="CM499" s="10"/>
      <c r="CN499" s="10"/>
      <c r="CO499" s="10"/>
      <c r="CP499" s="10"/>
      <c r="CQ499" s="10"/>
      <c r="CR499" s="10"/>
      <c r="CS499" s="10"/>
      <c r="CT499" s="10"/>
      <c r="CU499" s="10"/>
      <c r="CV499" s="10"/>
      <c r="CW499" s="10"/>
      <c r="CX499" s="10"/>
      <c r="CY499" s="10"/>
      <c r="CZ499" s="10"/>
      <c r="DA499" s="10"/>
      <c r="DB499" s="10"/>
      <c r="DC499" s="10"/>
      <c r="DD499" s="10"/>
      <c r="DE499" s="10"/>
      <c r="DF499" s="10"/>
      <c r="DG499" s="10"/>
      <c r="DH499" s="10"/>
      <c r="DI499" s="10"/>
      <c r="DJ499" s="10"/>
      <c r="DK499" s="10"/>
      <c r="DL499" s="10"/>
      <c r="DM499" s="10"/>
      <c r="DN499" s="10"/>
      <c r="DO499" s="10"/>
      <c r="DP499" s="10"/>
      <c r="DQ499" s="10"/>
      <c r="DR499" s="10"/>
      <c r="DS499" s="10"/>
      <c r="DT499" s="10"/>
      <c r="DU499" s="10"/>
      <c r="DV499" s="10"/>
      <c r="DW499" s="10"/>
      <c r="DX499" s="10"/>
      <c r="DY499" s="10"/>
      <c r="DZ499" s="10"/>
      <c r="EA499" s="10"/>
      <c r="EB499" s="10"/>
      <c r="EC499" s="10"/>
      <c r="ED499" s="10"/>
      <c r="EE499" s="10"/>
      <c r="EF499" s="10"/>
      <c r="EG499" s="10"/>
      <c r="EH499" s="10"/>
      <c r="EI499" s="10"/>
      <c r="EJ499" s="10"/>
      <c r="EK499" s="10"/>
      <c r="EL499" s="10"/>
      <c r="EM499" s="10"/>
      <c r="EN499" s="10"/>
      <c r="EO499" s="10"/>
      <c r="EP499" s="10"/>
      <c r="EQ499" s="10"/>
      <c r="ER499" s="10"/>
      <c r="ES499" s="10"/>
      <c r="ET499" s="10"/>
      <c r="EU499" s="10"/>
    </row>
    <row r="500" spans="2:151" x14ac:dyDescent="0.4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  <c r="CY500" s="8"/>
      <c r="CZ500" s="8"/>
      <c r="DA500" s="8"/>
      <c r="DB500" s="8"/>
      <c r="DC500" s="8"/>
      <c r="DD500" s="8"/>
      <c r="DE500" s="8"/>
      <c r="DF500" s="8"/>
      <c r="DG500" s="8"/>
      <c r="DH500" s="8"/>
      <c r="DI500" s="8"/>
      <c r="DJ500" s="8"/>
      <c r="DK500" s="8"/>
      <c r="DL500" s="8"/>
      <c r="DM500" s="8"/>
      <c r="DN500" s="8"/>
      <c r="DO500" s="8"/>
      <c r="DP500" s="8"/>
      <c r="DQ500" s="8"/>
      <c r="DR500" s="8"/>
      <c r="DS500" s="8"/>
      <c r="DT500" s="8"/>
      <c r="DU500" s="8"/>
      <c r="DV500" s="8"/>
      <c r="DW500" s="8"/>
      <c r="DX500" s="8"/>
      <c r="DY500" s="8"/>
      <c r="DZ500" s="8"/>
      <c r="EA500" s="8"/>
      <c r="EB500" s="8"/>
      <c r="EC500" s="8"/>
      <c r="ED500" s="8"/>
      <c r="EE500" s="8"/>
      <c r="EF500" s="8"/>
      <c r="EG500" s="8"/>
      <c r="EH500" s="8"/>
      <c r="EI500" s="8"/>
      <c r="EJ500" s="8"/>
      <c r="EK500" s="8"/>
      <c r="EL500" s="8"/>
      <c r="EM500" s="8"/>
      <c r="EN500" s="8"/>
      <c r="EO500" s="8"/>
      <c r="EP500" s="8"/>
      <c r="EQ500" s="8"/>
      <c r="ER500" s="8"/>
      <c r="ES500" s="8"/>
      <c r="ET500" s="8"/>
      <c r="EU500" s="8"/>
    </row>
    <row r="501" spans="2:151" x14ac:dyDescent="0.4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  <c r="CQ501" s="8"/>
      <c r="CR501" s="8"/>
      <c r="CS501" s="8"/>
      <c r="CT501" s="8"/>
      <c r="CU501" s="8"/>
      <c r="CV501" s="8"/>
      <c r="CW501" s="8"/>
      <c r="CX501" s="8"/>
      <c r="CY501" s="8"/>
      <c r="CZ501" s="8"/>
      <c r="DA501" s="8"/>
      <c r="DB501" s="8"/>
      <c r="DC501" s="8"/>
      <c r="DD501" s="8"/>
      <c r="DE501" s="8"/>
      <c r="DF501" s="8"/>
      <c r="DG501" s="8"/>
      <c r="DH501" s="8"/>
      <c r="DI501" s="8"/>
      <c r="DJ501" s="8"/>
      <c r="DK501" s="8"/>
      <c r="DL501" s="8"/>
      <c r="DM501" s="8"/>
      <c r="DN501" s="8"/>
      <c r="DO501" s="8"/>
      <c r="DP501" s="8"/>
      <c r="DQ501" s="8"/>
      <c r="DR501" s="8"/>
      <c r="DS501" s="8"/>
      <c r="DT501" s="8"/>
      <c r="DU501" s="8"/>
      <c r="DV501" s="8"/>
      <c r="DW501" s="8"/>
      <c r="DX501" s="8"/>
      <c r="DY501" s="8"/>
      <c r="DZ501" s="8"/>
      <c r="EA501" s="8"/>
      <c r="EB501" s="8"/>
      <c r="EC501" s="8"/>
      <c r="ED501" s="8"/>
      <c r="EE501" s="8"/>
      <c r="EF501" s="8"/>
      <c r="EG501" s="8"/>
      <c r="EH501" s="8"/>
      <c r="EI501" s="8"/>
      <c r="EJ501" s="8"/>
      <c r="EK501" s="8"/>
      <c r="EL501" s="8"/>
      <c r="EM501" s="8"/>
      <c r="EN501" s="8"/>
      <c r="EO501" s="8"/>
      <c r="EP501" s="8"/>
      <c r="EQ501" s="8"/>
      <c r="ER501" s="8"/>
      <c r="ES501" s="8"/>
      <c r="ET501" s="8"/>
      <c r="EU501" s="8"/>
    </row>
    <row r="502" spans="2:151" x14ac:dyDescent="0.4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  <c r="CQ502" s="8"/>
      <c r="CR502" s="8"/>
      <c r="CS502" s="8"/>
      <c r="CT502" s="8"/>
      <c r="CU502" s="8"/>
      <c r="CV502" s="8"/>
      <c r="CW502" s="8"/>
      <c r="CX502" s="8"/>
      <c r="CY502" s="8"/>
      <c r="CZ502" s="8"/>
      <c r="DA502" s="8"/>
      <c r="DB502" s="8"/>
      <c r="DC502" s="8"/>
      <c r="DD502" s="8"/>
      <c r="DE502" s="8"/>
      <c r="DF502" s="8"/>
      <c r="DG502" s="8"/>
      <c r="DH502" s="8"/>
      <c r="DI502" s="8"/>
      <c r="DJ502" s="8"/>
      <c r="DK502" s="8"/>
      <c r="DL502" s="8"/>
      <c r="DM502" s="8"/>
      <c r="DN502" s="8"/>
      <c r="DO502" s="8"/>
      <c r="DP502" s="8"/>
      <c r="DQ502" s="8"/>
      <c r="DR502" s="8"/>
      <c r="DS502" s="8"/>
      <c r="DT502" s="8"/>
      <c r="DU502" s="8"/>
      <c r="DV502" s="8"/>
      <c r="DW502" s="8"/>
      <c r="DX502" s="8"/>
      <c r="DY502" s="8"/>
      <c r="DZ502" s="8"/>
      <c r="EA502" s="8"/>
      <c r="EB502" s="8"/>
      <c r="EC502" s="8"/>
      <c r="ED502" s="8"/>
      <c r="EE502" s="8"/>
      <c r="EF502" s="8"/>
      <c r="EG502" s="8"/>
      <c r="EH502" s="8"/>
      <c r="EI502" s="8"/>
      <c r="EJ502" s="8"/>
      <c r="EK502" s="8"/>
      <c r="EL502" s="8"/>
      <c r="EM502" s="8"/>
      <c r="EN502" s="8"/>
      <c r="EO502" s="8"/>
      <c r="EP502" s="8"/>
      <c r="EQ502" s="8"/>
      <c r="ER502" s="8"/>
      <c r="ES502" s="8"/>
      <c r="ET502" s="8"/>
      <c r="EU502" s="8"/>
    </row>
    <row r="503" spans="2:151" x14ac:dyDescent="0.4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  <c r="CQ503" s="8"/>
      <c r="CR503" s="8"/>
      <c r="CS503" s="8"/>
      <c r="CT503" s="8"/>
      <c r="CU503" s="8"/>
      <c r="CV503" s="8"/>
      <c r="CW503" s="8"/>
      <c r="CX503" s="8"/>
      <c r="CY503" s="8"/>
      <c r="CZ503" s="8"/>
      <c r="DA503" s="8"/>
      <c r="DB503" s="8"/>
      <c r="DC503" s="8"/>
      <c r="DD503" s="8"/>
      <c r="DE503" s="8"/>
      <c r="DF503" s="8"/>
      <c r="DG503" s="8"/>
      <c r="DH503" s="8"/>
      <c r="DI503" s="8"/>
      <c r="DJ503" s="8"/>
      <c r="DK503" s="8"/>
      <c r="DL503" s="8"/>
      <c r="DM503" s="8"/>
      <c r="DN503" s="8"/>
      <c r="DO503" s="8"/>
      <c r="DP503" s="8"/>
      <c r="DQ503" s="8"/>
      <c r="DR503" s="8"/>
      <c r="DS503" s="8"/>
      <c r="DT503" s="8"/>
      <c r="DU503" s="8"/>
      <c r="DV503" s="8"/>
      <c r="DW503" s="8"/>
      <c r="DX503" s="8"/>
      <c r="DY503" s="8"/>
      <c r="DZ503" s="8"/>
      <c r="EA503" s="8"/>
      <c r="EB503" s="8"/>
      <c r="EC503" s="8"/>
      <c r="ED503" s="8"/>
      <c r="EE503" s="8"/>
      <c r="EF503" s="8"/>
      <c r="EG503" s="8"/>
      <c r="EH503" s="8"/>
      <c r="EI503" s="8"/>
      <c r="EJ503" s="8"/>
      <c r="EK503" s="8"/>
      <c r="EL503" s="8"/>
      <c r="EM503" s="8"/>
      <c r="EN503" s="8"/>
      <c r="EO503" s="8"/>
      <c r="EP503" s="8"/>
      <c r="EQ503" s="8"/>
      <c r="ER503" s="8"/>
      <c r="ES503" s="8"/>
      <c r="ET503" s="8"/>
      <c r="EU503" s="8"/>
    </row>
    <row r="504" spans="2:151" x14ac:dyDescent="0.4"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  <c r="BA504" s="10"/>
      <c r="BB504" s="10"/>
      <c r="BC504" s="10"/>
      <c r="BD504" s="10"/>
      <c r="BE504" s="10"/>
      <c r="BF504" s="10"/>
      <c r="BG504" s="10"/>
      <c r="BH504" s="10"/>
      <c r="BI504" s="10"/>
      <c r="BJ504" s="10"/>
      <c r="BK504" s="10"/>
      <c r="BL504" s="10"/>
      <c r="BM504" s="10"/>
      <c r="BN504" s="10"/>
      <c r="BO504" s="10"/>
      <c r="BP504" s="10"/>
      <c r="BQ504" s="10"/>
      <c r="BR504" s="10"/>
      <c r="BS504" s="10"/>
      <c r="BT504" s="10"/>
      <c r="BU504" s="10"/>
      <c r="BV504" s="10"/>
      <c r="BW504" s="10"/>
      <c r="BX504" s="10"/>
      <c r="BY504" s="10"/>
      <c r="BZ504" s="10"/>
      <c r="CA504" s="10"/>
      <c r="CB504" s="10"/>
      <c r="CC504" s="10"/>
      <c r="CD504" s="10"/>
      <c r="CE504" s="10"/>
      <c r="CF504" s="10"/>
      <c r="CG504" s="10"/>
      <c r="CH504" s="10"/>
      <c r="CI504" s="10"/>
      <c r="CJ504" s="10"/>
      <c r="CK504" s="10"/>
      <c r="CL504" s="10"/>
      <c r="CM504" s="10"/>
      <c r="CN504" s="10"/>
      <c r="CO504" s="10"/>
      <c r="CP504" s="10"/>
      <c r="CQ504" s="10"/>
      <c r="CR504" s="10"/>
      <c r="CS504" s="10"/>
      <c r="CT504" s="10"/>
      <c r="CU504" s="10"/>
      <c r="CV504" s="10"/>
      <c r="CW504" s="10"/>
      <c r="CX504" s="10"/>
      <c r="CY504" s="10"/>
      <c r="CZ504" s="10"/>
      <c r="DA504" s="10"/>
      <c r="DB504" s="10"/>
      <c r="DC504" s="10"/>
      <c r="DD504" s="10"/>
      <c r="DE504" s="10"/>
      <c r="DF504" s="10"/>
      <c r="DG504" s="10"/>
      <c r="DH504" s="10"/>
      <c r="DI504" s="10"/>
      <c r="DJ504" s="10"/>
      <c r="DK504" s="10"/>
      <c r="DL504" s="10"/>
      <c r="DM504" s="10"/>
      <c r="DN504" s="10"/>
      <c r="DO504" s="10"/>
      <c r="DP504" s="10"/>
      <c r="DQ504" s="10"/>
      <c r="DR504" s="10"/>
      <c r="DS504" s="10"/>
      <c r="DT504" s="10"/>
      <c r="DU504" s="10"/>
      <c r="DV504" s="10"/>
      <c r="DW504" s="10"/>
      <c r="DX504" s="10"/>
      <c r="DY504" s="10"/>
      <c r="DZ504" s="10"/>
      <c r="EA504" s="10"/>
      <c r="EB504" s="10"/>
      <c r="EC504" s="10"/>
      <c r="ED504" s="10"/>
      <c r="EE504" s="10"/>
      <c r="EF504" s="10"/>
      <c r="EG504" s="10"/>
      <c r="EH504" s="10"/>
      <c r="EI504" s="10"/>
      <c r="EJ504" s="10"/>
      <c r="EK504" s="10"/>
      <c r="EL504" s="10"/>
      <c r="EM504" s="10"/>
      <c r="EN504" s="10"/>
      <c r="EO504" s="10"/>
      <c r="EP504" s="10"/>
      <c r="EQ504" s="10"/>
      <c r="ER504" s="10"/>
      <c r="ES504" s="10"/>
      <c r="ET504" s="10"/>
      <c r="EU504" s="10"/>
    </row>
    <row r="505" spans="2:151" x14ac:dyDescent="0.4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  <c r="CQ505" s="8"/>
      <c r="CR505" s="8"/>
      <c r="CS505" s="8"/>
      <c r="CT505" s="8"/>
      <c r="CU505" s="8"/>
      <c r="CV505" s="8"/>
      <c r="CW505" s="8"/>
      <c r="CX505" s="8"/>
      <c r="CY505" s="8"/>
      <c r="CZ505" s="8"/>
      <c r="DA505" s="8"/>
      <c r="DB505" s="8"/>
      <c r="DC505" s="8"/>
      <c r="DD505" s="8"/>
      <c r="DE505" s="8"/>
      <c r="DF505" s="8"/>
      <c r="DG505" s="8"/>
      <c r="DH505" s="8"/>
      <c r="DI505" s="8"/>
      <c r="DJ505" s="8"/>
      <c r="DK505" s="8"/>
      <c r="DL505" s="8"/>
      <c r="DM505" s="8"/>
      <c r="DN505" s="8"/>
      <c r="DO505" s="8"/>
      <c r="DP505" s="8"/>
      <c r="DQ505" s="8"/>
      <c r="DR505" s="8"/>
      <c r="DS505" s="8"/>
      <c r="DT505" s="8"/>
      <c r="DU505" s="8"/>
      <c r="DV505" s="8"/>
      <c r="DW505" s="8"/>
      <c r="DX505" s="8"/>
      <c r="DY505" s="8"/>
      <c r="DZ505" s="8"/>
      <c r="EA505" s="8"/>
      <c r="EB505" s="8"/>
      <c r="EC505" s="8"/>
      <c r="ED505" s="8"/>
      <c r="EE505" s="8"/>
      <c r="EF505" s="8"/>
      <c r="EG505" s="8"/>
      <c r="EH505" s="8"/>
      <c r="EI505" s="8"/>
      <c r="EJ505" s="8"/>
      <c r="EK505" s="8"/>
      <c r="EL505" s="8"/>
      <c r="EM505" s="8"/>
      <c r="EN505" s="8"/>
      <c r="EO505" s="8"/>
      <c r="EP505" s="8"/>
      <c r="EQ505" s="8"/>
      <c r="ER505" s="8"/>
      <c r="ES505" s="8"/>
      <c r="ET505" s="8"/>
      <c r="EU505" s="8"/>
    </row>
    <row r="506" spans="2:151" x14ac:dyDescent="0.4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  <c r="CQ506" s="8"/>
      <c r="CR506" s="8"/>
      <c r="CS506" s="8"/>
      <c r="CT506" s="8"/>
      <c r="CU506" s="8"/>
      <c r="CV506" s="8"/>
      <c r="CW506" s="8"/>
      <c r="CX506" s="8"/>
      <c r="CY506" s="8"/>
      <c r="CZ506" s="8"/>
      <c r="DA506" s="8"/>
      <c r="DB506" s="8"/>
      <c r="DC506" s="8"/>
      <c r="DD506" s="8"/>
      <c r="DE506" s="8"/>
      <c r="DF506" s="8"/>
      <c r="DG506" s="8"/>
      <c r="DH506" s="8"/>
      <c r="DI506" s="8"/>
      <c r="DJ506" s="8"/>
      <c r="DK506" s="8"/>
      <c r="DL506" s="8"/>
      <c r="DM506" s="8"/>
      <c r="DN506" s="8"/>
      <c r="DO506" s="8"/>
      <c r="DP506" s="8"/>
      <c r="DQ506" s="8"/>
      <c r="DR506" s="8"/>
      <c r="DS506" s="8"/>
      <c r="DT506" s="8"/>
      <c r="DU506" s="8"/>
      <c r="DV506" s="8"/>
      <c r="DW506" s="8"/>
      <c r="DX506" s="8"/>
      <c r="DY506" s="8"/>
      <c r="DZ506" s="8"/>
      <c r="EA506" s="8"/>
      <c r="EB506" s="8"/>
      <c r="EC506" s="8"/>
      <c r="ED506" s="8"/>
      <c r="EE506" s="8"/>
      <c r="EF506" s="8"/>
      <c r="EG506" s="8"/>
      <c r="EH506" s="8"/>
      <c r="EI506" s="8"/>
      <c r="EJ506" s="8"/>
      <c r="EK506" s="8"/>
      <c r="EL506" s="8"/>
      <c r="EM506" s="8"/>
      <c r="EN506" s="8"/>
      <c r="EO506" s="8"/>
      <c r="EP506" s="8"/>
      <c r="EQ506" s="8"/>
      <c r="ER506" s="8"/>
      <c r="ES506" s="8"/>
      <c r="ET506" s="8"/>
      <c r="EU506" s="8"/>
    </row>
    <row r="507" spans="2:151" x14ac:dyDescent="0.4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  <c r="CQ507" s="8"/>
      <c r="CR507" s="8"/>
      <c r="CS507" s="8"/>
      <c r="CT507" s="8"/>
      <c r="CU507" s="8"/>
      <c r="CV507" s="8"/>
      <c r="CW507" s="8"/>
      <c r="CX507" s="8"/>
      <c r="CY507" s="8"/>
      <c r="CZ507" s="8"/>
      <c r="DA507" s="8"/>
      <c r="DB507" s="8"/>
      <c r="DC507" s="8"/>
      <c r="DD507" s="8"/>
      <c r="DE507" s="8"/>
      <c r="DF507" s="8"/>
      <c r="DG507" s="8"/>
      <c r="DH507" s="8"/>
      <c r="DI507" s="8"/>
      <c r="DJ507" s="8"/>
      <c r="DK507" s="8"/>
      <c r="DL507" s="8"/>
      <c r="DM507" s="8"/>
      <c r="DN507" s="8"/>
      <c r="DO507" s="8"/>
      <c r="DP507" s="8"/>
      <c r="DQ507" s="8"/>
      <c r="DR507" s="8"/>
      <c r="DS507" s="8"/>
      <c r="DT507" s="8"/>
      <c r="DU507" s="8"/>
      <c r="DV507" s="8"/>
      <c r="DW507" s="8"/>
      <c r="DX507" s="8"/>
      <c r="DY507" s="8"/>
      <c r="DZ507" s="8"/>
      <c r="EA507" s="8"/>
      <c r="EB507" s="8"/>
      <c r="EC507" s="8"/>
      <c r="ED507" s="8"/>
      <c r="EE507" s="8"/>
      <c r="EF507" s="8"/>
      <c r="EG507" s="8"/>
      <c r="EH507" s="8"/>
      <c r="EI507" s="8"/>
      <c r="EJ507" s="8"/>
      <c r="EK507" s="8"/>
      <c r="EL507" s="8"/>
      <c r="EM507" s="8"/>
      <c r="EN507" s="8"/>
      <c r="EO507" s="8"/>
      <c r="EP507" s="8"/>
      <c r="EQ507" s="8"/>
      <c r="ER507" s="8"/>
      <c r="ES507" s="8"/>
      <c r="ET507" s="8"/>
      <c r="EU507" s="8"/>
    </row>
    <row r="508" spans="2:151" x14ac:dyDescent="0.4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  <c r="CQ508" s="8"/>
      <c r="CR508" s="8"/>
      <c r="CS508" s="8"/>
      <c r="CT508" s="8"/>
      <c r="CU508" s="8"/>
      <c r="CV508" s="8"/>
      <c r="CW508" s="8"/>
      <c r="CX508" s="8"/>
      <c r="CY508" s="8"/>
      <c r="CZ508" s="8"/>
      <c r="DA508" s="8"/>
      <c r="DB508" s="8"/>
      <c r="DC508" s="8"/>
      <c r="DD508" s="8"/>
      <c r="DE508" s="8"/>
      <c r="DF508" s="8"/>
      <c r="DG508" s="8"/>
      <c r="DH508" s="8"/>
      <c r="DI508" s="8"/>
      <c r="DJ508" s="8"/>
      <c r="DK508" s="8"/>
      <c r="DL508" s="8"/>
      <c r="DM508" s="8"/>
      <c r="DN508" s="8"/>
      <c r="DO508" s="8"/>
      <c r="DP508" s="8"/>
      <c r="DQ508" s="8"/>
      <c r="DR508" s="8"/>
      <c r="DS508" s="8"/>
      <c r="DT508" s="8"/>
      <c r="DU508" s="8"/>
      <c r="DV508" s="8"/>
      <c r="DW508" s="8"/>
      <c r="DX508" s="8"/>
      <c r="DY508" s="8"/>
      <c r="DZ508" s="8"/>
      <c r="EA508" s="8"/>
      <c r="EB508" s="8"/>
      <c r="EC508" s="8"/>
      <c r="ED508" s="8"/>
      <c r="EE508" s="8"/>
      <c r="EF508" s="8"/>
      <c r="EG508" s="8"/>
      <c r="EH508" s="8"/>
      <c r="EI508" s="8"/>
      <c r="EJ508" s="8"/>
      <c r="EK508" s="8"/>
      <c r="EL508" s="8"/>
      <c r="EM508" s="8"/>
      <c r="EN508" s="8"/>
      <c r="EO508" s="8"/>
      <c r="EP508" s="8"/>
      <c r="EQ508" s="8"/>
      <c r="ER508" s="8"/>
      <c r="ES508" s="8"/>
      <c r="ET508" s="8"/>
      <c r="EU508" s="8"/>
    </row>
    <row r="509" spans="2:151" x14ac:dyDescent="0.4"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  <c r="BA509" s="10"/>
      <c r="BB509" s="10"/>
      <c r="BC509" s="10"/>
      <c r="BD509" s="10"/>
      <c r="BE509" s="10"/>
      <c r="BF509" s="10"/>
      <c r="BG509" s="10"/>
      <c r="BH509" s="10"/>
      <c r="BI509" s="10"/>
      <c r="BJ509" s="10"/>
      <c r="BK509" s="10"/>
      <c r="BL509" s="10"/>
      <c r="BM509" s="10"/>
      <c r="BN509" s="10"/>
      <c r="BO509" s="10"/>
      <c r="BP509" s="10"/>
      <c r="BQ509" s="10"/>
      <c r="BR509" s="10"/>
      <c r="BS509" s="10"/>
      <c r="BT509" s="10"/>
      <c r="BU509" s="10"/>
      <c r="BV509" s="10"/>
      <c r="BW509" s="10"/>
      <c r="BX509" s="10"/>
      <c r="BY509" s="10"/>
      <c r="BZ509" s="10"/>
      <c r="CA509" s="10"/>
      <c r="CB509" s="10"/>
      <c r="CC509" s="10"/>
      <c r="CD509" s="10"/>
      <c r="CE509" s="10"/>
      <c r="CF509" s="10"/>
      <c r="CG509" s="10"/>
      <c r="CH509" s="10"/>
      <c r="CI509" s="10"/>
      <c r="CJ509" s="10"/>
      <c r="CK509" s="10"/>
      <c r="CL509" s="10"/>
      <c r="CM509" s="10"/>
      <c r="CN509" s="10"/>
      <c r="CO509" s="10"/>
      <c r="CP509" s="10"/>
      <c r="CQ509" s="10"/>
      <c r="CR509" s="10"/>
      <c r="CS509" s="10"/>
      <c r="CT509" s="10"/>
      <c r="CU509" s="10"/>
      <c r="CV509" s="10"/>
      <c r="CW509" s="10"/>
      <c r="CX509" s="10"/>
      <c r="CY509" s="10"/>
      <c r="CZ509" s="10"/>
      <c r="DA509" s="10"/>
      <c r="DB509" s="10"/>
      <c r="DC509" s="10"/>
      <c r="DD509" s="10"/>
      <c r="DE509" s="10"/>
      <c r="DF509" s="10"/>
      <c r="DG509" s="10"/>
      <c r="DH509" s="10"/>
      <c r="DI509" s="10"/>
      <c r="DJ509" s="10"/>
      <c r="DK509" s="10"/>
      <c r="DL509" s="10"/>
      <c r="DM509" s="10"/>
      <c r="DN509" s="10"/>
      <c r="DO509" s="10"/>
      <c r="DP509" s="10"/>
      <c r="DQ509" s="10"/>
      <c r="DR509" s="10"/>
      <c r="DS509" s="10"/>
      <c r="DT509" s="10"/>
      <c r="DU509" s="10"/>
      <c r="DV509" s="10"/>
      <c r="DW509" s="10"/>
      <c r="DX509" s="10"/>
      <c r="DY509" s="10"/>
      <c r="DZ509" s="10"/>
      <c r="EA509" s="10"/>
      <c r="EB509" s="10"/>
      <c r="EC509" s="10"/>
      <c r="ED509" s="10"/>
      <c r="EE509" s="10"/>
      <c r="EF509" s="10"/>
      <c r="EG509" s="10"/>
      <c r="EH509" s="10"/>
      <c r="EI509" s="10"/>
      <c r="EJ509" s="10"/>
      <c r="EK509" s="10"/>
      <c r="EL509" s="10"/>
      <c r="EM509" s="10"/>
      <c r="EN509" s="10"/>
      <c r="EO509" s="10"/>
      <c r="EP509" s="10"/>
      <c r="EQ509" s="10"/>
      <c r="ER509" s="10"/>
      <c r="ES509" s="10"/>
      <c r="ET509" s="10"/>
      <c r="EU509" s="10"/>
    </row>
    <row r="510" spans="2:151" x14ac:dyDescent="0.4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  <c r="ED510" s="8"/>
      <c r="EE510" s="8"/>
      <c r="EF510" s="8"/>
      <c r="EG510" s="8"/>
      <c r="EH510" s="8"/>
      <c r="EI510" s="8"/>
      <c r="EJ510" s="8"/>
      <c r="EK510" s="8"/>
      <c r="EL510" s="8"/>
      <c r="EM510" s="8"/>
      <c r="EN510" s="8"/>
      <c r="EO510" s="8"/>
      <c r="EP510" s="8"/>
      <c r="EQ510" s="8"/>
      <c r="ER510" s="8"/>
      <c r="ES510" s="8"/>
      <c r="ET510" s="8"/>
      <c r="EU510" s="8"/>
    </row>
    <row r="511" spans="2:151" x14ac:dyDescent="0.4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  <c r="ED511" s="8"/>
      <c r="EE511" s="8"/>
      <c r="EF511" s="8"/>
      <c r="EG511" s="8"/>
      <c r="EH511" s="8"/>
      <c r="EI511" s="8"/>
      <c r="EJ511" s="8"/>
      <c r="EK511" s="8"/>
      <c r="EL511" s="8"/>
      <c r="EM511" s="8"/>
      <c r="EN511" s="8"/>
      <c r="EO511" s="8"/>
      <c r="EP511" s="8"/>
      <c r="EQ511" s="8"/>
      <c r="ER511" s="8"/>
      <c r="ES511" s="8"/>
      <c r="ET511" s="8"/>
      <c r="EU511" s="8"/>
    </row>
    <row r="512" spans="2:151" x14ac:dyDescent="0.4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  <c r="ED512" s="8"/>
      <c r="EE512" s="8"/>
      <c r="EF512" s="8"/>
      <c r="EG512" s="8"/>
      <c r="EH512" s="8"/>
      <c r="EI512" s="8"/>
      <c r="EJ512" s="8"/>
      <c r="EK512" s="8"/>
      <c r="EL512" s="8"/>
      <c r="EM512" s="8"/>
      <c r="EN512" s="8"/>
      <c r="EO512" s="8"/>
      <c r="EP512" s="8"/>
      <c r="EQ512" s="8"/>
      <c r="ER512" s="8"/>
      <c r="ES512" s="8"/>
      <c r="ET512" s="8"/>
      <c r="EU512" s="8"/>
    </row>
    <row r="513" spans="2:151" x14ac:dyDescent="0.4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  <c r="ED513" s="8"/>
      <c r="EE513" s="8"/>
      <c r="EF513" s="8"/>
      <c r="EG513" s="8"/>
      <c r="EH513" s="8"/>
      <c r="EI513" s="8"/>
      <c r="EJ513" s="8"/>
      <c r="EK513" s="8"/>
      <c r="EL513" s="8"/>
      <c r="EM513" s="8"/>
      <c r="EN513" s="8"/>
      <c r="EO513" s="8"/>
      <c r="EP513" s="8"/>
      <c r="EQ513" s="8"/>
      <c r="ER513" s="8"/>
      <c r="ES513" s="8"/>
      <c r="ET513" s="8"/>
      <c r="EU513" s="8"/>
    </row>
    <row r="514" spans="2:151" x14ac:dyDescent="0.4"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  <c r="BA514" s="10"/>
      <c r="BB514" s="10"/>
      <c r="BC514" s="10"/>
      <c r="BD514" s="10"/>
      <c r="BE514" s="10"/>
      <c r="BF514" s="10"/>
      <c r="BG514" s="10"/>
      <c r="BH514" s="10"/>
      <c r="BI514" s="10"/>
      <c r="BJ514" s="10"/>
      <c r="BK514" s="10"/>
      <c r="BL514" s="10"/>
      <c r="BM514" s="10"/>
      <c r="BN514" s="10"/>
      <c r="BO514" s="10"/>
      <c r="BP514" s="10"/>
      <c r="BQ514" s="10"/>
      <c r="BR514" s="10"/>
      <c r="BS514" s="10"/>
      <c r="BT514" s="10"/>
      <c r="BU514" s="10"/>
      <c r="BV514" s="10"/>
      <c r="BW514" s="10"/>
      <c r="BX514" s="10"/>
      <c r="BY514" s="10"/>
      <c r="BZ514" s="10"/>
      <c r="CA514" s="10"/>
      <c r="CB514" s="10"/>
      <c r="CC514" s="10"/>
      <c r="CD514" s="10"/>
      <c r="CE514" s="10"/>
      <c r="CF514" s="10"/>
      <c r="CG514" s="10"/>
      <c r="CH514" s="10"/>
      <c r="CI514" s="10"/>
      <c r="CJ514" s="10"/>
      <c r="CK514" s="10"/>
      <c r="CL514" s="10"/>
      <c r="CM514" s="10"/>
      <c r="CN514" s="10"/>
      <c r="CO514" s="10"/>
      <c r="CP514" s="10"/>
      <c r="CQ514" s="10"/>
      <c r="CR514" s="10"/>
      <c r="CS514" s="10"/>
      <c r="CT514" s="10"/>
      <c r="CU514" s="10"/>
      <c r="CV514" s="10"/>
      <c r="CW514" s="10"/>
      <c r="CX514" s="10"/>
      <c r="CY514" s="10"/>
      <c r="CZ514" s="10"/>
      <c r="DA514" s="10"/>
      <c r="DB514" s="10"/>
      <c r="DC514" s="10"/>
      <c r="DD514" s="10"/>
      <c r="DE514" s="10"/>
      <c r="DF514" s="10"/>
      <c r="DG514" s="10"/>
      <c r="DH514" s="10"/>
      <c r="DI514" s="10"/>
      <c r="DJ514" s="10"/>
      <c r="DK514" s="10"/>
      <c r="DL514" s="10"/>
      <c r="DM514" s="10"/>
      <c r="DN514" s="10"/>
      <c r="DO514" s="10"/>
      <c r="DP514" s="10"/>
      <c r="DQ514" s="10"/>
      <c r="DR514" s="10"/>
      <c r="DS514" s="10"/>
      <c r="DT514" s="10"/>
      <c r="DU514" s="10"/>
      <c r="DV514" s="10"/>
      <c r="DW514" s="10"/>
      <c r="DX514" s="10"/>
      <c r="DY514" s="10"/>
      <c r="DZ514" s="10"/>
      <c r="EA514" s="10"/>
      <c r="EB514" s="10"/>
      <c r="EC514" s="10"/>
      <c r="ED514" s="10"/>
      <c r="EE514" s="10"/>
      <c r="EF514" s="10"/>
      <c r="EG514" s="10"/>
      <c r="EH514" s="10"/>
      <c r="EI514" s="10"/>
      <c r="EJ514" s="10"/>
      <c r="EK514" s="10"/>
      <c r="EL514" s="10"/>
      <c r="EM514" s="10"/>
      <c r="EN514" s="10"/>
      <c r="EO514" s="10"/>
      <c r="EP514" s="10"/>
      <c r="EQ514" s="10"/>
      <c r="ER514" s="10"/>
      <c r="ES514" s="10"/>
      <c r="ET514" s="10"/>
      <c r="EU514" s="10"/>
    </row>
    <row r="515" spans="2:151" x14ac:dyDescent="0.4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  <c r="ED515" s="8"/>
      <c r="EE515" s="8"/>
      <c r="EF515" s="8"/>
      <c r="EG515" s="8"/>
      <c r="EH515" s="8"/>
      <c r="EI515" s="8"/>
      <c r="EJ515" s="8"/>
      <c r="EK515" s="8"/>
      <c r="EL515" s="8"/>
      <c r="EM515" s="8"/>
      <c r="EN515" s="8"/>
      <c r="EO515" s="8"/>
      <c r="EP515" s="8"/>
      <c r="EQ515" s="8"/>
      <c r="ER515" s="8"/>
      <c r="ES515" s="8"/>
      <c r="ET515" s="8"/>
      <c r="EU515" s="8"/>
    </row>
    <row r="516" spans="2:151" x14ac:dyDescent="0.4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  <c r="ED516" s="8"/>
      <c r="EE516" s="8"/>
      <c r="EF516" s="8"/>
      <c r="EG516" s="8"/>
      <c r="EH516" s="8"/>
      <c r="EI516" s="8"/>
      <c r="EJ516" s="8"/>
      <c r="EK516" s="8"/>
      <c r="EL516" s="8"/>
      <c r="EM516" s="8"/>
      <c r="EN516" s="8"/>
      <c r="EO516" s="8"/>
      <c r="EP516" s="8"/>
      <c r="EQ516" s="8"/>
      <c r="ER516" s="8"/>
      <c r="ES516" s="8"/>
      <c r="ET516" s="8"/>
      <c r="EU516" s="8"/>
    </row>
    <row r="517" spans="2:151" x14ac:dyDescent="0.4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  <c r="ED517" s="8"/>
      <c r="EE517" s="8"/>
      <c r="EF517" s="8"/>
      <c r="EG517" s="8"/>
      <c r="EH517" s="8"/>
      <c r="EI517" s="8"/>
      <c r="EJ517" s="8"/>
      <c r="EK517" s="8"/>
      <c r="EL517" s="8"/>
      <c r="EM517" s="8"/>
      <c r="EN517" s="8"/>
      <c r="EO517" s="8"/>
      <c r="EP517" s="8"/>
      <c r="EQ517" s="8"/>
      <c r="ER517" s="8"/>
      <c r="ES517" s="8"/>
      <c r="ET517" s="8"/>
      <c r="EU517" s="8"/>
    </row>
    <row r="518" spans="2:151" x14ac:dyDescent="0.4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  <c r="ED518" s="8"/>
      <c r="EE518" s="8"/>
      <c r="EF518" s="8"/>
      <c r="EG518" s="8"/>
      <c r="EH518" s="8"/>
      <c r="EI518" s="8"/>
      <c r="EJ518" s="8"/>
      <c r="EK518" s="8"/>
      <c r="EL518" s="8"/>
      <c r="EM518" s="8"/>
      <c r="EN518" s="8"/>
      <c r="EO518" s="8"/>
      <c r="EP518" s="8"/>
      <c r="EQ518" s="8"/>
      <c r="ER518" s="8"/>
      <c r="ES518" s="8"/>
      <c r="ET518" s="8"/>
      <c r="EU518" s="8"/>
    </row>
    <row r="519" spans="2:151" x14ac:dyDescent="0.4"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  <c r="BA519" s="10"/>
      <c r="BB519" s="10"/>
      <c r="BC519" s="10"/>
      <c r="BD519" s="10"/>
      <c r="BE519" s="10"/>
      <c r="BF519" s="10"/>
      <c r="BG519" s="10"/>
      <c r="BH519" s="10"/>
      <c r="BI519" s="10"/>
      <c r="BJ519" s="10"/>
      <c r="BK519" s="10"/>
      <c r="BL519" s="10"/>
      <c r="BM519" s="10"/>
      <c r="BN519" s="10"/>
      <c r="BO519" s="10"/>
      <c r="BP519" s="10"/>
      <c r="BQ519" s="10"/>
      <c r="BR519" s="10"/>
      <c r="BS519" s="10"/>
      <c r="BT519" s="10"/>
      <c r="BU519" s="10"/>
      <c r="BV519" s="10"/>
      <c r="BW519" s="10"/>
      <c r="BX519" s="10"/>
      <c r="BY519" s="10"/>
      <c r="BZ519" s="10"/>
      <c r="CA519" s="10"/>
      <c r="CB519" s="10"/>
      <c r="CC519" s="10"/>
      <c r="CD519" s="10"/>
      <c r="CE519" s="10"/>
      <c r="CF519" s="10"/>
      <c r="CG519" s="10"/>
      <c r="CH519" s="10"/>
      <c r="CI519" s="10"/>
      <c r="CJ519" s="10"/>
      <c r="CK519" s="10"/>
      <c r="CL519" s="10"/>
      <c r="CM519" s="10"/>
      <c r="CN519" s="10"/>
      <c r="CO519" s="10"/>
      <c r="CP519" s="10"/>
      <c r="CQ519" s="10"/>
      <c r="CR519" s="10"/>
      <c r="CS519" s="10"/>
      <c r="CT519" s="10"/>
      <c r="CU519" s="10"/>
      <c r="CV519" s="10"/>
      <c r="CW519" s="10"/>
      <c r="CX519" s="10"/>
      <c r="CY519" s="10"/>
      <c r="CZ519" s="10"/>
      <c r="DA519" s="10"/>
      <c r="DB519" s="10"/>
      <c r="DC519" s="10"/>
      <c r="DD519" s="10"/>
      <c r="DE519" s="10"/>
      <c r="DF519" s="10"/>
      <c r="DG519" s="10"/>
      <c r="DH519" s="10"/>
      <c r="DI519" s="10"/>
      <c r="DJ519" s="10"/>
      <c r="DK519" s="10"/>
      <c r="DL519" s="10"/>
      <c r="DM519" s="10"/>
      <c r="DN519" s="10"/>
      <c r="DO519" s="10"/>
      <c r="DP519" s="10"/>
      <c r="DQ519" s="10"/>
      <c r="DR519" s="10"/>
      <c r="DS519" s="10"/>
      <c r="DT519" s="10"/>
      <c r="DU519" s="10"/>
      <c r="DV519" s="10"/>
      <c r="DW519" s="10"/>
      <c r="DX519" s="10"/>
      <c r="DY519" s="10"/>
      <c r="DZ519" s="10"/>
      <c r="EA519" s="10"/>
      <c r="EB519" s="10"/>
      <c r="EC519" s="10"/>
      <c r="ED519" s="10"/>
      <c r="EE519" s="10"/>
      <c r="EF519" s="10"/>
      <c r="EG519" s="10"/>
      <c r="EH519" s="10"/>
      <c r="EI519" s="10"/>
      <c r="EJ519" s="10"/>
      <c r="EK519" s="10"/>
      <c r="EL519" s="10"/>
      <c r="EM519" s="10"/>
      <c r="EN519" s="10"/>
      <c r="EO519" s="10"/>
      <c r="EP519" s="10"/>
      <c r="EQ519" s="10"/>
      <c r="ER519" s="10"/>
      <c r="ES519" s="10"/>
      <c r="ET519" s="10"/>
      <c r="EU519" s="10"/>
    </row>
    <row r="520" spans="2:151" x14ac:dyDescent="0.4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  <c r="ED520" s="8"/>
      <c r="EE520" s="8"/>
      <c r="EF520" s="8"/>
      <c r="EG520" s="8"/>
      <c r="EH520" s="8"/>
      <c r="EI520" s="8"/>
      <c r="EJ520" s="8"/>
      <c r="EK520" s="8"/>
      <c r="EL520" s="8"/>
      <c r="EM520" s="8"/>
      <c r="EN520" s="8"/>
      <c r="EO520" s="8"/>
      <c r="EP520" s="8"/>
      <c r="EQ520" s="8"/>
      <c r="ER520" s="8"/>
      <c r="ES520" s="8"/>
      <c r="ET520" s="8"/>
      <c r="EU520" s="8"/>
    </row>
    <row r="521" spans="2:151" x14ac:dyDescent="0.4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  <c r="ED521" s="8"/>
      <c r="EE521" s="8"/>
      <c r="EF521" s="8"/>
      <c r="EG521" s="8"/>
      <c r="EH521" s="8"/>
      <c r="EI521" s="8"/>
      <c r="EJ521" s="8"/>
      <c r="EK521" s="8"/>
      <c r="EL521" s="8"/>
      <c r="EM521" s="8"/>
      <c r="EN521" s="8"/>
      <c r="EO521" s="8"/>
      <c r="EP521" s="8"/>
      <c r="EQ521" s="8"/>
      <c r="ER521" s="8"/>
      <c r="ES521" s="8"/>
      <c r="ET521" s="8"/>
      <c r="EU521" s="8"/>
    </row>
    <row r="522" spans="2:151" x14ac:dyDescent="0.4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  <c r="ED522" s="8"/>
      <c r="EE522" s="8"/>
      <c r="EF522" s="8"/>
      <c r="EG522" s="8"/>
      <c r="EH522" s="8"/>
      <c r="EI522" s="8"/>
      <c r="EJ522" s="8"/>
      <c r="EK522" s="8"/>
      <c r="EL522" s="8"/>
      <c r="EM522" s="8"/>
      <c r="EN522" s="8"/>
      <c r="EO522" s="8"/>
      <c r="EP522" s="8"/>
      <c r="EQ522" s="8"/>
      <c r="ER522" s="8"/>
      <c r="ES522" s="8"/>
      <c r="ET522" s="8"/>
      <c r="EU522" s="8"/>
    </row>
    <row r="523" spans="2:151" x14ac:dyDescent="0.4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  <c r="ED523" s="8"/>
      <c r="EE523" s="8"/>
      <c r="EF523" s="8"/>
      <c r="EG523" s="8"/>
      <c r="EH523" s="8"/>
      <c r="EI523" s="8"/>
      <c r="EJ523" s="8"/>
      <c r="EK523" s="8"/>
      <c r="EL523" s="8"/>
      <c r="EM523" s="8"/>
      <c r="EN523" s="8"/>
      <c r="EO523" s="8"/>
      <c r="EP523" s="8"/>
      <c r="EQ523" s="8"/>
      <c r="ER523" s="8"/>
      <c r="ES523" s="8"/>
      <c r="ET523" s="8"/>
      <c r="EU523" s="8"/>
    </row>
    <row r="524" spans="2:151" x14ac:dyDescent="0.4"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  <c r="BA524" s="10"/>
      <c r="BB524" s="10"/>
      <c r="BC524" s="10"/>
      <c r="BD524" s="10"/>
      <c r="BE524" s="10"/>
      <c r="BF524" s="10"/>
      <c r="BG524" s="10"/>
      <c r="BH524" s="10"/>
      <c r="BI524" s="10"/>
      <c r="BJ524" s="10"/>
      <c r="BK524" s="10"/>
      <c r="BL524" s="10"/>
      <c r="BM524" s="10"/>
      <c r="BN524" s="10"/>
      <c r="BO524" s="10"/>
      <c r="BP524" s="10"/>
      <c r="BQ524" s="10"/>
      <c r="BR524" s="10"/>
      <c r="BS524" s="10"/>
      <c r="BT524" s="10"/>
      <c r="BU524" s="10"/>
      <c r="BV524" s="10"/>
      <c r="BW524" s="10"/>
      <c r="BX524" s="10"/>
      <c r="BY524" s="10"/>
      <c r="BZ524" s="10"/>
      <c r="CA524" s="10"/>
      <c r="CB524" s="10"/>
      <c r="CC524" s="10"/>
      <c r="CD524" s="10"/>
      <c r="CE524" s="10"/>
      <c r="CF524" s="10"/>
      <c r="CG524" s="10"/>
      <c r="CH524" s="10"/>
      <c r="CI524" s="10"/>
      <c r="CJ524" s="10"/>
      <c r="CK524" s="10"/>
      <c r="CL524" s="10"/>
      <c r="CM524" s="10"/>
      <c r="CN524" s="10"/>
      <c r="CO524" s="10"/>
      <c r="CP524" s="10"/>
      <c r="CQ524" s="10"/>
      <c r="CR524" s="10"/>
      <c r="CS524" s="10"/>
      <c r="CT524" s="10"/>
      <c r="CU524" s="10"/>
      <c r="CV524" s="10"/>
      <c r="CW524" s="10"/>
      <c r="CX524" s="10"/>
      <c r="CY524" s="10"/>
      <c r="CZ524" s="10"/>
      <c r="DA524" s="10"/>
      <c r="DB524" s="10"/>
      <c r="DC524" s="10"/>
      <c r="DD524" s="10"/>
      <c r="DE524" s="10"/>
      <c r="DF524" s="10"/>
      <c r="DG524" s="10"/>
      <c r="DH524" s="10"/>
      <c r="DI524" s="10"/>
      <c r="DJ524" s="10"/>
      <c r="DK524" s="10"/>
      <c r="DL524" s="10"/>
      <c r="DM524" s="10"/>
      <c r="DN524" s="10"/>
      <c r="DO524" s="10"/>
      <c r="DP524" s="10"/>
      <c r="DQ524" s="10"/>
      <c r="DR524" s="10"/>
      <c r="DS524" s="10"/>
      <c r="DT524" s="10"/>
      <c r="DU524" s="10"/>
      <c r="DV524" s="10"/>
      <c r="DW524" s="10"/>
      <c r="DX524" s="10"/>
      <c r="DY524" s="10"/>
      <c r="DZ524" s="10"/>
      <c r="EA524" s="10"/>
      <c r="EB524" s="10"/>
      <c r="EC524" s="10"/>
      <c r="ED524" s="10"/>
      <c r="EE524" s="10"/>
      <c r="EF524" s="10"/>
      <c r="EG524" s="10"/>
      <c r="EH524" s="10"/>
      <c r="EI524" s="10"/>
      <c r="EJ524" s="10"/>
      <c r="EK524" s="10"/>
      <c r="EL524" s="10"/>
      <c r="EM524" s="10"/>
      <c r="EN524" s="10"/>
      <c r="EO524" s="10"/>
      <c r="EP524" s="10"/>
      <c r="EQ524" s="10"/>
      <c r="ER524" s="10"/>
      <c r="ES524" s="10"/>
      <c r="ET524" s="10"/>
      <c r="EU524" s="10"/>
    </row>
    <row r="525" spans="2:151" x14ac:dyDescent="0.4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  <c r="ED525" s="8"/>
      <c r="EE525" s="8"/>
      <c r="EF525" s="8"/>
      <c r="EG525" s="8"/>
      <c r="EH525" s="8"/>
      <c r="EI525" s="8"/>
      <c r="EJ525" s="8"/>
      <c r="EK525" s="8"/>
      <c r="EL525" s="8"/>
      <c r="EM525" s="8"/>
      <c r="EN525" s="8"/>
      <c r="EO525" s="8"/>
      <c r="EP525" s="8"/>
      <c r="EQ525" s="8"/>
      <c r="ER525" s="8"/>
      <c r="ES525" s="8"/>
      <c r="ET525" s="8"/>
      <c r="EU525" s="8"/>
    </row>
    <row r="526" spans="2:151" x14ac:dyDescent="0.4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  <c r="ED526" s="8"/>
      <c r="EE526" s="8"/>
      <c r="EF526" s="8"/>
      <c r="EG526" s="8"/>
      <c r="EH526" s="8"/>
      <c r="EI526" s="8"/>
      <c r="EJ526" s="8"/>
      <c r="EK526" s="8"/>
      <c r="EL526" s="8"/>
      <c r="EM526" s="8"/>
      <c r="EN526" s="8"/>
      <c r="EO526" s="8"/>
      <c r="EP526" s="8"/>
      <c r="EQ526" s="8"/>
      <c r="ER526" s="8"/>
      <c r="ES526" s="8"/>
      <c r="ET526" s="8"/>
      <c r="EU526" s="8"/>
    </row>
    <row r="527" spans="2:151" x14ac:dyDescent="0.4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  <c r="ED527" s="8"/>
      <c r="EE527" s="8"/>
      <c r="EF527" s="8"/>
      <c r="EG527" s="8"/>
      <c r="EH527" s="8"/>
      <c r="EI527" s="8"/>
      <c r="EJ527" s="8"/>
      <c r="EK527" s="8"/>
      <c r="EL527" s="8"/>
      <c r="EM527" s="8"/>
      <c r="EN527" s="8"/>
      <c r="EO527" s="8"/>
      <c r="EP527" s="8"/>
      <c r="EQ527" s="8"/>
      <c r="ER527" s="8"/>
      <c r="ES527" s="8"/>
      <c r="ET527" s="8"/>
      <c r="EU527" s="8"/>
    </row>
    <row r="528" spans="2:151" x14ac:dyDescent="0.4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  <c r="ED528" s="8"/>
      <c r="EE528" s="8"/>
      <c r="EF528" s="8"/>
      <c r="EG528" s="8"/>
      <c r="EH528" s="8"/>
      <c r="EI528" s="8"/>
      <c r="EJ528" s="8"/>
      <c r="EK528" s="8"/>
      <c r="EL528" s="8"/>
      <c r="EM528" s="8"/>
      <c r="EN528" s="8"/>
      <c r="EO528" s="8"/>
      <c r="EP528" s="8"/>
      <c r="EQ528" s="8"/>
      <c r="ER528" s="8"/>
      <c r="ES528" s="8"/>
      <c r="ET528" s="8"/>
      <c r="EU528" s="8"/>
    </row>
    <row r="529" spans="2:151" x14ac:dyDescent="0.4"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  <c r="BA529" s="10"/>
      <c r="BB529" s="10"/>
      <c r="BC529" s="10"/>
      <c r="BD529" s="10"/>
      <c r="BE529" s="10"/>
      <c r="BF529" s="10"/>
      <c r="BG529" s="10"/>
      <c r="BH529" s="10"/>
      <c r="BI529" s="10"/>
      <c r="BJ529" s="10"/>
      <c r="BK529" s="10"/>
      <c r="BL529" s="10"/>
      <c r="BM529" s="10"/>
      <c r="BN529" s="10"/>
      <c r="BO529" s="10"/>
      <c r="BP529" s="10"/>
      <c r="BQ529" s="10"/>
      <c r="BR529" s="10"/>
      <c r="BS529" s="10"/>
      <c r="BT529" s="10"/>
      <c r="BU529" s="10"/>
      <c r="BV529" s="10"/>
      <c r="BW529" s="10"/>
      <c r="BX529" s="10"/>
      <c r="BY529" s="10"/>
      <c r="BZ529" s="10"/>
      <c r="CA529" s="10"/>
      <c r="CB529" s="10"/>
      <c r="CC529" s="10"/>
      <c r="CD529" s="10"/>
      <c r="CE529" s="10"/>
      <c r="CF529" s="10"/>
      <c r="CG529" s="10"/>
      <c r="CH529" s="10"/>
      <c r="CI529" s="10"/>
      <c r="CJ529" s="10"/>
      <c r="CK529" s="10"/>
      <c r="CL529" s="10"/>
      <c r="CM529" s="10"/>
      <c r="CN529" s="10"/>
      <c r="CO529" s="10"/>
      <c r="CP529" s="10"/>
      <c r="CQ529" s="10"/>
      <c r="CR529" s="10"/>
      <c r="CS529" s="10"/>
      <c r="CT529" s="10"/>
      <c r="CU529" s="10"/>
      <c r="CV529" s="10"/>
      <c r="CW529" s="10"/>
      <c r="CX529" s="10"/>
      <c r="CY529" s="10"/>
      <c r="CZ529" s="10"/>
      <c r="DA529" s="10"/>
      <c r="DB529" s="10"/>
      <c r="DC529" s="10"/>
      <c r="DD529" s="10"/>
      <c r="DE529" s="10"/>
      <c r="DF529" s="10"/>
      <c r="DG529" s="10"/>
      <c r="DH529" s="10"/>
      <c r="DI529" s="10"/>
      <c r="DJ529" s="10"/>
      <c r="DK529" s="10"/>
      <c r="DL529" s="10"/>
      <c r="DM529" s="10"/>
      <c r="DN529" s="10"/>
      <c r="DO529" s="10"/>
      <c r="DP529" s="10"/>
      <c r="DQ529" s="10"/>
      <c r="DR529" s="10"/>
      <c r="DS529" s="10"/>
      <c r="DT529" s="10"/>
      <c r="DU529" s="10"/>
      <c r="DV529" s="10"/>
      <c r="DW529" s="10"/>
      <c r="DX529" s="10"/>
      <c r="DY529" s="10"/>
      <c r="DZ529" s="10"/>
      <c r="EA529" s="10"/>
      <c r="EB529" s="10"/>
      <c r="EC529" s="10"/>
      <c r="ED529" s="10"/>
      <c r="EE529" s="10"/>
      <c r="EF529" s="10"/>
      <c r="EG529" s="10"/>
      <c r="EH529" s="10"/>
      <c r="EI529" s="10"/>
      <c r="EJ529" s="10"/>
      <c r="EK529" s="10"/>
      <c r="EL529" s="10"/>
      <c r="EM529" s="10"/>
      <c r="EN529" s="10"/>
      <c r="EO529" s="10"/>
      <c r="EP529" s="10"/>
      <c r="EQ529" s="10"/>
      <c r="ER529" s="10"/>
      <c r="ES529" s="10"/>
      <c r="ET529" s="10"/>
      <c r="EU529" s="10"/>
    </row>
    <row r="530" spans="2:151" x14ac:dyDescent="0.4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  <c r="ED530" s="8"/>
      <c r="EE530" s="8"/>
      <c r="EF530" s="8"/>
      <c r="EG530" s="8"/>
      <c r="EH530" s="8"/>
      <c r="EI530" s="8"/>
      <c r="EJ530" s="8"/>
      <c r="EK530" s="8"/>
      <c r="EL530" s="8"/>
      <c r="EM530" s="8"/>
      <c r="EN530" s="8"/>
      <c r="EO530" s="8"/>
      <c r="EP530" s="8"/>
      <c r="EQ530" s="8"/>
      <c r="ER530" s="8"/>
      <c r="ES530" s="8"/>
      <c r="ET530" s="8"/>
      <c r="EU530" s="8"/>
    </row>
    <row r="531" spans="2:151" x14ac:dyDescent="0.4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  <c r="ED531" s="8"/>
      <c r="EE531" s="8"/>
      <c r="EF531" s="8"/>
      <c r="EG531" s="8"/>
      <c r="EH531" s="8"/>
      <c r="EI531" s="8"/>
      <c r="EJ531" s="8"/>
      <c r="EK531" s="8"/>
      <c r="EL531" s="8"/>
      <c r="EM531" s="8"/>
      <c r="EN531" s="8"/>
      <c r="EO531" s="8"/>
      <c r="EP531" s="8"/>
      <c r="EQ531" s="8"/>
      <c r="ER531" s="8"/>
      <c r="ES531" s="8"/>
      <c r="ET531" s="8"/>
      <c r="EU531" s="8"/>
    </row>
    <row r="532" spans="2:151" x14ac:dyDescent="0.4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  <c r="ED532" s="8"/>
      <c r="EE532" s="8"/>
      <c r="EF532" s="8"/>
      <c r="EG532" s="8"/>
      <c r="EH532" s="8"/>
      <c r="EI532" s="8"/>
      <c r="EJ532" s="8"/>
      <c r="EK532" s="8"/>
      <c r="EL532" s="8"/>
      <c r="EM532" s="8"/>
      <c r="EN532" s="8"/>
      <c r="EO532" s="8"/>
      <c r="EP532" s="8"/>
      <c r="EQ532" s="8"/>
      <c r="ER532" s="8"/>
      <c r="ES532" s="8"/>
      <c r="ET532" s="8"/>
      <c r="EU532" s="8"/>
    </row>
    <row r="533" spans="2:151" x14ac:dyDescent="0.4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  <c r="ED533" s="8"/>
      <c r="EE533" s="8"/>
      <c r="EF533" s="8"/>
      <c r="EG533" s="8"/>
      <c r="EH533" s="8"/>
      <c r="EI533" s="8"/>
      <c r="EJ533" s="8"/>
      <c r="EK533" s="8"/>
      <c r="EL533" s="8"/>
      <c r="EM533" s="8"/>
      <c r="EN533" s="8"/>
      <c r="EO533" s="8"/>
      <c r="EP533" s="8"/>
      <c r="EQ533" s="8"/>
      <c r="ER533" s="8"/>
      <c r="ES533" s="8"/>
      <c r="ET533" s="8"/>
      <c r="EU533" s="8"/>
    </row>
    <row r="534" spans="2:151" x14ac:dyDescent="0.4"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  <c r="BA534" s="10"/>
      <c r="BB534" s="10"/>
      <c r="BC534" s="10"/>
      <c r="BD534" s="10"/>
      <c r="BE534" s="10"/>
      <c r="BF534" s="10"/>
      <c r="BG534" s="10"/>
      <c r="BH534" s="10"/>
      <c r="BI534" s="10"/>
      <c r="BJ534" s="10"/>
      <c r="BK534" s="10"/>
      <c r="BL534" s="10"/>
      <c r="BM534" s="10"/>
      <c r="BN534" s="10"/>
      <c r="BO534" s="10"/>
      <c r="BP534" s="10"/>
      <c r="BQ534" s="10"/>
      <c r="BR534" s="10"/>
      <c r="BS534" s="10"/>
      <c r="BT534" s="10"/>
      <c r="BU534" s="10"/>
      <c r="BV534" s="10"/>
      <c r="BW534" s="10"/>
      <c r="BX534" s="10"/>
      <c r="BY534" s="10"/>
      <c r="BZ534" s="10"/>
      <c r="CA534" s="10"/>
      <c r="CB534" s="10"/>
      <c r="CC534" s="10"/>
      <c r="CD534" s="10"/>
      <c r="CE534" s="10"/>
      <c r="CF534" s="10"/>
      <c r="CG534" s="10"/>
      <c r="CH534" s="10"/>
      <c r="CI534" s="10"/>
      <c r="CJ534" s="10"/>
      <c r="CK534" s="10"/>
      <c r="CL534" s="10"/>
      <c r="CM534" s="10"/>
      <c r="CN534" s="10"/>
      <c r="CO534" s="10"/>
      <c r="CP534" s="10"/>
      <c r="CQ534" s="10"/>
      <c r="CR534" s="10"/>
      <c r="CS534" s="10"/>
      <c r="CT534" s="10"/>
      <c r="CU534" s="10"/>
      <c r="CV534" s="10"/>
      <c r="CW534" s="10"/>
      <c r="CX534" s="10"/>
      <c r="CY534" s="10"/>
      <c r="CZ534" s="10"/>
      <c r="DA534" s="10"/>
      <c r="DB534" s="10"/>
      <c r="DC534" s="10"/>
      <c r="DD534" s="10"/>
      <c r="DE534" s="10"/>
      <c r="DF534" s="10"/>
      <c r="DG534" s="10"/>
      <c r="DH534" s="10"/>
      <c r="DI534" s="10"/>
      <c r="DJ534" s="10"/>
      <c r="DK534" s="10"/>
      <c r="DL534" s="10"/>
      <c r="DM534" s="10"/>
      <c r="DN534" s="10"/>
      <c r="DO534" s="10"/>
      <c r="DP534" s="10"/>
      <c r="DQ534" s="10"/>
      <c r="DR534" s="10"/>
      <c r="DS534" s="10"/>
      <c r="DT534" s="10"/>
      <c r="DU534" s="10"/>
      <c r="DV534" s="10"/>
      <c r="DW534" s="10"/>
      <c r="DX534" s="10"/>
      <c r="DY534" s="10"/>
      <c r="DZ534" s="10"/>
      <c r="EA534" s="10"/>
      <c r="EB534" s="10"/>
      <c r="EC534" s="10"/>
      <c r="ED534" s="10"/>
      <c r="EE534" s="10"/>
      <c r="EF534" s="10"/>
      <c r="EG534" s="10"/>
      <c r="EH534" s="10"/>
      <c r="EI534" s="10"/>
      <c r="EJ534" s="10"/>
      <c r="EK534" s="10"/>
      <c r="EL534" s="10"/>
      <c r="EM534" s="10"/>
      <c r="EN534" s="10"/>
      <c r="EO534" s="10"/>
      <c r="EP534" s="10"/>
      <c r="EQ534" s="10"/>
      <c r="ER534" s="10"/>
      <c r="ES534" s="10"/>
      <c r="ET534" s="10"/>
      <c r="EU534" s="10"/>
    </row>
    <row r="535" spans="2:151" x14ac:dyDescent="0.4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  <c r="ED535" s="8"/>
      <c r="EE535" s="8"/>
      <c r="EF535" s="8"/>
      <c r="EG535" s="8"/>
      <c r="EH535" s="8"/>
      <c r="EI535" s="8"/>
      <c r="EJ535" s="8"/>
      <c r="EK535" s="8"/>
      <c r="EL535" s="8"/>
      <c r="EM535" s="8"/>
      <c r="EN535" s="8"/>
      <c r="EO535" s="8"/>
      <c r="EP535" s="8"/>
      <c r="EQ535" s="8"/>
      <c r="ER535" s="8"/>
      <c r="ES535" s="8"/>
      <c r="ET535" s="8"/>
      <c r="EU535" s="8"/>
    </row>
    <row r="536" spans="2:151" x14ac:dyDescent="0.4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  <c r="ED536" s="8"/>
      <c r="EE536" s="8"/>
      <c r="EF536" s="8"/>
      <c r="EG536" s="8"/>
      <c r="EH536" s="8"/>
      <c r="EI536" s="8"/>
      <c r="EJ536" s="8"/>
      <c r="EK536" s="8"/>
      <c r="EL536" s="8"/>
      <c r="EM536" s="8"/>
      <c r="EN536" s="8"/>
      <c r="EO536" s="8"/>
      <c r="EP536" s="8"/>
      <c r="EQ536" s="8"/>
      <c r="ER536" s="8"/>
      <c r="ES536" s="8"/>
      <c r="ET536" s="8"/>
      <c r="EU536" s="8"/>
    </row>
    <row r="537" spans="2:151" x14ac:dyDescent="0.4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  <c r="ED537" s="8"/>
      <c r="EE537" s="8"/>
      <c r="EF537" s="8"/>
      <c r="EG537" s="8"/>
      <c r="EH537" s="8"/>
      <c r="EI537" s="8"/>
      <c r="EJ537" s="8"/>
      <c r="EK537" s="8"/>
      <c r="EL537" s="8"/>
      <c r="EM537" s="8"/>
      <c r="EN537" s="8"/>
      <c r="EO537" s="8"/>
      <c r="EP537" s="8"/>
      <c r="EQ537" s="8"/>
      <c r="ER537" s="8"/>
      <c r="ES537" s="8"/>
      <c r="ET537" s="8"/>
      <c r="EU537" s="8"/>
    </row>
    <row r="538" spans="2:151" x14ac:dyDescent="0.4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  <c r="ED538" s="8"/>
      <c r="EE538" s="8"/>
      <c r="EF538" s="8"/>
      <c r="EG538" s="8"/>
      <c r="EH538" s="8"/>
      <c r="EI538" s="8"/>
      <c r="EJ538" s="8"/>
      <c r="EK538" s="8"/>
      <c r="EL538" s="8"/>
      <c r="EM538" s="8"/>
      <c r="EN538" s="8"/>
      <c r="EO538" s="8"/>
      <c r="EP538" s="8"/>
      <c r="EQ538" s="8"/>
      <c r="ER538" s="8"/>
      <c r="ES538" s="8"/>
      <c r="ET538" s="8"/>
      <c r="EU538" s="8"/>
    </row>
    <row r="539" spans="2:151" x14ac:dyDescent="0.4"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  <c r="BA539" s="10"/>
      <c r="BB539" s="10"/>
      <c r="BC539" s="10"/>
      <c r="BD539" s="10"/>
      <c r="BE539" s="10"/>
      <c r="BF539" s="10"/>
      <c r="BG539" s="10"/>
      <c r="BH539" s="10"/>
      <c r="BI539" s="10"/>
      <c r="BJ539" s="10"/>
      <c r="BK539" s="10"/>
      <c r="BL539" s="10"/>
      <c r="BM539" s="10"/>
      <c r="BN539" s="10"/>
      <c r="BO539" s="10"/>
      <c r="BP539" s="10"/>
      <c r="BQ539" s="10"/>
      <c r="BR539" s="10"/>
      <c r="BS539" s="10"/>
      <c r="BT539" s="10"/>
      <c r="BU539" s="10"/>
      <c r="BV539" s="10"/>
      <c r="BW539" s="10"/>
      <c r="BX539" s="10"/>
      <c r="BY539" s="10"/>
      <c r="BZ539" s="10"/>
      <c r="CA539" s="10"/>
      <c r="CB539" s="10"/>
      <c r="CC539" s="10"/>
      <c r="CD539" s="10"/>
      <c r="CE539" s="10"/>
      <c r="CF539" s="10"/>
      <c r="CG539" s="10"/>
      <c r="CH539" s="10"/>
      <c r="CI539" s="10"/>
      <c r="CJ539" s="10"/>
      <c r="CK539" s="10"/>
      <c r="CL539" s="10"/>
      <c r="CM539" s="10"/>
      <c r="CN539" s="10"/>
      <c r="CO539" s="10"/>
      <c r="CP539" s="10"/>
      <c r="CQ539" s="10"/>
      <c r="CR539" s="10"/>
      <c r="CS539" s="10"/>
      <c r="CT539" s="10"/>
      <c r="CU539" s="10"/>
      <c r="CV539" s="10"/>
      <c r="CW539" s="10"/>
      <c r="CX539" s="10"/>
      <c r="CY539" s="10"/>
      <c r="CZ539" s="10"/>
      <c r="DA539" s="10"/>
      <c r="DB539" s="10"/>
      <c r="DC539" s="10"/>
      <c r="DD539" s="10"/>
      <c r="DE539" s="10"/>
      <c r="DF539" s="10"/>
      <c r="DG539" s="10"/>
      <c r="DH539" s="10"/>
      <c r="DI539" s="10"/>
      <c r="DJ539" s="10"/>
      <c r="DK539" s="10"/>
      <c r="DL539" s="10"/>
      <c r="DM539" s="10"/>
      <c r="DN539" s="10"/>
      <c r="DO539" s="10"/>
      <c r="DP539" s="10"/>
      <c r="DQ539" s="10"/>
      <c r="DR539" s="10"/>
      <c r="DS539" s="10"/>
      <c r="DT539" s="10"/>
      <c r="DU539" s="10"/>
      <c r="DV539" s="10"/>
      <c r="DW539" s="10"/>
      <c r="DX539" s="10"/>
      <c r="DY539" s="10"/>
      <c r="DZ539" s="10"/>
      <c r="EA539" s="10"/>
      <c r="EB539" s="10"/>
      <c r="EC539" s="10"/>
      <c r="ED539" s="10"/>
      <c r="EE539" s="10"/>
      <c r="EF539" s="10"/>
      <c r="EG539" s="10"/>
      <c r="EH539" s="10"/>
      <c r="EI539" s="10"/>
      <c r="EJ539" s="10"/>
      <c r="EK539" s="10"/>
      <c r="EL539" s="10"/>
      <c r="EM539" s="10"/>
      <c r="EN539" s="10"/>
      <c r="EO539" s="10"/>
      <c r="EP539" s="10"/>
      <c r="EQ539" s="10"/>
      <c r="ER539" s="10"/>
      <c r="ES539" s="10"/>
      <c r="ET539" s="10"/>
      <c r="EU539" s="10"/>
    </row>
    <row r="540" spans="2:151" x14ac:dyDescent="0.4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  <c r="ED540" s="8"/>
      <c r="EE540" s="8"/>
      <c r="EF540" s="8"/>
      <c r="EG540" s="8"/>
      <c r="EH540" s="8"/>
      <c r="EI540" s="8"/>
      <c r="EJ540" s="8"/>
      <c r="EK540" s="8"/>
      <c r="EL540" s="8"/>
      <c r="EM540" s="8"/>
      <c r="EN540" s="8"/>
      <c r="EO540" s="8"/>
      <c r="EP540" s="8"/>
      <c r="EQ540" s="8"/>
      <c r="ER540" s="8"/>
      <c r="ES540" s="8"/>
      <c r="ET540" s="8"/>
      <c r="EU540" s="8"/>
    </row>
    <row r="541" spans="2:151" x14ac:dyDescent="0.4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  <c r="ED541" s="8"/>
      <c r="EE541" s="8"/>
      <c r="EF541" s="8"/>
      <c r="EG541" s="8"/>
      <c r="EH541" s="8"/>
      <c r="EI541" s="8"/>
      <c r="EJ541" s="8"/>
      <c r="EK541" s="8"/>
      <c r="EL541" s="8"/>
      <c r="EM541" s="8"/>
      <c r="EN541" s="8"/>
      <c r="EO541" s="8"/>
      <c r="EP541" s="8"/>
      <c r="EQ541" s="8"/>
      <c r="ER541" s="8"/>
      <c r="ES541" s="8"/>
      <c r="ET541" s="8"/>
      <c r="EU541" s="8"/>
    </row>
    <row r="542" spans="2:151" x14ac:dyDescent="0.4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  <c r="ED542" s="8"/>
      <c r="EE542" s="8"/>
      <c r="EF542" s="8"/>
      <c r="EG542" s="8"/>
      <c r="EH542" s="8"/>
      <c r="EI542" s="8"/>
      <c r="EJ542" s="8"/>
      <c r="EK542" s="8"/>
      <c r="EL542" s="8"/>
      <c r="EM542" s="8"/>
      <c r="EN542" s="8"/>
      <c r="EO542" s="8"/>
      <c r="EP542" s="8"/>
      <c r="EQ542" s="8"/>
      <c r="ER542" s="8"/>
      <c r="ES542" s="8"/>
      <c r="ET542" s="8"/>
      <c r="EU542" s="8"/>
    </row>
    <row r="543" spans="2:151" x14ac:dyDescent="0.4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  <c r="ED543" s="8"/>
      <c r="EE543" s="8"/>
      <c r="EF543" s="8"/>
      <c r="EG543" s="8"/>
      <c r="EH543" s="8"/>
      <c r="EI543" s="8"/>
      <c r="EJ543" s="8"/>
      <c r="EK543" s="8"/>
      <c r="EL543" s="8"/>
      <c r="EM543" s="8"/>
      <c r="EN543" s="8"/>
      <c r="EO543" s="8"/>
      <c r="EP543" s="8"/>
      <c r="EQ543" s="8"/>
      <c r="ER543" s="8"/>
      <c r="ES543" s="8"/>
      <c r="ET543" s="8"/>
      <c r="EU543" s="8"/>
    </row>
    <row r="544" spans="2:151" x14ac:dyDescent="0.4"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  <c r="BA544" s="10"/>
      <c r="BB544" s="10"/>
      <c r="BC544" s="10"/>
      <c r="BD544" s="10"/>
      <c r="BE544" s="10"/>
      <c r="BF544" s="10"/>
      <c r="BG544" s="10"/>
      <c r="BH544" s="10"/>
      <c r="BI544" s="10"/>
      <c r="BJ544" s="10"/>
      <c r="BK544" s="10"/>
      <c r="BL544" s="10"/>
      <c r="BM544" s="10"/>
      <c r="BN544" s="10"/>
      <c r="BO544" s="10"/>
      <c r="BP544" s="10"/>
      <c r="BQ544" s="10"/>
      <c r="BR544" s="10"/>
      <c r="BS544" s="10"/>
      <c r="BT544" s="10"/>
      <c r="BU544" s="10"/>
      <c r="BV544" s="10"/>
      <c r="BW544" s="10"/>
      <c r="BX544" s="10"/>
      <c r="BY544" s="10"/>
      <c r="BZ544" s="10"/>
      <c r="CA544" s="10"/>
      <c r="CB544" s="10"/>
      <c r="CC544" s="10"/>
      <c r="CD544" s="10"/>
      <c r="CE544" s="10"/>
      <c r="CF544" s="10"/>
      <c r="CG544" s="10"/>
      <c r="CH544" s="10"/>
      <c r="CI544" s="10"/>
      <c r="CJ544" s="10"/>
      <c r="CK544" s="10"/>
      <c r="CL544" s="10"/>
      <c r="CM544" s="10"/>
      <c r="CN544" s="10"/>
      <c r="CO544" s="10"/>
      <c r="CP544" s="10"/>
      <c r="CQ544" s="10"/>
      <c r="CR544" s="10"/>
      <c r="CS544" s="10"/>
      <c r="CT544" s="10"/>
      <c r="CU544" s="10"/>
      <c r="CV544" s="10"/>
      <c r="CW544" s="10"/>
      <c r="CX544" s="10"/>
      <c r="CY544" s="10"/>
      <c r="CZ544" s="10"/>
      <c r="DA544" s="10"/>
      <c r="DB544" s="10"/>
      <c r="DC544" s="10"/>
      <c r="DD544" s="10"/>
      <c r="DE544" s="10"/>
      <c r="DF544" s="10"/>
      <c r="DG544" s="10"/>
      <c r="DH544" s="10"/>
      <c r="DI544" s="10"/>
      <c r="DJ544" s="10"/>
      <c r="DK544" s="10"/>
      <c r="DL544" s="10"/>
      <c r="DM544" s="10"/>
      <c r="DN544" s="10"/>
      <c r="DO544" s="10"/>
      <c r="DP544" s="10"/>
      <c r="DQ544" s="10"/>
      <c r="DR544" s="10"/>
      <c r="DS544" s="10"/>
      <c r="DT544" s="10"/>
      <c r="DU544" s="10"/>
      <c r="DV544" s="10"/>
      <c r="DW544" s="10"/>
      <c r="DX544" s="10"/>
      <c r="DY544" s="10"/>
      <c r="DZ544" s="10"/>
      <c r="EA544" s="10"/>
      <c r="EB544" s="10"/>
      <c r="EC544" s="10"/>
      <c r="ED544" s="10"/>
      <c r="EE544" s="10"/>
      <c r="EF544" s="10"/>
      <c r="EG544" s="10"/>
      <c r="EH544" s="10"/>
      <c r="EI544" s="10"/>
      <c r="EJ544" s="10"/>
      <c r="EK544" s="10"/>
      <c r="EL544" s="10"/>
      <c r="EM544" s="10"/>
      <c r="EN544" s="10"/>
      <c r="EO544" s="10"/>
      <c r="EP544" s="10"/>
      <c r="EQ544" s="10"/>
      <c r="ER544" s="10"/>
      <c r="ES544" s="10"/>
      <c r="ET544" s="10"/>
      <c r="EU544" s="10"/>
    </row>
    <row r="545" spans="2:151" x14ac:dyDescent="0.4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  <c r="ED545" s="8"/>
      <c r="EE545" s="8"/>
      <c r="EF545" s="8"/>
      <c r="EG545" s="8"/>
      <c r="EH545" s="8"/>
      <c r="EI545" s="8"/>
      <c r="EJ545" s="8"/>
      <c r="EK545" s="8"/>
      <c r="EL545" s="8"/>
      <c r="EM545" s="8"/>
      <c r="EN545" s="8"/>
      <c r="EO545" s="8"/>
      <c r="EP545" s="8"/>
      <c r="EQ545" s="8"/>
      <c r="ER545" s="8"/>
      <c r="ES545" s="8"/>
      <c r="ET545" s="8"/>
      <c r="EU545" s="8"/>
    </row>
    <row r="546" spans="2:151" x14ac:dyDescent="0.4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  <c r="ED546" s="8"/>
      <c r="EE546" s="8"/>
      <c r="EF546" s="8"/>
      <c r="EG546" s="8"/>
      <c r="EH546" s="8"/>
      <c r="EI546" s="8"/>
      <c r="EJ546" s="8"/>
      <c r="EK546" s="8"/>
      <c r="EL546" s="8"/>
      <c r="EM546" s="8"/>
      <c r="EN546" s="8"/>
      <c r="EO546" s="8"/>
      <c r="EP546" s="8"/>
      <c r="EQ546" s="8"/>
      <c r="ER546" s="8"/>
      <c r="ES546" s="8"/>
      <c r="ET546" s="8"/>
      <c r="EU546" s="8"/>
    </row>
    <row r="547" spans="2:151" x14ac:dyDescent="0.4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  <c r="ED547" s="8"/>
      <c r="EE547" s="8"/>
      <c r="EF547" s="8"/>
      <c r="EG547" s="8"/>
      <c r="EH547" s="8"/>
      <c r="EI547" s="8"/>
      <c r="EJ547" s="8"/>
      <c r="EK547" s="8"/>
      <c r="EL547" s="8"/>
      <c r="EM547" s="8"/>
      <c r="EN547" s="8"/>
      <c r="EO547" s="8"/>
      <c r="EP547" s="8"/>
      <c r="EQ547" s="8"/>
      <c r="ER547" s="8"/>
      <c r="ES547" s="8"/>
      <c r="ET547" s="8"/>
      <c r="EU547" s="8"/>
    </row>
    <row r="548" spans="2:151" x14ac:dyDescent="0.4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  <c r="ED548" s="8"/>
      <c r="EE548" s="8"/>
      <c r="EF548" s="8"/>
      <c r="EG548" s="8"/>
      <c r="EH548" s="8"/>
      <c r="EI548" s="8"/>
      <c r="EJ548" s="8"/>
      <c r="EK548" s="8"/>
      <c r="EL548" s="8"/>
      <c r="EM548" s="8"/>
      <c r="EN548" s="8"/>
      <c r="EO548" s="8"/>
      <c r="EP548" s="8"/>
      <c r="EQ548" s="8"/>
      <c r="ER548" s="8"/>
      <c r="ES548" s="8"/>
      <c r="ET548" s="8"/>
      <c r="EU548" s="8"/>
    </row>
    <row r="549" spans="2:151" x14ac:dyDescent="0.4"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  <c r="BA549" s="10"/>
      <c r="BB549" s="10"/>
      <c r="BC549" s="10"/>
      <c r="BD549" s="10"/>
      <c r="BE549" s="10"/>
      <c r="BF549" s="10"/>
      <c r="BG549" s="10"/>
      <c r="BH549" s="10"/>
      <c r="BI549" s="10"/>
      <c r="BJ549" s="10"/>
      <c r="BK549" s="10"/>
      <c r="BL549" s="10"/>
      <c r="BM549" s="10"/>
      <c r="BN549" s="10"/>
      <c r="BO549" s="10"/>
      <c r="BP549" s="10"/>
      <c r="BQ549" s="10"/>
      <c r="BR549" s="10"/>
      <c r="BS549" s="10"/>
      <c r="BT549" s="10"/>
      <c r="BU549" s="10"/>
      <c r="BV549" s="10"/>
      <c r="BW549" s="10"/>
      <c r="BX549" s="10"/>
      <c r="BY549" s="10"/>
      <c r="BZ549" s="10"/>
      <c r="CA549" s="10"/>
      <c r="CB549" s="10"/>
      <c r="CC549" s="10"/>
      <c r="CD549" s="10"/>
      <c r="CE549" s="10"/>
      <c r="CF549" s="10"/>
      <c r="CG549" s="10"/>
      <c r="CH549" s="10"/>
      <c r="CI549" s="10"/>
      <c r="CJ549" s="10"/>
      <c r="CK549" s="10"/>
      <c r="CL549" s="10"/>
      <c r="CM549" s="10"/>
      <c r="CN549" s="10"/>
      <c r="CO549" s="10"/>
      <c r="CP549" s="10"/>
      <c r="CQ549" s="10"/>
      <c r="CR549" s="10"/>
      <c r="CS549" s="10"/>
      <c r="CT549" s="10"/>
      <c r="CU549" s="10"/>
      <c r="CV549" s="10"/>
      <c r="CW549" s="10"/>
      <c r="CX549" s="10"/>
      <c r="CY549" s="10"/>
      <c r="CZ549" s="10"/>
      <c r="DA549" s="10"/>
      <c r="DB549" s="10"/>
      <c r="DC549" s="10"/>
      <c r="DD549" s="10"/>
      <c r="DE549" s="10"/>
      <c r="DF549" s="10"/>
      <c r="DG549" s="10"/>
      <c r="DH549" s="10"/>
      <c r="DI549" s="10"/>
      <c r="DJ549" s="10"/>
      <c r="DK549" s="10"/>
      <c r="DL549" s="10"/>
      <c r="DM549" s="10"/>
      <c r="DN549" s="10"/>
      <c r="DO549" s="10"/>
      <c r="DP549" s="10"/>
      <c r="DQ549" s="10"/>
      <c r="DR549" s="10"/>
      <c r="DS549" s="10"/>
      <c r="DT549" s="10"/>
      <c r="DU549" s="10"/>
      <c r="DV549" s="10"/>
      <c r="DW549" s="10"/>
      <c r="DX549" s="10"/>
      <c r="DY549" s="10"/>
      <c r="DZ549" s="10"/>
      <c r="EA549" s="10"/>
      <c r="EB549" s="10"/>
      <c r="EC549" s="10"/>
      <c r="ED549" s="10"/>
      <c r="EE549" s="10"/>
      <c r="EF549" s="10"/>
      <c r="EG549" s="10"/>
      <c r="EH549" s="10"/>
      <c r="EI549" s="10"/>
      <c r="EJ549" s="10"/>
      <c r="EK549" s="10"/>
      <c r="EL549" s="10"/>
      <c r="EM549" s="10"/>
      <c r="EN549" s="10"/>
      <c r="EO549" s="10"/>
      <c r="EP549" s="10"/>
      <c r="EQ549" s="10"/>
      <c r="ER549" s="10"/>
      <c r="ES549" s="10"/>
      <c r="ET549" s="10"/>
      <c r="EU549" s="10"/>
    </row>
    <row r="550" spans="2:151" x14ac:dyDescent="0.4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  <c r="ED550" s="8"/>
      <c r="EE550" s="8"/>
      <c r="EF550" s="8"/>
      <c r="EG550" s="8"/>
      <c r="EH550" s="8"/>
      <c r="EI550" s="8"/>
      <c r="EJ550" s="8"/>
      <c r="EK550" s="8"/>
      <c r="EL550" s="8"/>
      <c r="EM550" s="8"/>
      <c r="EN550" s="8"/>
      <c r="EO550" s="8"/>
      <c r="EP550" s="8"/>
      <c r="EQ550" s="8"/>
      <c r="ER550" s="8"/>
      <c r="ES550" s="8"/>
      <c r="ET550" s="8"/>
      <c r="EU550" s="8"/>
    </row>
    <row r="551" spans="2:151" x14ac:dyDescent="0.4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  <c r="ED551" s="8"/>
      <c r="EE551" s="8"/>
      <c r="EF551" s="8"/>
      <c r="EG551" s="8"/>
      <c r="EH551" s="8"/>
      <c r="EI551" s="8"/>
      <c r="EJ551" s="8"/>
      <c r="EK551" s="8"/>
      <c r="EL551" s="8"/>
      <c r="EM551" s="8"/>
      <c r="EN551" s="8"/>
      <c r="EO551" s="8"/>
      <c r="EP551" s="8"/>
      <c r="EQ551" s="8"/>
      <c r="ER551" s="8"/>
      <c r="ES551" s="8"/>
      <c r="ET551" s="8"/>
      <c r="EU551" s="8"/>
    </row>
    <row r="552" spans="2:151" x14ac:dyDescent="0.4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  <c r="ED552" s="8"/>
      <c r="EE552" s="8"/>
      <c r="EF552" s="8"/>
      <c r="EG552" s="8"/>
      <c r="EH552" s="8"/>
      <c r="EI552" s="8"/>
      <c r="EJ552" s="8"/>
      <c r="EK552" s="8"/>
      <c r="EL552" s="8"/>
      <c r="EM552" s="8"/>
      <c r="EN552" s="8"/>
      <c r="EO552" s="8"/>
      <c r="EP552" s="8"/>
      <c r="EQ552" s="8"/>
      <c r="ER552" s="8"/>
      <c r="ES552" s="8"/>
      <c r="ET552" s="8"/>
      <c r="EU552" s="8"/>
    </row>
    <row r="553" spans="2:151" x14ac:dyDescent="0.4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  <c r="ED553" s="8"/>
      <c r="EE553" s="8"/>
      <c r="EF553" s="8"/>
      <c r="EG553" s="8"/>
      <c r="EH553" s="8"/>
      <c r="EI553" s="8"/>
      <c r="EJ553" s="8"/>
      <c r="EK553" s="8"/>
      <c r="EL553" s="8"/>
      <c r="EM553" s="8"/>
      <c r="EN553" s="8"/>
      <c r="EO553" s="8"/>
      <c r="EP553" s="8"/>
      <c r="EQ553" s="8"/>
      <c r="ER553" s="8"/>
      <c r="ES553" s="8"/>
      <c r="ET553" s="8"/>
      <c r="EU553" s="8"/>
    </row>
    <row r="554" spans="2:151" x14ac:dyDescent="0.4"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  <c r="BA554" s="10"/>
      <c r="BB554" s="10"/>
      <c r="BC554" s="10"/>
      <c r="BD554" s="10"/>
      <c r="BE554" s="10"/>
      <c r="BF554" s="10"/>
      <c r="BG554" s="10"/>
      <c r="BH554" s="10"/>
      <c r="BI554" s="10"/>
      <c r="BJ554" s="10"/>
      <c r="BK554" s="10"/>
      <c r="BL554" s="10"/>
      <c r="BM554" s="10"/>
      <c r="BN554" s="10"/>
      <c r="BO554" s="10"/>
      <c r="BP554" s="10"/>
      <c r="BQ554" s="10"/>
      <c r="BR554" s="10"/>
      <c r="BS554" s="10"/>
      <c r="BT554" s="10"/>
      <c r="BU554" s="10"/>
      <c r="BV554" s="10"/>
      <c r="BW554" s="10"/>
      <c r="BX554" s="10"/>
      <c r="BY554" s="10"/>
      <c r="BZ554" s="10"/>
      <c r="CA554" s="10"/>
      <c r="CB554" s="10"/>
      <c r="CC554" s="10"/>
      <c r="CD554" s="10"/>
      <c r="CE554" s="10"/>
      <c r="CF554" s="10"/>
      <c r="CG554" s="10"/>
      <c r="CH554" s="10"/>
      <c r="CI554" s="10"/>
      <c r="CJ554" s="10"/>
      <c r="CK554" s="10"/>
      <c r="CL554" s="10"/>
      <c r="CM554" s="10"/>
      <c r="CN554" s="10"/>
      <c r="CO554" s="10"/>
      <c r="CP554" s="10"/>
      <c r="CQ554" s="10"/>
      <c r="CR554" s="10"/>
      <c r="CS554" s="10"/>
      <c r="CT554" s="10"/>
      <c r="CU554" s="10"/>
      <c r="CV554" s="10"/>
      <c r="CW554" s="10"/>
      <c r="CX554" s="10"/>
      <c r="CY554" s="10"/>
      <c r="CZ554" s="10"/>
      <c r="DA554" s="10"/>
      <c r="DB554" s="10"/>
      <c r="DC554" s="10"/>
      <c r="DD554" s="10"/>
      <c r="DE554" s="10"/>
      <c r="DF554" s="10"/>
      <c r="DG554" s="10"/>
      <c r="DH554" s="10"/>
      <c r="DI554" s="10"/>
      <c r="DJ554" s="10"/>
      <c r="DK554" s="10"/>
      <c r="DL554" s="10"/>
      <c r="DM554" s="10"/>
      <c r="DN554" s="10"/>
      <c r="DO554" s="10"/>
      <c r="DP554" s="10"/>
      <c r="DQ554" s="10"/>
      <c r="DR554" s="10"/>
      <c r="DS554" s="10"/>
      <c r="DT554" s="10"/>
      <c r="DU554" s="10"/>
      <c r="DV554" s="10"/>
      <c r="DW554" s="10"/>
      <c r="DX554" s="10"/>
      <c r="DY554" s="10"/>
      <c r="DZ554" s="10"/>
      <c r="EA554" s="10"/>
      <c r="EB554" s="10"/>
      <c r="EC554" s="10"/>
      <c r="ED554" s="10"/>
      <c r="EE554" s="10"/>
      <c r="EF554" s="10"/>
      <c r="EG554" s="10"/>
      <c r="EH554" s="10"/>
      <c r="EI554" s="10"/>
      <c r="EJ554" s="10"/>
      <c r="EK554" s="10"/>
      <c r="EL554" s="10"/>
      <c r="EM554" s="10"/>
      <c r="EN554" s="10"/>
      <c r="EO554" s="10"/>
      <c r="EP554" s="10"/>
      <c r="EQ554" s="10"/>
      <c r="ER554" s="10"/>
      <c r="ES554" s="10"/>
      <c r="ET554" s="10"/>
      <c r="EU554" s="10"/>
    </row>
    <row r="555" spans="2:151" x14ac:dyDescent="0.4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  <c r="ED555" s="8"/>
      <c r="EE555" s="8"/>
      <c r="EF555" s="8"/>
      <c r="EG555" s="8"/>
      <c r="EH555" s="8"/>
      <c r="EI555" s="8"/>
      <c r="EJ555" s="8"/>
      <c r="EK555" s="8"/>
      <c r="EL555" s="8"/>
      <c r="EM555" s="8"/>
      <c r="EN555" s="8"/>
      <c r="EO555" s="8"/>
      <c r="EP555" s="8"/>
      <c r="EQ555" s="8"/>
      <c r="ER555" s="8"/>
      <c r="ES555" s="8"/>
      <c r="ET555" s="8"/>
      <c r="EU555" s="8"/>
    </row>
    <row r="556" spans="2:151" x14ac:dyDescent="0.4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  <c r="ED556" s="8"/>
      <c r="EE556" s="8"/>
      <c r="EF556" s="8"/>
      <c r="EG556" s="8"/>
      <c r="EH556" s="8"/>
      <c r="EI556" s="8"/>
      <c r="EJ556" s="8"/>
      <c r="EK556" s="8"/>
      <c r="EL556" s="8"/>
      <c r="EM556" s="8"/>
      <c r="EN556" s="8"/>
      <c r="EO556" s="8"/>
      <c r="EP556" s="8"/>
      <c r="EQ556" s="8"/>
      <c r="ER556" s="8"/>
      <c r="ES556" s="8"/>
      <c r="ET556" s="8"/>
      <c r="EU556" s="8"/>
    </row>
    <row r="557" spans="2:151" x14ac:dyDescent="0.4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  <c r="ED557" s="8"/>
      <c r="EE557" s="8"/>
      <c r="EF557" s="8"/>
      <c r="EG557" s="8"/>
      <c r="EH557" s="8"/>
      <c r="EI557" s="8"/>
      <c r="EJ557" s="8"/>
      <c r="EK557" s="8"/>
      <c r="EL557" s="8"/>
      <c r="EM557" s="8"/>
      <c r="EN557" s="8"/>
      <c r="EO557" s="8"/>
      <c r="EP557" s="8"/>
      <c r="EQ557" s="8"/>
      <c r="ER557" s="8"/>
      <c r="ES557" s="8"/>
      <c r="ET557" s="8"/>
      <c r="EU557" s="8"/>
    </row>
    <row r="558" spans="2:151" x14ac:dyDescent="0.4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  <c r="ED558" s="8"/>
      <c r="EE558" s="8"/>
      <c r="EF558" s="8"/>
      <c r="EG558" s="8"/>
      <c r="EH558" s="8"/>
      <c r="EI558" s="8"/>
      <c r="EJ558" s="8"/>
      <c r="EK558" s="8"/>
      <c r="EL558" s="8"/>
      <c r="EM558" s="8"/>
      <c r="EN558" s="8"/>
      <c r="EO558" s="8"/>
      <c r="EP558" s="8"/>
      <c r="EQ558" s="8"/>
      <c r="ER558" s="8"/>
      <c r="ES558" s="8"/>
      <c r="ET558" s="8"/>
      <c r="EU558" s="8"/>
    </row>
    <row r="559" spans="2:151" x14ac:dyDescent="0.4"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  <c r="BA559" s="10"/>
      <c r="BB559" s="10"/>
      <c r="BC559" s="10"/>
      <c r="BD559" s="10"/>
      <c r="BE559" s="10"/>
      <c r="BF559" s="10"/>
      <c r="BG559" s="10"/>
      <c r="BH559" s="10"/>
      <c r="BI559" s="10"/>
      <c r="BJ559" s="10"/>
      <c r="BK559" s="10"/>
      <c r="BL559" s="10"/>
      <c r="BM559" s="10"/>
      <c r="BN559" s="10"/>
      <c r="BO559" s="10"/>
      <c r="BP559" s="10"/>
      <c r="BQ559" s="10"/>
      <c r="BR559" s="10"/>
      <c r="BS559" s="10"/>
      <c r="BT559" s="10"/>
      <c r="BU559" s="10"/>
      <c r="BV559" s="10"/>
      <c r="BW559" s="10"/>
      <c r="BX559" s="10"/>
      <c r="BY559" s="10"/>
      <c r="BZ559" s="10"/>
      <c r="CA559" s="10"/>
      <c r="CB559" s="10"/>
      <c r="CC559" s="10"/>
      <c r="CD559" s="10"/>
      <c r="CE559" s="10"/>
      <c r="CF559" s="10"/>
      <c r="CG559" s="10"/>
      <c r="CH559" s="10"/>
      <c r="CI559" s="10"/>
      <c r="CJ559" s="10"/>
      <c r="CK559" s="10"/>
      <c r="CL559" s="10"/>
      <c r="CM559" s="10"/>
      <c r="CN559" s="10"/>
      <c r="CO559" s="10"/>
      <c r="CP559" s="10"/>
      <c r="CQ559" s="10"/>
      <c r="CR559" s="10"/>
      <c r="CS559" s="10"/>
      <c r="CT559" s="10"/>
      <c r="CU559" s="10"/>
      <c r="CV559" s="10"/>
      <c r="CW559" s="10"/>
      <c r="CX559" s="10"/>
      <c r="CY559" s="10"/>
      <c r="CZ559" s="10"/>
      <c r="DA559" s="10"/>
      <c r="DB559" s="10"/>
      <c r="DC559" s="10"/>
      <c r="DD559" s="10"/>
      <c r="DE559" s="10"/>
      <c r="DF559" s="10"/>
      <c r="DG559" s="10"/>
      <c r="DH559" s="10"/>
      <c r="DI559" s="10"/>
      <c r="DJ559" s="10"/>
      <c r="DK559" s="10"/>
      <c r="DL559" s="10"/>
      <c r="DM559" s="10"/>
      <c r="DN559" s="10"/>
      <c r="DO559" s="10"/>
      <c r="DP559" s="10"/>
      <c r="DQ559" s="10"/>
      <c r="DR559" s="10"/>
      <c r="DS559" s="10"/>
      <c r="DT559" s="10"/>
      <c r="DU559" s="10"/>
      <c r="DV559" s="10"/>
      <c r="DW559" s="10"/>
      <c r="DX559" s="10"/>
      <c r="DY559" s="10"/>
      <c r="DZ559" s="10"/>
      <c r="EA559" s="10"/>
      <c r="EB559" s="10"/>
      <c r="EC559" s="10"/>
      <c r="ED559" s="10"/>
      <c r="EE559" s="10"/>
      <c r="EF559" s="10"/>
      <c r="EG559" s="10"/>
      <c r="EH559" s="10"/>
      <c r="EI559" s="10"/>
      <c r="EJ559" s="10"/>
      <c r="EK559" s="10"/>
      <c r="EL559" s="10"/>
      <c r="EM559" s="10"/>
      <c r="EN559" s="10"/>
      <c r="EO559" s="10"/>
      <c r="EP559" s="10"/>
      <c r="EQ559" s="10"/>
      <c r="ER559" s="10"/>
      <c r="ES559" s="10"/>
      <c r="ET559" s="10"/>
      <c r="EU559" s="10"/>
    </row>
    <row r="560" spans="2:151" x14ac:dyDescent="0.4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  <c r="ED560" s="8"/>
      <c r="EE560" s="8"/>
      <c r="EF560" s="8"/>
      <c r="EG560" s="8"/>
      <c r="EH560" s="8"/>
      <c r="EI560" s="8"/>
      <c r="EJ560" s="8"/>
      <c r="EK560" s="8"/>
      <c r="EL560" s="8"/>
      <c r="EM560" s="8"/>
      <c r="EN560" s="8"/>
      <c r="EO560" s="8"/>
      <c r="EP560" s="8"/>
      <c r="EQ560" s="8"/>
      <c r="ER560" s="8"/>
      <c r="ES560" s="8"/>
      <c r="ET560" s="8"/>
      <c r="EU560" s="8"/>
    </row>
    <row r="561" spans="2:151" x14ac:dyDescent="0.4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  <c r="ED561" s="8"/>
      <c r="EE561" s="8"/>
      <c r="EF561" s="8"/>
      <c r="EG561" s="8"/>
      <c r="EH561" s="8"/>
      <c r="EI561" s="8"/>
      <c r="EJ561" s="8"/>
      <c r="EK561" s="8"/>
      <c r="EL561" s="8"/>
      <c r="EM561" s="8"/>
      <c r="EN561" s="8"/>
      <c r="EO561" s="8"/>
      <c r="EP561" s="8"/>
      <c r="EQ561" s="8"/>
      <c r="ER561" s="8"/>
      <c r="ES561" s="8"/>
      <c r="ET561" s="8"/>
      <c r="EU561" s="8"/>
    </row>
    <row r="562" spans="2:151" x14ac:dyDescent="0.4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  <c r="ED562" s="8"/>
      <c r="EE562" s="8"/>
      <c r="EF562" s="8"/>
      <c r="EG562" s="8"/>
      <c r="EH562" s="8"/>
      <c r="EI562" s="8"/>
      <c r="EJ562" s="8"/>
      <c r="EK562" s="8"/>
      <c r="EL562" s="8"/>
      <c r="EM562" s="8"/>
      <c r="EN562" s="8"/>
      <c r="EO562" s="8"/>
      <c r="EP562" s="8"/>
      <c r="EQ562" s="8"/>
      <c r="ER562" s="8"/>
      <c r="ES562" s="8"/>
      <c r="ET562" s="8"/>
      <c r="EU562" s="8"/>
    </row>
    <row r="563" spans="2:151" x14ac:dyDescent="0.4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  <c r="ED563" s="8"/>
      <c r="EE563" s="8"/>
      <c r="EF563" s="8"/>
      <c r="EG563" s="8"/>
      <c r="EH563" s="8"/>
      <c r="EI563" s="8"/>
      <c r="EJ563" s="8"/>
      <c r="EK563" s="8"/>
      <c r="EL563" s="8"/>
      <c r="EM563" s="8"/>
      <c r="EN563" s="8"/>
      <c r="EO563" s="8"/>
      <c r="EP563" s="8"/>
      <c r="EQ563" s="8"/>
      <c r="ER563" s="8"/>
      <c r="ES563" s="8"/>
      <c r="ET563" s="8"/>
      <c r="EU563" s="8"/>
    </row>
    <row r="564" spans="2:151" x14ac:dyDescent="0.4"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  <c r="BA564" s="10"/>
      <c r="BB564" s="10"/>
      <c r="BC564" s="10"/>
      <c r="BD564" s="10"/>
      <c r="BE564" s="10"/>
      <c r="BF564" s="10"/>
      <c r="BG564" s="10"/>
      <c r="BH564" s="10"/>
      <c r="BI564" s="10"/>
      <c r="BJ564" s="10"/>
      <c r="BK564" s="10"/>
      <c r="BL564" s="10"/>
      <c r="BM564" s="10"/>
      <c r="BN564" s="10"/>
      <c r="BO564" s="10"/>
      <c r="BP564" s="10"/>
      <c r="BQ564" s="10"/>
      <c r="BR564" s="10"/>
      <c r="BS564" s="10"/>
      <c r="BT564" s="10"/>
      <c r="BU564" s="10"/>
      <c r="BV564" s="10"/>
      <c r="BW564" s="10"/>
      <c r="BX564" s="10"/>
      <c r="BY564" s="10"/>
      <c r="BZ564" s="10"/>
      <c r="CA564" s="10"/>
      <c r="CB564" s="10"/>
      <c r="CC564" s="10"/>
      <c r="CD564" s="10"/>
      <c r="CE564" s="10"/>
      <c r="CF564" s="10"/>
      <c r="CG564" s="10"/>
      <c r="CH564" s="10"/>
      <c r="CI564" s="10"/>
      <c r="CJ564" s="10"/>
      <c r="CK564" s="10"/>
      <c r="CL564" s="10"/>
      <c r="CM564" s="10"/>
      <c r="CN564" s="10"/>
      <c r="CO564" s="10"/>
      <c r="CP564" s="10"/>
      <c r="CQ564" s="10"/>
      <c r="CR564" s="10"/>
      <c r="CS564" s="10"/>
      <c r="CT564" s="10"/>
      <c r="CU564" s="10"/>
      <c r="CV564" s="10"/>
      <c r="CW564" s="10"/>
      <c r="CX564" s="10"/>
      <c r="CY564" s="10"/>
      <c r="CZ564" s="10"/>
      <c r="DA564" s="10"/>
      <c r="DB564" s="10"/>
      <c r="DC564" s="10"/>
      <c r="DD564" s="10"/>
      <c r="DE564" s="10"/>
      <c r="DF564" s="10"/>
      <c r="DG564" s="10"/>
      <c r="DH564" s="10"/>
      <c r="DI564" s="10"/>
      <c r="DJ564" s="10"/>
      <c r="DK564" s="10"/>
      <c r="DL564" s="10"/>
      <c r="DM564" s="10"/>
      <c r="DN564" s="10"/>
      <c r="DO564" s="10"/>
      <c r="DP564" s="10"/>
      <c r="DQ564" s="10"/>
      <c r="DR564" s="10"/>
      <c r="DS564" s="10"/>
      <c r="DT564" s="10"/>
      <c r="DU564" s="10"/>
      <c r="DV564" s="10"/>
      <c r="DW564" s="10"/>
      <c r="DX564" s="10"/>
      <c r="DY564" s="10"/>
      <c r="DZ564" s="10"/>
      <c r="EA564" s="10"/>
      <c r="EB564" s="10"/>
      <c r="EC564" s="10"/>
      <c r="ED564" s="10"/>
      <c r="EE564" s="10"/>
      <c r="EF564" s="10"/>
      <c r="EG564" s="10"/>
      <c r="EH564" s="10"/>
      <c r="EI564" s="10"/>
      <c r="EJ564" s="10"/>
      <c r="EK564" s="10"/>
      <c r="EL564" s="10"/>
      <c r="EM564" s="10"/>
      <c r="EN564" s="10"/>
      <c r="EO564" s="10"/>
      <c r="EP564" s="10"/>
      <c r="EQ564" s="10"/>
      <c r="ER564" s="10"/>
      <c r="ES564" s="10"/>
      <c r="ET564" s="10"/>
      <c r="EU564" s="10"/>
    </row>
    <row r="565" spans="2:151" x14ac:dyDescent="0.4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  <c r="ED565" s="8"/>
      <c r="EE565" s="8"/>
      <c r="EF565" s="8"/>
      <c r="EG565" s="8"/>
      <c r="EH565" s="8"/>
      <c r="EI565" s="8"/>
      <c r="EJ565" s="8"/>
      <c r="EK565" s="8"/>
      <c r="EL565" s="8"/>
      <c r="EM565" s="8"/>
      <c r="EN565" s="8"/>
      <c r="EO565" s="8"/>
      <c r="EP565" s="8"/>
      <c r="EQ565" s="8"/>
      <c r="ER565" s="8"/>
      <c r="ES565" s="8"/>
      <c r="ET565" s="8"/>
      <c r="EU565" s="8"/>
    </row>
    <row r="566" spans="2:151" x14ac:dyDescent="0.4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  <c r="ED566" s="8"/>
      <c r="EE566" s="8"/>
      <c r="EF566" s="8"/>
      <c r="EG566" s="8"/>
      <c r="EH566" s="8"/>
      <c r="EI566" s="8"/>
      <c r="EJ566" s="8"/>
      <c r="EK566" s="8"/>
      <c r="EL566" s="8"/>
      <c r="EM566" s="8"/>
      <c r="EN566" s="8"/>
      <c r="EO566" s="8"/>
      <c r="EP566" s="8"/>
      <c r="EQ566" s="8"/>
      <c r="ER566" s="8"/>
      <c r="ES566" s="8"/>
      <c r="ET566" s="8"/>
      <c r="EU566" s="8"/>
    </row>
    <row r="567" spans="2:151" x14ac:dyDescent="0.4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  <c r="ED567" s="8"/>
      <c r="EE567" s="8"/>
      <c r="EF567" s="8"/>
      <c r="EG567" s="8"/>
      <c r="EH567" s="8"/>
      <c r="EI567" s="8"/>
      <c r="EJ567" s="8"/>
      <c r="EK567" s="8"/>
      <c r="EL567" s="8"/>
      <c r="EM567" s="8"/>
      <c r="EN567" s="8"/>
      <c r="EO567" s="8"/>
      <c r="EP567" s="8"/>
      <c r="EQ567" s="8"/>
      <c r="ER567" s="8"/>
      <c r="ES567" s="8"/>
      <c r="ET567" s="8"/>
      <c r="EU567" s="8"/>
    </row>
    <row r="568" spans="2:151" x14ac:dyDescent="0.4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  <c r="ED568" s="8"/>
      <c r="EE568" s="8"/>
      <c r="EF568" s="8"/>
      <c r="EG568" s="8"/>
      <c r="EH568" s="8"/>
      <c r="EI568" s="8"/>
      <c r="EJ568" s="8"/>
      <c r="EK568" s="8"/>
      <c r="EL568" s="8"/>
      <c r="EM568" s="8"/>
      <c r="EN568" s="8"/>
      <c r="EO568" s="8"/>
      <c r="EP568" s="8"/>
      <c r="EQ568" s="8"/>
      <c r="ER568" s="8"/>
      <c r="ES568" s="8"/>
      <c r="ET568" s="8"/>
      <c r="EU568" s="8"/>
    </row>
    <row r="569" spans="2:151" x14ac:dyDescent="0.4"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  <c r="BA569" s="10"/>
      <c r="BB569" s="10"/>
      <c r="BC569" s="10"/>
      <c r="BD569" s="10"/>
      <c r="BE569" s="10"/>
      <c r="BF569" s="10"/>
      <c r="BG569" s="10"/>
      <c r="BH569" s="10"/>
      <c r="BI569" s="10"/>
      <c r="BJ569" s="10"/>
      <c r="BK569" s="10"/>
      <c r="BL569" s="10"/>
      <c r="BM569" s="10"/>
      <c r="BN569" s="10"/>
      <c r="BO569" s="10"/>
      <c r="BP569" s="10"/>
      <c r="BQ569" s="10"/>
      <c r="BR569" s="10"/>
      <c r="BS569" s="10"/>
      <c r="BT569" s="10"/>
      <c r="BU569" s="10"/>
      <c r="BV569" s="10"/>
      <c r="BW569" s="10"/>
      <c r="BX569" s="10"/>
      <c r="BY569" s="10"/>
      <c r="BZ569" s="10"/>
      <c r="CA569" s="10"/>
      <c r="CB569" s="10"/>
      <c r="CC569" s="10"/>
      <c r="CD569" s="10"/>
      <c r="CE569" s="10"/>
      <c r="CF569" s="10"/>
      <c r="CG569" s="10"/>
      <c r="CH569" s="10"/>
      <c r="CI569" s="10"/>
      <c r="CJ569" s="10"/>
      <c r="CK569" s="10"/>
      <c r="CL569" s="10"/>
      <c r="CM569" s="10"/>
      <c r="CN569" s="10"/>
      <c r="CO569" s="10"/>
      <c r="CP569" s="10"/>
      <c r="CQ569" s="10"/>
      <c r="CR569" s="10"/>
      <c r="CS569" s="10"/>
      <c r="CT569" s="10"/>
      <c r="CU569" s="10"/>
      <c r="CV569" s="10"/>
      <c r="CW569" s="10"/>
      <c r="CX569" s="10"/>
      <c r="CY569" s="10"/>
      <c r="CZ569" s="10"/>
      <c r="DA569" s="10"/>
      <c r="DB569" s="10"/>
      <c r="DC569" s="10"/>
      <c r="DD569" s="10"/>
      <c r="DE569" s="10"/>
      <c r="DF569" s="10"/>
      <c r="DG569" s="10"/>
      <c r="DH569" s="10"/>
      <c r="DI569" s="10"/>
      <c r="DJ569" s="10"/>
      <c r="DK569" s="10"/>
      <c r="DL569" s="10"/>
      <c r="DM569" s="10"/>
      <c r="DN569" s="10"/>
      <c r="DO569" s="10"/>
      <c r="DP569" s="10"/>
      <c r="DQ569" s="10"/>
      <c r="DR569" s="10"/>
      <c r="DS569" s="10"/>
      <c r="DT569" s="10"/>
      <c r="DU569" s="10"/>
      <c r="DV569" s="10"/>
      <c r="DW569" s="10"/>
      <c r="DX569" s="10"/>
      <c r="DY569" s="10"/>
      <c r="DZ569" s="10"/>
      <c r="EA569" s="10"/>
      <c r="EB569" s="10"/>
      <c r="EC569" s="10"/>
      <c r="ED569" s="10"/>
      <c r="EE569" s="10"/>
      <c r="EF569" s="10"/>
      <c r="EG569" s="10"/>
      <c r="EH569" s="10"/>
      <c r="EI569" s="10"/>
      <c r="EJ569" s="10"/>
      <c r="EK569" s="10"/>
      <c r="EL569" s="10"/>
      <c r="EM569" s="10"/>
      <c r="EN569" s="10"/>
      <c r="EO569" s="10"/>
      <c r="EP569" s="10"/>
      <c r="EQ569" s="10"/>
      <c r="ER569" s="10"/>
      <c r="ES569" s="10"/>
      <c r="ET569" s="10"/>
      <c r="EU569" s="10"/>
    </row>
    <row r="570" spans="2:151" x14ac:dyDescent="0.4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  <c r="ED570" s="8"/>
      <c r="EE570" s="8"/>
      <c r="EF570" s="8"/>
      <c r="EG570" s="8"/>
      <c r="EH570" s="8"/>
      <c r="EI570" s="8"/>
      <c r="EJ570" s="8"/>
      <c r="EK570" s="8"/>
      <c r="EL570" s="8"/>
      <c r="EM570" s="8"/>
      <c r="EN570" s="8"/>
      <c r="EO570" s="8"/>
      <c r="EP570" s="8"/>
      <c r="EQ570" s="8"/>
      <c r="ER570" s="8"/>
      <c r="ES570" s="8"/>
      <c r="ET570" s="8"/>
      <c r="EU570" s="8"/>
    </row>
    <row r="571" spans="2:151" x14ac:dyDescent="0.4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  <c r="ED571" s="8"/>
      <c r="EE571" s="8"/>
      <c r="EF571" s="8"/>
      <c r="EG571" s="8"/>
      <c r="EH571" s="8"/>
      <c r="EI571" s="8"/>
      <c r="EJ571" s="8"/>
      <c r="EK571" s="8"/>
      <c r="EL571" s="8"/>
      <c r="EM571" s="8"/>
      <c r="EN571" s="8"/>
      <c r="EO571" s="8"/>
      <c r="EP571" s="8"/>
      <c r="EQ571" s="8"/>
      <c r="ER571" s="8"/>
      <c r="ES571" s="8"/>
      <c r="ET571" s="8"/>
      <c r="EU571" s="8"/>
    </row>
    <row r="572" spans="2:151" x14ac:dyDescent="0.4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  <c r="ED572" s="8"/>
      <c r="EE572" s="8"/>
      <c r="EF572" s="8"/>
      <c r="EG572" s="8"/>
      <c r="EH572" s="8"/>
      <c r="EI572" s="8"/>
      <c r="EJ572" s="8"/>
      <c r="EK572" s="8"/>
      <c r="EL572" s="8"/>
      <c r="EM572" s="8"/>
      <c r="EN572" s="8"/>
      <c r="EO572" s="8"/>
      <c r="EP572" s="8"/>
      <c r="EQ572" s="8"/>
      <c r="ER572" s="8"/>
      <c r="ES572" s="8"/>
      <c r="ET572" s="8"/>
      <c r="EU572" s="8"/>
    </row>
    <row r="573" spans="2:151" x14ac:dyDescent="0.4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  <c r="ED573" s="8"/>
      <c r="EE573" s="8"/>
      <c r="EF573" s="8"/>
      <c r="EG573" s="8"/>
      <c r="EH573" s="8"/>
      <c r="EI573" s="8"/>
      <c r="EJ573" s="8"/>
      <c r="EK573" s="8"/>
      <c r="EL573" s="8"/>
      <c r="EM573" s="8"/>
      <c r="EN573" s="8"/>
      <c r="EO573" s="8"/>
      <c r="EP573" s="8"/>
      <c r="EQ573" s="8"/>
      <c r="ER573" s="8"/>
      <c r="ES573" s="8"/>
      <c r="ET573" s="8"/>
      <c r="EU573" s="8"/>
    </row>
    <row r="574" spans="2:151" x14ac:dyDescent="0.4"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  <c r="BA574" s="10"/>
      <c r="BB574" s="10"/>
      <c r="BC574" s="10"/>
      <c r="BD574" s="10"/>
      <c r="BE574" s="10"/>
      <c r="BF574" s="10"/>
      <c r="BG574" s="10"/>
      <c r="BH574" s="10"/>
      <c r="BI574" s="10"/>
      <c r="BJ574" s="10"/>
      <c r="BK574" s="10"/>
      <c r="BL574" s="10"/>
      <c r="BM574" s="10"/>
      <c r="BN574" s="10"/>
      <c r="BO574" s="10"/>
      <c r="BP574" s="10"/>
      <c r="BQ574" s="10"/>
      <c r="BR574" s="10"/>
      <c r="BS574" s="10"/>
      <c r="BT574" s="10"/>
      <c r="BU574" s="10"/>
      <c r="BV574" s="10"/>
      <c r="BW574" s="10"/>
      <c r="BX574" s="10"/>
      <c r="BY574" s="10"/>
      <c r="BZ574" s="10"/>
      <c r="CA574" s="10"/>
      <c r="CB574" s="10"/>
      <c r="CC574" s="10"/>
      <c r="CD574" s="10"/>
      <c r="CE574" s="10"/>
      <c r="CF574" s="10"/>
      <c r="CG574" s="10"/>
      <c r="CH574" s="10"/>
      <c r="CI574" s="10"/>
      <c r="CJ574" s="10"/>
      <c r="CK574" s="10"/>
      <c r="CL574" s="10"/>
      <c r="CM574" s="10"/>
      <c r="CN574" s="10"/>
      <c r="CO574" s="10"/>
      <c r="CP574" s="10"/>
      <c r="CQ574" s="10"/>
      <c r="CR574" s="10"/>
      <c r="CS574" s="10"/>
      <c r="CT574" s="10"/>
      <c r="CU574" s="10"/>
      <c r="CV574" s="10"/>
      <c r="CW574" s="10"/>
      <c r="CX574" s="10"/>
      <c r="CY574" s="10"/>
      <c r="CZ574" s="10"/>
      <c r="DA574" s="10"/>
      <c r="DB574" s="10"/>
      <c r="DC574" s="10"/>
      <c r="DD574" s="10"/>
      <c r="DE574" s="10"/>
      <c r="DF574" s="10"/>
      <c r="DG574" s="10"/>
      <c r="DH574" s="10"/>
      <c r="DI574" s="10"/>
      <c r="DJ574" s="10"/>
      <c r="DK574" s="10"/>
      <c r="DL574" s="10"/>
      <c r="DM574" s="10"/>
      <c r="DN574" s="10"/>
      <c r="DO574" s="10"/>
      <c r="DP574" s="10"/>
      <c r="DQ574" s="10"/>
      <c r="DR574" s="10"/>
      <c r="DS574" s="10"/>
      <c r="DT574" s="10"/>
      <c r="DU574" s="10"/>
      <c r="DV574" s="10"/>
      <c r="DW574" s="10"/>
      <c r="DX574" s="10"/>
      <c r="DY574" s="10"/>
      <c r="DZ574" s="10"/>
      <c r="EA574" s="10"/>
      <c r="EB574" s="10"/>
      <c r="EC574" s="10"/>
      <c r="ED574" s="10"/>
      <c r="EE574" s="10"/>
      <c r="EF574" s="10"/>
      <c r="EG574" s="10"/>
      <c r="EH574" s="10"/>
      <c r="EI574" s="10"/>
      <c r="EJ574" s="10"/>
      <c r="EK574" s="10"/>
      <c r="EL574" s="10"/>
      <c r="EM574" s="10"/>
      <c r="EN574" s="10"/>
      <c r="EO574" s="10"/>
      <c r="EP574" s="10"/>
      <c r="EQ574" s="10"/>
      <c r="ER574" s="10"/>
      <c r="ES574" s="10"/>
      <c r="ET574" s="10"/>
      <c r="EU574" s="10"/>
    </row>
    <row r="575" spans="2:151" x14ac:dyDescent="0.4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  <c r="ED575" s="8"/>
      <c r="EE575" s="8"/>
      <c r="EF575" s="8"/>
      <c r="EG575" s="8"/>
      <c r="EH575" s="8"/>
      <c r="EI575" s="8"/>
      <c r="EJ575" s="8"/>
      <c r="EK575" s="8"/>
      <c r="EL575" s="8"/>
      <c r="EM575" s="8"/>
      <c r="EN575" s="8"/>
      <c r="EO575" s="8"/>
      <c r="EP575" s="8"/>
      <c r="EQ575" s="8"/>
      <c r="ER575" s="8"/>
      <c r="ES575" s="8"/>
      <c r="ET575" s="8"/>
      <c r="EU575" s="8"/>
    </row>
    <row r="576" spans="2:151" x14ac:dyDescent="0.4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  <c r="ED576" s="8"/>
      <c r="EE576" s="8"/>
      <c r="EF576" s="8"/>
      <c r="EG576" s="8"/>
      <c r="EH576" s="8"/>
      <c r="EI576" s="8"/>
      <c r="EJ576" s="8"/>
      <c r="EK576" s="8"/>
      <c r="EL576" s="8"/>
      <c r="EM576" s="8"/>
      <c r="EN576" s="8"/>
      <c r="EO576" s="8"/>
      <c r="EP576" s="8"/>
      <c r="EQ576" s="8"/>
      <c r="ER576" s="8"/>
      <c r="ES576" s="8"/>
      <c r="ET576" s="8"/>
      <c r="EU576" s="8"/>
    </row>
    <row r="577" spans="2:151" x14ac:dyDescent="0.4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  <c r="ED577" s="8"/>
      <c r="EE577" s="8"/>
      <c r="EF577" s="8"/>
      <c r="EG577" s="8"/>
      <c r="EH577" s="8"/>
      <c r="EI577" s="8"/>
      <c r="EJ577" s="8"/>
      <c r="EK577" s="8"/>
      <c r="EL577" s="8"/>
      <c r="EM577" s="8"/>
      <c r="EN577" s="8"/>
      <c r="EO577" s="8"/>
      <c r="EP577" s="8"/>
      <c r="EQ577" s="8"/>
      <c r="ER577" s="8"/>
      <c r="ES577" s="8"/>
      <c r="ET577" s="8"/>
      <c r="EU577" s="8"/>
    </row>
    <row r="578" spans="2:151" x14ac:dyDescent="0.4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  <c r="ED578" s="8"/>
      <c r="EE578" s="8"/>
      <c r="EF578" s="8"/>
      <c r="EG578" s="8"/>
      <c r="EH578" s="8"/>
      <c r="EI578" s="8"/>
      <c r="EJ578" s="8"/>
      <c r="EK578" s="8"/>
      <c r="EL578" s="8"/>
      <c r="EM578" s="8"/>
      <c r="EN578" s="8"/>
      <c r="EO578" s="8"/>
      <c r="EP578" s="8"/>
      <c r="EQ578" s="8"/>
      <c r="ER578" s="8"/>
      <c r="ES578" s="8"/>
      <c r="ET578" s="8"/>
      <c r="EU578" s="8"/>
    </row>
    <row r="579" spans="2:151" x14ac:dyDescent="0.4"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  <c r="BA579" s="10"/>
      <c r="BB579" s="10"/>
      <c r="BC579" s="10"/>
      <c r="BD579" s="10"/>
      <c r="BE579" s="10"/>
      <c r="BF579" s="10"/>
      <c r="BG579" s="10"/>
      <c r="BH579" s="10"/>
      <c r="BI579" s="10"/>
      <c r="BJ579" s="10"/>
      <c r="BK579" s="10"/>
      <c r="BL579" s="10"/>
      <c r="BM579" s="10"/>
      <c r="BN579" s="10"/>
      <c r="BO579" s="10"/>
      <c r="BP579" s="10"/>
      <c r="BQ579" s="10"/>
      <c r="BR579" s="10"/>
      <c r="BS579" s="10"/>
      <c r="BT579" s="10"/>
      <c r="BU579" s="10"/>
      <c r="BV579" s="10"/>
      <c r="BW579" s="10"/>
      <c r="BX579" s="10"/>
      <c r="BY579" s="10"/>
      <c r="BZ579" s="10"/>
      <c r="CA579" s="10"/>
      <c r="CB579" s="10"/>
      <c r="CC579" s="10"/>
      <c r="CD579" s="10"/>
      <c r="CE579" s="10"/>
      <c r="CF579" s="10"/>
      <c r="CG579" s="10"/>
      <c r="CH579" s="10"/>
      <c r="CI579" s="10"/>
      <c r="CJ579" s="10"/>
      <c r="CK579" s="10"/>
      <c r="CL579" s="10"/>
      <c r="CM579" s="10"/>
      <c r="CN579" s="10"/>
      <c r="CO579" s="10"/>
      <c r="CP579" s="10"/>
      <c r="CQ579" s="10"/>
      <c r="CR579" s="10"/>
      <c r="CS579" s="10"/>
      <c r="CT579" s="10"/>
      <c r="CU579" s="10"/>
      <c r="CV579" s="10"/>
      <c r="CW579" s="10"/>
      <c r="CX579" s="10"/>
      <c r="CY579" s="10"/>
      <c r="CZ579" s="10"/>
      <c r="DA579" s="10"/>
      <c r="DB579" s="10"/>
      <c r="DC579" s="10"/>
      <c r="DD579" s="10"/>
      <c r="DE579" s="10"/>
      <c r="DF579" s="10"/>
      <c r="DG579" s="10"/>
      <c r="DH579" s="10"/>
      <c r="DI579" s="10"/>
      <c r="DJ579" s="10"/>
      <c r="DK579" s="10"/>
      <c r="DL579" s="10"/>
      <c r="DM579" s="10"/>
      <c r="DN579" s="10"/>
      <c r="DO579" s="10"/>
      <c r="DP579" s="10"/>
      <c r="DQ579" s="10"/>
      <c r="DR579" s="10"/>
      <c r="DS579" s="10"/>
      <c r="DT579" s="10"/>
      <c r="DU579" s="10"/>
      <c r="DV579" s="10"/>
      <c r="DW579" s="10"/>
      <c r="DX579" s="10"/>
      <c r="DY579" s="10"/>
      <c r="DZ579" s="10"/>
      <c r="EA579" s="10"/>
      <c r="EB579" s="10"/>
      <c r="EC579" s="10"/>
      <c r="ED579" s="10"/>
      <c r="EE579" s="10"/>
      <c r="EF579" s="10"/>
      <c r="EG579" s="10"/>
      <c r="EH579" s="10"/>
      <c r="EI579" s="10"/>
      <c r="EJ579" s="10"/>
      <c r="EK579" s="10"/>
      <c r="EL579" s="10"/>
      <c r="EM579" s="10"/>
      <c r="EN579" s="10"/>
      <c r="EO579" s="10"/>
      <c r="EP579" s="10"/>
      <c r="EQ579" s="10"/>
      <c r="ER579" s="10"/>
      <c r="ES579" s="10"/>
      <c r="ET579" s="10"/>
      <c r="EU579" s="10"/>
    </row>
    <row r="580" spans="2:151" x14ac:dyDescent="0.4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  <c r="DU580" s="8"/>
      <c r="DV580" s="8"/>
      <c r="DW580" s="8"/>
      <c r="DX580" s="8"/>
      <c r="DY580" s="8"/>
      <c r="DZ580" s="8"/>
      <c r="EA580" s="8"/>
      <c r="EB580" s="8"/>
      <c r="EC580" s="8"/>
      <c r="ED580" s="8"/>
      <c r="EE580" s="8"/>
      <c r="EF580" s="8"/>
      <c r="EG580" s="8"/>
      <c r="EH580" s="8"/>
      <c r="EI580" s="8"/>
      <c r="EJ580" s="8"/>
      <c r="EK580" s="8"/>
      <c r="EL580" s="8"/>
      <c r="EM580" s="8"/>
      <c r="EN580" s="8"/>
      <c r="EO580" s="8"/>
      <c r="EP580" s="8"/>
      <c r="EQ580" s="8"/>
      <c r="ER580" s="8"/>
      <c r="ES580" s="8"/>
      <c r="ET580" s="8"/>
      <c r="EU580" s="8"/>
    </row>
    <row r="581" spans="2:151" x14ac:dyDescent="0.4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8"/>
      <c r="DV581" s="8"/>
      <c r="DW581" s="8"/>
      <c r="DX581" s="8"/>
      <c r="DY581" s="8"/>
      <c r="DZ581" s="8"/>
      <c r="EA581" s="8"/>
      <c r="EB581" s="8"/>
      <c r="EC581" s="8"/>
      <c r="ED581" s="8"/>
      <c r="EE581" s="8"/>
      <c r="EF581" s="8"/>
      <c r="EG581" s="8"/>
      <c r="EH581" s="8"/>
      <c r="EI581" s="8"/>
      <c r="EJ581" s="8"/>
      <c r="EK581" s="8"/>
      <c r="EL581" s="8"/>
      <c r="EM581" s="8"/>
      <c r="EN581" s="8"/>
      <c r="EO581" s="8"/>
      <c r="EP581" s="8"/>
      <c r="EQ581" s="8"/>
      <c r="ER581" s="8"/>
      <c r="ES581" s="8"/>
      <c r="ET581" s="8"/>
      <c r="EU581" s="8"/>
    </row>
    <row r="582" spans="2:151" x14ac:dyDescent="0.4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  <c r="CQ582" s="8"/>
      <c r="CR582" s="8"/>
      <c r="CS582" s="8"/>
      <c r="CT582" s="8"/>
      <c r="CU582" s="8"/>
      <c r="CV582" s="8"/>
      <c r="CW582" s="8"/>
      <c r="CX582" s="8"/>
      <c r="CY582" s="8"/>
      <c r="CZ582" s="8"/>
      <c r="DA582" s="8"/>
      <c r="DB582" s="8"/>
      <c r="DC582" s="8"/>
      <c r="DD582" s="8"/>
      <c r="DE582" s="8"/>
      <c r="DF582" s="8"/>
      <c r="DG582" s="8"/>
      <c r="DH582" s="8"/>
      <c r="DI582" s="8"/>
      <c r="DJ582" s="8"/>
      <c r="DK582" s="8"/>
      <c r="DL582" s="8"/>
      <c r="DM582" s="8"/>
      <c r="DN582" s="8"/>
      <c r="DO582" s="8"/>
      <c r="DP582" s="8"/>
      <c r="DQ582" s="8"/>
      <c r="DR582" s="8"/>
      <c r="DS582" s="8"/>
      <c r="DT582" s="8"/>
      <c r="DU582" s="8"/>
      <c r="DV582" s="8"/>
      <c r="DW582" s="8"/>
      <c r="DX582" s="8"/>
      <c r="DY582" s="8"/>
      <c r="DZ582" s="8"/>
      <c r="EA582" s="8"/>
      <c r="EB582" s="8"/>
      <c r="EC582" s="8"/>
      <c r="ED582" s="8"/>
      <c r="EE582" s="8"/>
      <c r="EF582" s="8"/>
      <c r="EG582" s="8"/>
      <c r="EH582" s="8"/>
      <c r="EI582" s="8"/>
      <c r="EJ582" s="8"/>
      <c r="EK582" s="8"/>
      <c r="EL582" s="8"/>
      <c r="EM582" s="8"/>
      <c r="EN582" s="8"/>
      <c r="EO582" s="8"/>
      <c r="EP582" s="8"/>
      <c r="EQ582" s="8"/>
      <c r="ER582" s="8"/>
      <c r="ES582" s="8"/>
      <c r="ET582" s="8"/>
      <c r="EU582" s="8"/>
    </row>
    <row r="583" spans="2:151" x14ac:dyDescent="0.4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  <c r="CQ583" s="8"/>
      <c r="CR583" s="8"/>
      <c r="CS583" s="8"/>
      <c r="CT583" s="8"/>
      <c r="CU583" s="8"/>
      <c r="CV583" s="8"/>
      <c r="CW583" s="8"/>
      <c r="CX583" s="8"/>
      <c r="CY583" s="8"/>
      <c r="CZ583" s="8"/>
      <c r="DA583" s="8"/>
      <c r="DB583" s="8"/>
      <c r="DC583" s="8"/>
      <c r="DD583" s="8"/>
      <c r="DE583" s="8"/>
      <c r="DF583" s="8"/>
      <c r="DG583" s="8"/>
      <c r="DH583" s="8"/>
      <c r="DI583" s="8"/>
      <c r="DJ583" s="8"/>
      <c r="DK583" s="8"/>
      <c r="DL583" s="8"/>
      <c r="DM583" s="8"/>
      <c r="DN583" s="8"/>
      <c r="DO583" s="8"/>
      <c r="DP583" s="8"/>
      <c r="DQ583" s="8"/>
      <c r="DR583" s="8"/>
      <c r="DS583" s="8"/>
      <c r="DT583" s="8"/>
      <c r="DU583" s="8"/>
      <c r="DV583" s="8"/>
      <c r="DW583" s="8"/>
      <c r="DX583" s="8"/>
      <c r="DY583" s="8"/>
      <c r="DZ583" s="8"/>
      <c r="EA583" s="8"/>
      <c r="EB583" s="8"/>
      <c r="EC583" s="8"/>
      <c r="ED583" s="8"/>
      <c r="EE583" s="8"/>
      <c r="EF583" s="8"/>
      <c r="EG583" s="8"/>
      <c r="EH583" s="8"/>
      <c r="EI583" s="8"/>
      <c r="EJ583" s="8"/>
      <c r="EK583" s="8"/>
      <c r="EL583" s="8"/>
      <c r="EM583" s="8"/>
      <c r="EN583" s="8"/>
      <c r="EO583" s="8"/>
      <c r="EP583" s="8"/>
      <c r="EQ583" s="8"/>
      <c r="ER583" s="8"/>
      <c r="ES583" s="8"/>
      <c r="ET583" s="8"/>
      <c r="EU583" s="8"/>
    </row>
    <row r="584" spans="2:151" x14ac:dyDescent="0.4"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  <c r="BA584" s="10"/>
      <c r="BB584" s="10"/>
      <c r="BC584" s="10"/>
      <c r="BD584" s="10"/>
      <c r="BE584" s="10"/>
      <c r="BF584" s="10"/>
      <c r="BG584" s="10"/>
      <c r="BH584" s="10"/>
      <c r="BI584" s="10"/>
      <c r="BJ584" s="10"/>
      <c r="BK584" s="10"/>
      <c r="BL584" s="10"/>
      <c r="BM584" s="10"/>
      <c r="BN584" s="10"/>
      <c r="BO584" s="10"/>
      <c r="BP584" s="10"/>
      <c r="BQ584" s="10"/>
      <c r="BR584" s="10"/>
      <c r="BS584" s="10"/>
      <c r="BT584" s="10"/>
      <c r="BU584" s="10"/>
      <c r="BV584" s="10"/>
      <c r="BW584" s="10"/>
      <c r="BX584" s="10"/>
      <c r="BY584" s="10"/>
      <c r="BZ584" s="10"/>
      <c r="CA584" s="10"/>
      <c r="CB584" s="10"/>
      <c r="CC584" s="10"/>
      <c r="CD584" s="10"/>
      <c r="CE584" s="10"/>
      <c r="CF584" s="10"/>
      <c r="CG584" s="10"/>
      <c r="CH584" s="10"/>
      <c r="CI584" s="10"/>
      <c r="CJ584" s="10"/>
      <c r="CK584" s="10"/>
      <c r="CL584" s="10"/>
      <c r="CM584" s="10"/>
      <c r="CN584" s="10"/>
      <c r="CO584" s="10"/>
      <c r="CP584" s="10"/>
      <c r="CQ584" s="10"/>
      <c r="CR584" s="10"/>
      <c r="CS584" s="10"/>
      <c r="CT584" s="10"/>
      <c r="CU584" s="10"/>
      <c r="CV584" s="10"/>
      <c r="CW584" s="10"/>
      <c r="CX584" s="10"/>
      <c r="CY584" s="10"/>
      <c r="CZ584" s="10"/>
      <c r="DA584" s="10"/>
      <c r="DB584" s="10"/>
      <c r="DC584" s="10"/>
      <c r="DD584" s="10"/>
      <c r="DE584" s="10"/>
      <c r="DF584" s="10"/>
      <c r="DG584" s="10"/>
      <c r="DH584" s="10"/>
      <c r="DI584" s="10"/>
      <c r="DJ584" s="10"/>
      <c r="DK584" s="10"/>
      <c r="DL584" s="10"/>
      <c r="DM584" s="10"/>
      <c r="DN584" s="10"/>
      <c r="DO584" s="10"/>
      <c r="DP584" s="10"/>
      <c r="DQ584" s="10"/>
      <c r="DR584" s="10"/>
      <c r="DS584" s="10"/>
      <c r="DT584" s="10"/>
      <c r="DU584" s="10"/>
      <c r="DV584" s="10"/>
      <c r="DW584" s="10"/>
      <c r="DX584" s="10"/>
      <c r="DY584" s="10"/>
      <c r="DZ584" s="10"/>
      <c r="EA584" s="10"/>
      <c r="EB584" s="10"/>
      <c r="EC584" s="10"/>
      <c r="ED584" s="10"/>
      <c r="EE584" s="10"/>
      <c r="EF584" s="10"/>
      <c r="EG584" s="10"/>
      <c r="EH584" s="10"/>
      <c r="EI584" s="10"/>
      <c r="EJ584" s="10"/>
      <c r="EK584" s="10"/>
      <c r="EL584" s="10"/>
      <c r="EM584" s="10"/>
      <c r="EN584" s="10"/>
      <c r="EO584" s="10"/>
      <c r="EP584" s="10"/>
      <c r="EQ584" s="10"/>
      <c r="ER584" s="10"/>
      <c r="ES584" s="10"/>
      <c r="ET584" s="10"/>
      <c r="EU584" s="10"/>
    </row>
    <row r="585" spans="2:151" x14ac:dyDescent="0.4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  <c r="DU585" s="8"/>
      <c r="DV585" s="8"/>
      <c r="DW585" s="8"/>
      <c r="DX585" s="8"/>
      <c r="DY585" s="8"/>
      <c r="DZ585" s="8"/>
      <c r="EA585" s="8"/>
      <c r="EB585" s="8"/>
      <c r="EC585" s="8"/>
      <c r="ED585" s="8"/>
      <c r="EE585" s="8"/>
      <c r="EF585" s="8"/>
      <c r="EG585" s="8"/>
      <c r="EH585" s="8"/>
      <c r="EI585" s="8"/>
      <c r="EJ585" s="8"/>
      <c r="EK585" s="8"/>
      <c r="EL585" s="8"/>
      <c r="EM585" s="8"/>
      <c r="EN585" s="8"/>
      <c r="EO585" s="8"/>
      <c r="EP585" s="8"/>
      <c r="EQ585" s="8"/>
      <c r="ER585" s="8"/>
      <c r="ES585" s="8"/>
      <c r="ET585" s="8"/>
      <c r="EU585" s="8"/>
    </row>
    <row r="586" spans="2:151" x14ac:dyDescent="0.4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  <c r="DU586" s="8"/>
      <c r="DV586" s="8"/>
      <c r="DW586" s="8"/>
      <c r="DX586" s="8"/>
      <c r="DY586" s="8"/>
      <c r="DZ586" s="8"/>
      <c r="EA586" s="8"/>
      <c r="EB586" s="8"/>
      <c r="EC586" s="8"/>
      <c r="ED586" s="8"/>
      <c r="EE586" s="8"/>
      <c r="EF586" s="8"/>
      <c r="EG586" s="8"/>
      <c r="EH586" s="8"/>
      <c r="EI586" s="8"/>
      <c r="EJ586" s="8"/>
      <c r="EK586" s="8"/>
      <c r="EL586" s="8"/>
      <c r="EM586" s="8"/>
      <c r="EN586" s="8"/>
      <c r="EO586" s="8"/>
      <c r="EP586" s="8"/>
      <c r="EQ586" s="8"/>
      <c r="ER586" s="8"/>
      <c r="ES586" s="8"/>
      <c r="ET586" s="8"/>
      <c r="EU586" s="8"/>
    </row>
    <row r="587" spans="2:151" x14ac:dyDescent="0.4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8"/>
      <c r="DV587" s="8"/>
      <c r="DW587" s="8"/>
      <c r="DX587" s="8"/>
      <c r="DY587" s="8"/>
      <c r="DZ587" s="8"/>
      <c r="EA587" s="8"/>
      <c r="EB587" s="8"/>
      <c r="EC587" s="8"/>
      <c r="ED587" s="8"/>
      <c r="EE587" s="8"/>
      <c r="EF587" s="8"/>
      <c r="EG587" s="8"/>
      <c r="EH587" s="8"/>
      <c r="EI587" s="8"/>
      <c r="EJ587" s="8"/>
      <c r="EK587" s="8"/>
      <c r="EL587" s="8"/>
      <c r="EM587" s="8"/>
      <c r="EN587" s="8"/>
      <c r="EO587" s="8"/>
      <c r="EP587" s="8"/>
      <c r="EQ587" s="8"/>
      <c r="ER587" s="8"/>
      <c r="ES587" s="8"/>
      <c r="ET587" s="8"/>
      <c r="EU587" s="8"/>
    </row>
    <row r="588" spans="2:151" x14ac:dyDescent="0.4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  <c r="CQ588" s="8"/>
      <c r="CR588" s="8"/>
      <c r="CS588" s="8"/>
      <c r="CT588" s="8"/>
      <c r="CU588" s="8"/>
      <c r="CV588" s="8"/>
      <c r="CW588" s="8"/>
      <c r="CX588" s="8"/>
      <c r="CY588" s="8"/>
      <c r="CZ588" s="8"/>
      <c r="DA588" s="8"/>
      <c r="DB588" s="8"/>
      <c r="DC588" s="8"/>
      <c r="DD588" s="8"/>
      <c r="DE588" s="8"/>
      <c r="DF588" s="8"/>
      <c r="DG588" s="8"/>
      <c r="DH588" s="8"/>
      <c r="DI588" s="8"/>
      <c r="DJ588" s="8"/>
      <c r="DK588" s="8"/>
      <c r="DL588" s="8"/>
      <c r="DM588" s="8"/>
      <c r="DN588" s="8"/>
      <c r="DO588" s="8"/>
      <c r="DP588" s="8"/>
      <c r="DQ588" s="8"/>
      <c r="DR588" s="8"/>
      <c r="DS588" s="8"/>
      <c r="DT588" s="8"/>
      <c r="DU588" s="8"/>
      <c r="DV588" s="8"/>
      <c r="DW588" s="8"/>
      <c r="DX588" s="8"/>
      <c r="DY588" s="8"/>
      <c r="DZ588" s="8"/>
      <c r="EA588" s="8"/>
      <c r="EB588" s="8"/>
      <c r="EC588" s="8"/>
      <c r="ED588" s="8"/>
      <c r="EE588" s="8"/>
      <c r="EF588" s="8"/>
      <c r="EG588" s="8"/>
      <c r="EH588" s="8"/>
      <c r="EI588" s="8"/>
      <c r="EJ588" s="8"/>
      <c r="EK588" s="8"/>
      <c r="EL588" s="8"/>
      <c r="EM588" s="8"/>
      <c r="EN588" s="8"/>
      <c r="EO588" s="8"/>
      <c r="EP588" s="8"/>
      <c r="EQ588" s="8"/>
      <c r="ER588" s="8"/>
      <c r="ES588" s="8"/>
      <c r="ET588" s="8"/>
      <c r="EU588" s="8"/>
    </row>
    <row r="589" spans="2:151" x14ac:dyDescent="0.4"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  <c r="BA589" s="10"/>
      <c r="BB589" s="10"/>
      <c r="BC589" s="10"/>
      <c r="BD589" s="10"/>
      <c r="BE589" s="10"/>
      <c r="BF589" s="10"/>
      <c r="BG589" s="10"/>
      <c r="BH589" s="10"/>
      <c r="BI589" s="10"/>
      <c r="BJ589" s="10"/>
      <c r="BK589" s="10"/>
      <c r="BL589" s="10"/>
      <c r="BM589" s="10"/>
      <c r="BN589" s="10"/>
      <c r="BO589" s="10"/>
      <c r="BP589" s="10"/>
      <c r="BQ589" s="10"/>
      <c r="BR589" s="10"/>
      <c r="BS589" s="10"/>
      <c r="BT589" s="10"/>
      <c r="BU589" s="10"/>
      <c r="BV589" s="10"/>
      <c r="BW589" s="10"/>
      <c r="BX589" s="10"/>
      <c r="BY589" s="10"/>
      <c r="BZ589" s="10"/>
      <c r="CA589" s="10"/>
      <c r="CB589" s="10"/>
      <c r="CC589" s="10"/>
      <c r="CD589" s="10"/>
      <c r="CE589" s="10"/>
      <c r="CF589" s="10"/>
      <c r="CG589" s="10"/>
      <c r="CH589" s="10"/>
      <c r="CI589" s="10"/>
      <c r="CJ589" s="10"/>
      <c r="CK589" s="10"/>
      <c r="CL589" s="10"/>
      <c r="CM589" s="10"/>
      <c r="CN589" s="10"/>
      <c r="CO589" s="10"/>
      <c r="CP589" s="10"/>
      <c r="CQ589" s="10"/>
      <c r="CR589" s="10"/>
      <c r="CS589" s="10"/>
      <c r="CT589" s="10"/>
      <c r="CU589" s="10"/>
      <c r="CV589" s="10"/>
      <c r="CW589" s="10"/>
      <c r="CX589" s="10"/>
      <c r="CY589" s="10"/>
      <c r="CZ589" s="10"/>
      <c r="DA589" s="10"/>
      <c r="DB589" s="10"/>
      <c r="DC589" s="10"/>
      <c r="DD589" s="10"/>
      <c r="DE589" s="10"/>
      <c r="DF589" s="10"/>
      <c r="DG589" s="10"/>
      <c r="DH589" s="10"/>
      <c r="DI589" s="10"/>
      <c r="DJ589" s="10"/>
      <c r="DK589" s="10"/>
      <c r="DL589" s="10"/>
      <c r="DM589" s="10"/>
      <c r="DN589" s="10"/>
      <c r="DO589" s="10"/>
      <c r="DP589" s="10"/>
      <c r="DQ589" s="10"/>
      <c r="DR589" s="10"/>
      <c r="DS589" s="10"/>
      <c r="DT589" s="10"/>
      <c r="DU589" s="10"/>
      <c r="DV589" s="10"/>
      <c r="DW589" s="10"/>
      <c r="DX589" s="10"/>
      <c r="DY589" s="10"/>
      <c r="DZ589" s="10"/>
      <c r="EA589" s="10"/>
      <c r="EB589" s="10"/>
      <c r="EC589" s="10"/>
      <c r="ED589" s="10"/>
      <c r="EE589" s="10"/>
      <c r="EF589" s="10"/>
      <c r="EG589" s="10"/>
      <c r="EH589" s="10"/>
      <c r="EI589" s="10"/>
      <c r="EJ589" s="10"/>
      <c r="EK589" s="10"/>
      <c r="EL589" s="10"/>
      <c r="EM589" s="10"/>
      <c r="EN589" s="10"/>
      <c r="EO589" s="10"/>
      <c r="EP589" s="10"/>
      <c r="EQ589" s="10"/>
      <c r="ER589" s="10"/>
      <c r="ES589" s="10"/>
      <c r="ET589" s="10"/>
      <c r="EU589" s="10"/>
    </row>
    <row r="590" spans="2:151" x14ac:dyDescent="0.4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  <c r="DU590" s="8"/>
      <c r="DV590" s="8"/>
      <c r="DW590" s="8"/>
      <c r="DX590" s="8"/>
      <c r="DY590" s="8"/>
      <c r="DZ590" s="8"/>
      <c r="EA590" s="8"/>
      <c r="EB590" s="8"/>
      <c r="EC590" s="8"/>
      <c r="ED590" s="8"/>
      <c r="EE590" s="8"/>
      <c r="EF590" s="8"/>
      <c r="EG590" s="8"/>
      <c r="EH590" s="8"/>
      <c r="EI590" s="8"/>
      <c r="EJ590" s="8"/>
      <c r="EK590" s="8"/>
      <c r="EL590" s="8"/>
      <c r="EM590" s="8"/>
      <c r="EN590" s="8"/>
      <c r="EO590" s="8"/>
      <c r="EP590" s="8"/>
      <c r="EQ590" s="8"/>
      <c r="ER590" s="8"/>
      <c r="ES590" s="8"/>
      <c r="ET590" s="8"/>
      <c r="EU590" s="8"/>
    </row>
    <row r="591" spans="2:151" x14ac:dyDescent="0.4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8"/>
      <c r="DV591" s="8"/>
      <c r="DW591" s="8"/>
      <c r="DX591" s="8"/>
      <c r="DY591" s="8"/>
      <c r="DZ591" s="8"/>
      <c r="EA591" s="8"/>
      <c r="EB591" s="8"/>
      <c r="EC591" s="8"/>
      <c r="ED591" s="8"/>
      <c r="EE591" s="8"/>
      <c r="EF591" s="8"/>
      <c r="EG591" s="8"/>
      <c r="EH591" s="8"/>
      <c r="EI591" s="8"/>
      <c r="EJ591" s="8"/>
      <c r="EK591" s="8"/>
      <c r="EL591" s="8"/>
      <c r="EM591" s="8"/>
      <c r="EN591" s="8"/>
      <c r="EO591" s="8"/>
      <c r="EP591" s="8"/>
      <c r="EQ591" s="8"/>
      <c r="ER591" s="8"/>
      <c r="ES591" s="8"/>
      <c r="ET591" s="8"/>
      <c r="EU591" s="8"/>
    </row>
    <row r="592" spans="2:151" x14ac:dyDescent="0.4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  <c r="CQ592" s="8"/>
      <c r="CR592" s="8"/>
      <c r="CS592" s="8"/>
      <c r="CT592" s="8"/>
      <c r="CU592" s="8"/>
      <c r="CV592" s="8"/>
      <c r="CW592" s="8"/>
      <c r="CX592" s="8"/>
      <c r="CY592" s="8"/>
      <c r="CZ592" s="8"/>
      <c r="DA592" s="8"/>
      <c r="DB592" s="8"/>
      <c r="DC592" s="8"/>
      <c r="DD592" s="8"/>
      <c r="DE592" s="8"/>
      <c r="DF592" s="8"/>
      <c r="DG592" s="8"/>
      <c r="DH592" s="8"/>
      <c r="DI592" s="8"/>
      <c r="DJ592" s="8"/>
      <c r="DK592" s="8"/>
      <c r="DL592" s="8"/>
      <c r="DM592" s="8"/>
      <c r="DN592" s="8"/>
      <c r="DO592" s="8"/>
      <c r="DP592" s="8"/>
      <c r="DQ592" s="8"/>
      <c r="DR592" s="8"/>
      <c r="DS592" s="8"/>
      <c r="DT592" s="8"/>
      <c r="DU592" s="8"/>
      <c r="DV592" s="8"/>
      <c r="DW592" s="8"/>
      <c r="DX592" s="8"/>
      <c r="DY592" s="8"/>
      <c r="DZ592" s="8"/>
      <c r="EA592" s="8"/>
      <c r="EB592" s="8"/>
      <c r="EC592" s="8"/>
      <c r="ED592" s="8"/>
      <c r="EE592" s="8"/>
      <c r="EF592" s="8"/>
      <c r="EG592" s="8"/>
      <c r="EH592" s="8"/>
      <c r="EI592" s="8"/>
      <c r="EJ592" s="8"/>
      <c r="EK592" s="8"/>
      <c r="EL592" s="8"/>
      <c r="EM592" s="8"/>
      <c r="EN592" s="8"/>
      <c r="EO592" s="8"/>
      <c r="EP592" s="8"/>
      <c r="EQ592" s="8"/>
      <c r="ER592" s="8"/>
      <c r="ES592" s="8"/>
      <c r="ET592" s="8"/>
      <c r="EU592" s="8"/>
    </row>
    <row r="593" spans="2:151" x14ac:dyDescent="0.4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  <c r="CQ593" s="8"/>
      <c r="CR593" s="8"/>
      <c r="CS593" s="8"/>
      <c r="CT593" s="8"/>
      <c r="CU593" s="8"/>
      <c r="CV593" s="8"/>
      <c r="CW593" s="8"/>
      <c r="CX593" s="8"/>
      <c r="CY593" s="8"/>
      <c r="CZ593" s="8"/>
      <c r="DA593" s="8"/>
      <c r="DB593" s="8"/>
      <c r="DC593" s="8"/>
      <c r="DD593" s="8"/>
      <c r="DE593" s="8"/>
      <c r="DF593" s="8"/>
      <c r="DG593" s="8"/>
      <c r="DH593" s="8"/>
      <c r="DI593" s="8"/>
      <c r="DJ593" s="8"/>
      <c r="DK593" s="8"/>
      <c r="DL593" s="8"/>
      <c r="DM593" s="8"/>
      <c r="DN593" s="8"/>
      <c r="DO593" s="8"/>
      <c r="DP593" s="8"/>
      <c r="DQ593" s="8"/>
      <c r="DR593" s="8"/>
      <c r="DS593" s="8"/>
      <c r="DT593" s="8"/>
      <c r="DU593" s="8"/>
      <c r="DV593" s="8"/>
      <c r="DW593" s="8"/>
      <c r="DX593" s="8"/>
      <c r="DY593" s="8"/>
      <c r="DZ593" s="8"/>
      <c r="EA593" s="8"/>
      <c r="EB593" s="8"/>
      <c r="EC593" s="8"/>
      <c r="ED593" s="8"/>
      <c r="EE593" s="8"/>
      <c r="EF593" s="8"/>
      <c r="EG593" s="8"/>
      <c r="EH593" s="8"/>
      <c r="EI593" s="8"/>
      <c r="EJ593" s="8"/>
      <c r="EK593" s="8"/>
      <c r="EL593" s="8"/>
      <c r="EM593" s="8"/>
      <c r="EN593" s="8"/>
      <c r="EO593" s="8"/>
      <c r="EP593" s="8"/>
      <c r="EQ593" s="8"/>
      <c r="ER593" s="8"/>
      <c r="ES593" s="8"/>
      <c r="ET593" s="8"/>
      <c r="EU593" s="8"/>
    </row>
    <row r="594" spans="2:151" x14ac:dyDescent="0.4"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  <c r="BA594" s="10"/>
      <c r="BB594" s="10"/>
      <c r="BC594" s="10"/>
      <c r="BD594" s="10"/>
      <c r="BE594" s="10"/>
      <c r="BF594" s="10"/>
      <c r="BG594" s="10"/>
      <c r="BH594" s="10"/>
      <c r="BI594" s="10"/>
      <c r="BJ594" s="10"/>
      <c r="BK594" s="10"/>
      <c r="BL594" s="10"/>
      <c r="BM594" s="10"/>
      <c r="BN594" s="10"/>
      <c r="BO594" s="10"/>
      <c r="BP594" s="10"/>
      <c r="BQ594" s="10"/>
      <c r="BR594" s="10"/>
      <c r="BS594" s="10"/>
      <c r="BT594" s="10"/>
      <c r="BU594" s="10"/>
      <c r="BV594" s="10"/>
      <c r="BW594" s="10"/>
      <c r="BX594" s="10"/>
      <c r="BY594" s="10"/>
      <c r="BZ594" s="10"/>
      <c r="CA594" s="10"/>
      <c r="CB594" s="10"/>
      <c r="CC594" s="10"/>
      <c r="CD594" s="10"/>
      <c r="CE594" s="10"/>
      <c r="CF594" s="10"/>
      <c r="CG594" s="10"/>
      <c r="CH594" s="10"/>
      <c r="CI594" s="10"/>
      <c r="CJ594" s="10"/>
      <c r="CK594" s="10"/>
      <c r="CL594" s="10"/>
      <c r="CM594" s="10"/>
      <c r="CN594" s="10"/>
      <c r="CO594" s="10"/>
      <c r="CP594" s="10"/>
      <c r="CQ594" s="10"/>
      <c r="CR594" s="10"/>
      <c r="CS594" s="10"/>
      <c r="CT594" s="10"/>
      <c r="CU594" s="10"/>
      <c r="CV594" s="10"/>
      <c r="CW594" s="10"/>
      <c r="CX594" s="10"/>
      <c r="CY594" s="10"/>
      <c r="CZ594" s="10"/>
      <c r="DA594" s="10"/>
      <c r="DB594" s="10"/>
      <c r="DC594" s="10"/>
      <c r="DD594" s="10"/>
      <c r="DE594" s="10"/>
      <c r="DF594" s="10"/>
      <c r="DG594" s="10"/>
      <c r="DH594" s="10"/>
      <c r="DI594" s="10"/>
      <c r="DJ594" s="10"/>
      <c r="DK594" s="10"/>
      <c r="DL594" s="10"/>
      <c r="DM594" s="10"/>
      <c r="DN594" s="10"/>
      <c r="DO594" s="10"/>
      <c r="DP594" s="10"/>
      <c r="DQ594" s="10"/>
      <c r="DR594" s="10"/>
      <c r="DS594" s="10"/>
      <c r="DT594" s="10"/>
      <c r="DU594" s="10"/>
      <c r="DV594" s="10"/>
      <c r="DW594" s="10"/>
      <c r="DX594" s="10"/>
      <c r="DY594" s="10"/>
      <c r="DZ594" s="10"/>
      <c r="EA594" s="10"/>
      <c r="EB594" s="10"/>
      <c r="EC594" s="10"/>
      <c r="ED594" s="10"/>
      <c r="EE594" s="10"/>
      <c r="EF594" s="10"/>
      <c r="EG594" s="10"/>
      <c r="EH594" s="10"/>
      <c r="EI594" s="10"/>
      <c r="EJ594" s="10"/>
      <c r="EK594" s="10"/>
      <c r="EL594" s="10"/>
      <c r="EM594" s="10"/>
      <c r="EN594" s="10"/>
      <c r="EO594" s="10"/>
      <c r="EP594" s="10"/>
      <c r="EQ594" s="10"/>
      <c r="ER594" s="10"/>
      <c r="ES594" s="10"/>
      <c r="ET594" s="10"/>
      <c r="EU594" s="10"/>
    </row>
    <row r="595" spans="2:151" x14ac:dyDescent="0.4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  <c r="DU595" s="8"/>
      <c r="DV595" s="8"/>
      <c r="DW595" s="8"/>
      <c r="DX595" s="8"/>
      <c r="DY595" s="8"/>
      <c r="DZ595" s="8"/>
      <c r="EA595" s="8"/>
      <c r="EB595" s="8"/>
      <c r="EC595" s="8"/>
      <c r="ED595" s="8"/>
      <c r="EE595" s="8"/>
      <c r="EF595" s="8"/>
      <c r="EG595" s="8"/>
      <c r="EH595" s="8"/>
      <c r="EI595" s="8"/>
      <c r="EJ595" s="8"/>
      <c r="EK595" s="8"/>
      <c r="EL595" s="8"/>
      <c r="EM595" s="8"/>
      <c r="EN595" s="8"/>
      <c r="EO595" s="8"/>
      <c r="EP595" s="8"/>
      <c r="EQ595" s="8"/>
      <c r="ER595" s="8"/>
      <c r="ES595" s="8"/>
      <c r="ET595" s="8"/>
      <c r="EU595" s="8"/>
    </row>
    <row r="596" spans="2:151" x14ac:dyDescent="0.4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  <c r="DX596" s="8"/>
      <c r="DY596" s="8"/>
      <c r="DZ596" s="8"/>
      <c r="EA596" s="8"/>
      <c r="EB596" s="8"/>
      <c r="EC596" s="8"/>
      <c r="ED596" s="8"/>
      <c r="EE596" s="8"/>
      <c r="EF596" s="8"/>
      <c r="EG596" s="8"/>
      <c r="EH596" s="8"/>
      <c r="EI596" s="8"/>
      <c r="EJ596" s="8"/>
      <c r="EK596" s="8"/>
      <c r="EL596" s="8"/>
      <c r="EM596" s="8"/>
      <c r="EN596" s="8"/>
      <c r="EO596" s="8"/>
      <c r="EP596" s="8"/>
      <c r="EQ596" s="8"/>
      <c r="ER596" s="8"/>
      <c r="ES596" s="8"/>
      <c r="ET596" s="8"/>
      <c r="EU596" s="8"/>
    </row>
    <row r="597" spans="2:151" x14ac:dyDescent="0.4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  <c r="CQ597" s="8"/>
      <c r="CR597" s="8"/>
      <c r="CS597" s="8"/>
      <c r="CT597" s="8"/>
      <c r="CU597" s="8"/>
      <c r="CV597" s="8"/>
      <c r="CW597" s="8"/>
      <c r="CX597" s="8"/>
      <c r="CY597" s="8"/>
      <c r="CZ597" s="8"/>
      <c r="DA597" s="8"/>
      <c r="DB597" s="8"/>
      <c r="DC597" s="8"/>
      <c r="DD597" s="8"/>
      <c r="DE597" s="8"/>
      <c r="DF597" s="8"/>
      <c r="DG597" s="8"/>
      <c r="DH597" s="8"/>
      <c r="DI597" s="8"/>
      <c r="DJ597" s="8"/>
      <c r="DK597" s="8"/>
      <c r="DL597" s="8"/>
      <c r="DM597" s="8"/>
      <c r="DN597" s="8"/>
      <c r="DO597" s="8"/>
      <c r="DP597" s="8"/>
      <c r="DQ597" s="8"/>
      <c r="DR597" s="8"/>
      <c r="DS597" s="8"/>
      <c r="DT597" s="8"/>
      <c r="DU597" s="8"/>
      <c r="DV597" s="8"/>
      <c r="DW597" s="8"/>
      <c r="DX597" s="8"/>
      <c r="DY597" s="8"/>
      <c r="DZ597" s="8"/>
      <c r="EA597" s="8"/>
      <c r="EB597" s="8"/>
      <c r="EC597" s="8"/>
      <c r="ED597" s="8"/>
      <c r="EE597" s="8"/>
      <c r="EF597" s="8"/>
      <c r="EG597" s="8"/>
      <c r="EH597" s="8"/>
      <c r="EI597" s="8"/>
      <c r="EJ597" s="8"/>
      <c r="EK597" s="8"/>
      <c r="EL597" s="8"/>
      <c r="EM597" s="8"/>
      <c r="EN597" s="8"/>
      <c r="EO597" s="8"/>
      <c r="EP597" s="8"/>
      <c r="EQ597" s="8"/>
      <c r="ER597" s="8"/>
      <c r="ES597" s="8"/>
      <c r="ET597" s="8"/>
      <c r="EU597" s="8"/>
    </row>
    <row r="598" spans="2:151" x14ac:dyDescent="0.4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  <c r="CQ598" s="8"/>
      <c r="CR598" s="8"/>
      <c r="CS598" s="8"/>
      <c r="CT598" s="8"/>
      <c r="CU598" s="8"/>
      <c r="CV598" s="8"/>
      <c r="CW598" s="8"/>
      <c r="CX598" s="8"/>
      <c r="CY598" s="8"/>
      <c r="CZ598" s="8"/>
      <c r="DA598" s="8"/>
      <c r="DB598" s="8"/>
      <c r="DC598" s="8"/>
      <c r="DD598" s="8"/>
      <c r="DE598" s="8"/>
      <c r="DF598" s="8"/>
      <c r="DG598" s="8"/>
      <c r="DH598" s="8"/>
      <c r="DI598" s="8"/>
      <c r="DJ598" s="8"/>
      <c r="DK598" s="8"/>
      <c r="DL598" s="8"/>
      <c r="DM598" s="8"/>
      <c r="DN598" s="8"/>
      <c r="DO598" s="8"/>
      <c r="DP598" s="8"/>
      <c r="DQ598" s="8"/>
      <c r="DR598" s="8"/>
      <c r="DS598" s="8"/>
      <c r="DT598" s="8"/>
      <c r="DU598" s="8"/>
      <c r="DV598" s="8"/>
      <c r="DW598" s="8"/>
      <c r="DX598" s="8"/>
      <c r="DY598" s="8"/>
      <c r="DZ598" s="8"/>
      <c r="EA598" s="8"/>
      <c r="EB598" s="8"/>
      <c r="EC598" s="8"/>
      <c r="ED598" s="8"/>
      <c r="EE598" s="8"/>
      <c r="EF598" s="8"/>
      <c r="EG598" s="8"/>
      <c r="EH598" s="8"/>
      <c r="EI598" s="8"/>
      <c r="EJ598" s="8"/>
      <c r="EK598" s="8"/>
      <c r="EL598" s="8"/>
      <c r="EM598" s="8"/>
      <c r="EN598" s="8"/>
      <c r="EO598" s="8"/>
      <c r="EP598" s="8"/>
      <c r="EQ598" s="8"/>
      <c r="ER598" s="8"/>
      <c r="ES598" s="8"/>
      <c r="ET598" s="8"/>
      <c r="EU598" s="8"/>
    </row>
    <row r="599" spans="2:151" x14ac:dyDescent="0.4"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  <c r="BA599" s="10"/>
      <c r="BB599" s="10"/>
      <c r="BC599" s="10"/>
      <c r="BD599" s="10"/>
      <c r="BE599" s="10"/>
      <c r="BF599" s="10"/>
      <c r="BG599" s="10"/>
      <c r="BH599" s="10"/>
      <c r="BI599" s="10"/>
      <c r="BJ599" s="10"/>
      <c r="BK599" s="10"/>
      <c r="BL599" s="10"/>
      <c r="BM599" s="10"/>
      <c r="BN599" s="10"/>
      <c r="BO599" s="10"/>
      <c r="BP599" s="10"/>
      <c r="BQ599" s="10"/>
      <c r="BR599" s="10"/>
      <c r="BS599" s="10"/>
      <c r="BT599" s="10"/>
      <c r="BU599" s="10"/>
      <c r="BV599" s="10"/>
      <c r="BW599" s="10"/>
      <c r="BX599" s="10"/>
      <c r="BY599" s="10"/>
      <c r="BZ599" s="10"/>
      <c r="CA599" s="10"/>
      <c r="CB599" s="10"/>
      <c r="CC599" s="10"/>
      <c r="CD599" s="10"/>
      <c r="CE599" s="10"/>
      <c r="CF599" s="10"/>
      <c r="CG599" s="10"/>
      <c r="CH599" s="10"/>
      <c r="CI599" s="10"/>
      <c r="CJ599" s="10"/>
      <c r="CK599" s="10"/>
      <c r="CL599" s="10"/>
      <c r="CM599" s="10"/>
      <c r="CN599" s="10"/>
      <c r="CO599" s="10"/>
      <c r="CP599" s="10"/>
      <c r="CQ599" s="10"/>
      <c r="CR599" s="10"/>
      <c r="CS599" s="10"/>
      <c r="CT599" s="10"/>
      <c r="CU599" s="10"/>
      <c r="CV599" s="10"/>
      <c r="CW599" s="10"/>
      <c r="CX599" s="10"/>
      <c r="CY599" s="10"/>
      <c r="CZ599" s="10"/>
      <c r="DA599" s="10"/>
      <c r="DB599" s="10"/>
      <c r="DC599" s="10"/>
      <c r="DD599" s="10"/>
      <c r="DE599" s="10"/>
      <c r="DF599" s="10"/>
      <c r="DG599" s="10"/>
      <c r="DH599" s="10"/>
      <c r="DI599" s="10"/>
      <c r="DJ599" s="10"/>
      <c r="DK599" s="10"/>
      <c r="DL599" s="10"/>
      <c r="DM599" s="10"/>
      <c r="DN599" s="10"/>
      <c r="DO599" s="10"/>
      <c r="DP599" s="10"/>
      <c r="DQ599" s="10"/>
      <c r="DR599" s="10"/>
      <c r="DS599" s="10"/>
      <c r="DT599" s="10"/>
      <c r="DU599" s="10"/>
      <c r="DV599" s="10"/>
      <c r="DW599" s="10"/>
      <c r="DX599" s="10"/>
      <c r="DY599" s="10"/>
      <c r="DZ599" s="10"/>
      <c r="EA599" s="10"/>
      <c r="EB599" s="10"/>
      <c r="EC599" s="10"/>
      <c r="ED599" s="10"/>
      <c r="EE599" s="10"/>
      <c r="EF599" s="10"/>
      <c r="EG599" s="10"/>
      <c r="EH599" s="10"/>
      <c r="EI599" s="10"/>
      <c r="EJ599" s="10"/>
      <c r="EK599" s="10"/>
      <c r="EL599" s="10"/>
      <c r="EM599" s="10"/>
      <c r="EN599" s="10"/>
      <c r="EO599" s="10"/>
      <c r="EP599" s="10"/>
      <c r="EQ599" s="10"/>
      <c r="ER599" s="10"/>
      <c r="ES599" s="10"/>
      <c r="ET599" s="10"/>
      <c r="EU599" s="10"/>
    </row>
    <row r="600" spans="2:151" x14ac:dyDescent="0.4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  <c r="CQ600" s="8"/>
      <c r="CR600" s="8"/>
      <c r="CS600" s="8"/>
      <c r="CT600" s="8"/>
      <c r="CU600" s="8"/>
      <c r="CV600" s="8"/>
      <c r="CW600" s="8"/>
      <c r="CX600" s="8"/>
      <c r="CY600" s="8"/>
      <c r="CZ600" s="8"/>
      <c r="DA600" s="8"/>
      <c r="DB600" s="8"/>
      <c r="DC600" s="8"/>
      <c r="DD600" s="8"/>
      <c r="DE600" s="8"/>
      <c r="DF600" s="8"/>
      <c r="DG600" s="8"/>
      <c r="DH600" s="8"/>
      <c r="DI600" s="8"/>
      <c r="DJ600" s="8"/>
      <c r="DK600" s="8"/>
      <c r="DL600" s="8"/>
      <c r="DM600" s="8"/>
      <c r="DN600" s="8"/>
      <c r="DO600" s="8"/>
      <c r="DP600" s="8"/>
      <c r="DQ600" s="8"/>
      <c r="DR600" s="8"/>
      <c r="DS600" s="8"/>
      <c r="DT600" s="8"/>
      <c r="DU600" s="8"/>
      <c r="DV600" s="8"/>
      <c r="DW600" s="8"/>
      <c r="DX600" s="8"/>
      <c r="DY600" s="8"/>
      <c r="DZ600" s="8"/>
      <c r="EA600" s="8"/>
      <c r="EB600" s="8"/>
      <c r="EC600" s="8"/>
      <c r="ED600" s="8"/>
      <c r="EE600" s="8"/>
      <c r="EF600" s="8"/>
      <c r="EG600" s="8"/>
      <c r="EH600" s="8"/>
      <c r="EI600" s="8"/>
      <c r="EJ600" s="8"/>
      <c r="EK600" s="8"/>
      <c r="EL600" s="8"/>
      <c r="EM600" s="8"/>
      <c r="EN600" s="8"/>
      <c r="EO600" s="8"/>
      <c r="EP600" s="8"/>
      <c r="EQ600" s="8"/>
      <c r="ER600" s="8"/>
      <c r="ES600" s="8"/>
      <c r="ET600" s="8"/>
      <c r="EU600" s="8"/>
    </row>
    <row r="601" spans="2:151" x14ac:dyDescent="0.4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  <c r="CQ601" s="8"/>
      <c r="CR601" s="8"/>
      <c r="CS601" s="8"/>
      <c r="CT601" s="8"/>
      <c r="CU601" s="8"/>
      <c r="CV601" s="8"/>
      <c r="CW601" s="8"/>
      <c r="CX601" s="8"/>
      <c r="CY601" s="8"/>
      <c r="CZ601" s="8"/>
      <c r="DA601" s="8"/>
      <c r="DB601" s="8"/>
      <c r="DC601" s="8"/>
      <c r="DD601" s="8"/>
      <c r="DE601" s="8"/>
      <c r="DF601" s="8"/>
      <c r="DG601" s="8"/>
      <c r="DH601" s="8"/>
      <c r="DI601" s="8"/>
      <c r="DJ601" s="8"/>
      <c r="DK601" s="8"/>
      <c r="DL601" s="8"/>
      <c r="DM601" s="8"/>
      <c r="DN601" s="8"/>
      <c r="DO601" s="8"/>
      <c r="DP601" s="8"/>
      <c r="DQ601" s="8"/>
      <c r="DR601" s="8"/>
      <c r="DS601" s="8"/>
      <c r="DT601" s="8"/>
      <c r="DU601" s="8"/>
      <c r="DV601" s="8"/>
      <c r="DW601" s="8"/>
      <c r="DX601" s="8"/>
      <c r="DY601" s="8"/>
      <c r="DZ601" s="8"/>
      <c r="EA601" s="8"/>
      <c r="EB601" s="8"/>
      <c r="EC601" s="8"/>
      <c r="ED601" s="8"/>
      <c r="EE601" s="8"/>
      <c r="EF601" s="8"/>
      <c r="EG601" s="8"/>
      <c r="EH601" s="8"/>
      <c r="EI601" s="8"/>
      <c r="EJ601" s="8"/>
      <c r="EK601" s="8"/>
      <c r="EL601" s="8"/>
      <c r="EM601" s="8"/>
      <c r="EN601" s="8"/>
      <c r="EO601" s="8"/>
      <c r="EP601" s="8"/>
      <c r="EQ601" s="8"/>
      <c r="ER601" s="8"/>
      <c r="ES601" s="8"/>
      <c r="ET601" s="8"/>
      <c r="EU601" s="8"/>
    </row>
    <row r="602" spans="2:151" x14ac:dyDescent="0.4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  <c r="CQ602" s="8"/>
      <c r="CR602" s="8"/>
      <c r="CS602" s="8"/>
      <c r="CT602" s="8"/>
      <c r="CU602" s="8"/>
      <c r="CV602" s="8"/>
      <c r="CW602" s="8"/>
      <c r="CX602" s="8"/>
      <c r="CY602" s="8"/>
      <c r="CZ602" s="8"/>
      <c r="DA602" s="8"/>
      <c r="DB602" s="8"/>
      <c r="DC602" s="8"/>
      <c r="DD602" s="8"/>
      <c r="DE602" s="8"/>
      <c r="DF602" s="8"/>
      <c r="DG602" s="8"/>
      <c r="DH602" s="8"/>
      <c r="DI602" s="8"/>
      <c r="DJ602" s="8"/>
      <c r="DK602" s="8"/>
      <c r="DL602" s="8"/>
      <c r="DM602" s="8"/>
      <c r="DN602" s="8"/>
      <c r="DO602" s="8"/>
      <c r="DP602" s="8"/>
      <c r="DQ602" s="8"/>
      <c r="DR602" s="8"/>
      <c r="DS602" s="8"/>
      <c r="DT602" s="8"/>
      <c r="DU602" s="8"/>
      <c r="DV602" s="8"/>
      <c r="DW602" s="8"/>
      <c r="DX602" s="8"/>
      <c r="DY602" s="8"/>
      <c r="DZ602" s="8"/>
      <c r="EA602" s="8"/>
      <c r="EB602" s="8"/>
      <c r="EC602" s="8"/>
      <c r="ED602" s="8"/>
      <c r="EE602" s="8"/>
      <c r="EF602" s="8"/>
      <c r="EG602" s="8"/>
      <c r="EH602" s="8"/>
      <c r="EI602" s="8"/>
      <c r="EJ602" s="8"/>
      <c r="EK602" s="8"/>
      <c r="EL602" s="8"/>
      <c r="EM602" s="8"/>
      <c r="EN602" s="8"/>
      <c r="EO602" s="8"/>
      <c r="EP602" s="8"/>
      <c r="EQ602" s="8"/>
      <c r="ER602" s="8"/>
      <c r="ES602" s="8"/>
      <c r="ET602" s="8"/>
      <c r="EU602" s="8"/>
    </row>
    <row r="603" spans="2:151" x14ac:dyDescent="0.4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  <c r="CQ603" s="8"/>
      <c r="CR603" s="8"/>
      <c r="CS603" s="8"/>
      <c r="CT603" s="8"/>
      <c r="CU603" s="8"/>
      <c r="CV603" s="8"/>
      <c r="CW603" s="8"/>
      <c r="CX603" s="8"/>
      <c r="CY603" s="8"/>
      <c r="CZ603" s="8"/>
      <c r="DA603" s="8"/>
      <c r="DB603" s="8"/>
      <c r="DC603" s="8"/>
      <c r="DD603" s="8"/>
      <c r="DE603" s="8"/>
      <c r="DF603" s="8"/>
      <c r="DG603" s="8"/>
      <c r="DH603" s="8"/>
      <c r="DI603" s="8"/>
      <c r="DJ603" s="8"/>
      <c r="DK603" s="8"/>
      <c r="DL603" s="8"/>
      <c r="DM603" s="8"/>
      <c r="DN603" s="8"/>
      <c r="DO603" s="8"/>
      <c r="DP603" s="8"/>
      <c r="DQ603" s="8"/>
      <c r="DR603" s="8"/>
      <c r="DS603" s="8"/>
      <c r="DT603" s="8"/>
      <c r="DU603" s="8"/>
      <c r="DV603" s="8"/>
      <c r="DW603" s="8"/>
      <c r="DX603" s="8"/>
      <c r="DY603" s="8"/>
      <c r="DZ603" s="8"/>
      <c r="EA603" s="8"/>
      <c r="EB603" s="8"/>
      <c r="EC603" s="8"/>
      <c r="ED603" s="8"/>
      <c r="EE603" s="8"/>
      <c r="EF603" s="8"/>
      <c r="EG603" s="8"/>
      <c r="EH603" s="8"/>
      <c r="EI603" s="8"/>
      <c r="EJ603" s="8"/>
      <c r="EK603" s="8"/>
      <c r="EL603" s="8"/>
      <c r="EM603" s="8"/>
      <c r="EN603" s="8"/>
      <c r="EO603" s="8"/>
      <c r="EP603" s="8"/>
      <c r="EQ603" s="8"/>
      <c r="ER603" s="8"/>
      <c r="ES603" s="8"/>
      <c r="ET603" s="8"/>
      <c r="EU603" s="8"/>
    </row>
    <row r="604" spans="2:151" x14ac:dyDescent="0.4"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  <c r="BA604" s="10"/>
      <c r="BB604" s="10"/>
      <c r="BC604" s="10"/>
      <c r="BD604" s="10"/>
      <c r="BE604" s="10"/>
      <c r="BF604" s="10"/>
      <c r="BG604" s="10"/>
      <c r="BH604" s="10"/>
      <c r="BI604" s="10"/>
      <c r="BJ604" s="10"/>
      <c r="BK604" s="10"/>
      <c r="BL604" s="10"/>
      <c r="BM604" s="10"/>
      <c r="BN604" s="10"/>
      <c r="BO604" s="10"/>
      <c r="BP604" s="10"/>
      <c r="BQ604" s="10"/>
      <c r="BR604" s="10"/>
      <c r="BS604" s="10"/>
      <c r="BT604" s="10"/>
      <c r="BU604" s="10"/>
      <c r="BV604" s="10"/>
      <c r="BW604" s="10"/>
      <c r="BX604" s="10"/>
      <c r="BY604" s="10"/>
      <c r="BZ604" s="10"/>
      <c r="CA604" s="10"/>
      <c r="CB604" s="10"/>
      <c r="CC604" s="10"/>
      <c r="CD604" s="10"/>
      <c r="CE604" s="10"/>
      <c r="CF604" s="10"/>
      <c r="CG604" s="10"/>
      <c r="CH604" s="10"/>
      <c r="CI604" s="10"/>
      <c r="CJ604" s="10"/>
      <c r="CK604" s="10"/>
      <c r="CL604" s="10"/>
      <c r="CM604" s="10"/>
      <c r="CN604" s="10"/>
      <c r="CO604" s="10"/>
      <c r="CP604" s="10"/>
      <c r="CQ604" s="10"/>
      <c r="CR604" s="10"/>
      <c r="CS604" s="10"/>
      <c r="CT604" s="10"/>
      <c r="CU604" s="10"/>
      <c r="CV604" s="10"/>
      <c r="CW604" s="10"/>
      <c r="CX604" s="10"/>
      <c r="CY604" s="10"/>
      <c r="CZ604" s="10"/>
      <c r="DA604" s="10"/>
      <c r="DB604" s="10"/>
      <c r="DC604" s="10"/>
      <c r="DD604" s="10"/>
      <c r="DE604" s="10"/>
      <c r="DF604" s="10"/>
      <c r="DG604" s="10"/>
      <c r="DH604" s="10"/>
      <c r="DI604" s="10"/>
      <c r="DJ604" s="10"/>
      <c r="DK604" s="10"/>
      <c r="DL604" s="10"/>
      <c r="DM604" s="10"/>
      <c r="DN604" s="10"/>
      <c r="DO604" s="10"/>
      <c r="DP604" s="10"/>
      <c r="DQ604" s="10"/>
      <c r="DR604" s="10"/>
      <c r="DS604" s="10"/>
      <c r="DT604" s="10"/>
      <c r="DU604" s="10"/>
      <c r="DV604" s="10"/>
      <c r="DW604" s="10"/>
      <c r="DX604" s="10"/>
      <c r="DY604" s="10"/>
      <c r="DZ604" s="10"/>
      <c r="EA604" s="10"/>
      <c r="EB604" s="10"/>
      <c r="EC604" s="10"/>
      <c r="ED604" s="10"/>
      <c r="EE604" s="10"/>
      <c r="EF604" s="10"/>
      <c r="EG604" s="10"/>
      <c r="EH604" s="10"/>
      <c r="EI604" s="10"/>
      <c r="EJ604" s="10"/>
      <c r="EK604" s="10"/>
      <c r="EL604" s="10"/>
      <c r="EM604" s="10"/>
      <c r="EN604" s="10"/>
      <c r="EO604" s="10"/>
      <c r="EP604" s="10"/>
      <c r="EQ604" s="10"/>
      <c r="ER604" s="10"/>
      <c r="ES604" s="10"/>
      <c r="ET604" s="10"/>
      <c r="EU604" s="10"/>
    </row>
    <row r="605" spans="2:151" x14ac:dyDescent="0.4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  <c r="CQ605" s="8"/>
      <c r="CR605" s="8"/>
      <c r="CS605" s="8"/>
      <c r="CT605" s="8"/>
      <c r="CU605" s="8"/>
      <c r="CV605" s="8"/>
      <c r="CW605" s="8"/>
      <c r="CX605" s="8"/>
      <c r="CY605" s="8"/>
      <c r="CZ605" s="8"/>
      <c r="DA605" s="8"/>
      <c r="DB605" s="8"/>
      <c r="DC605" s="8"/>
      <c r="DD605" s="8"/>
      <c r="DE605" s="8"/>
      <c r="DF605" s="8"/>
      <c r="DG605" s="8"/>
      <c r="DH605" s="8"/>
      <c r="DI605" s="8"/>
      <c r="DJ605" s="8"/>
      <c r="DK605" s="8"/>
      <c r="DL605" s="8"/>
      <c r="DM605" s="8"/>
      <c r="DN605" s="8"/>
      <c r="DO605" s="8"/>
      <c r="DP605" s="8"/>
      <c r="DQ605" s="8"/>
      <c r="DR605" s="8"/>
      <c r="DS605" s="8"/>
      <c r="DT605" s="8"/>
      <c r="DU605" s="8"/>
      <c r="DV605" s="8"/>
      <c r="DW605" s="8"/>
      <c r="DX605" s="8"/>
      <c r="DY605" s="8"/>
      <c r="DZ605" s="8"/>
      <c r="EA605" s="8"/>
      <c r="EB605" s="8"/>
      <c r="EC605" s="8"/>
      <c r="ED605" s="8"/>
      <c r="EE605" s="8"/>
      <c r="EF605" s="8"/>
      <c r="EG605" s="8"/>
      <c r="EH605" s="8"/>
      <c r="EI605" s="8"/>
      <c r="EJ605" s="8"/>
      <c r="EK605" s="8"/>
      <c r="EL605" s="8"/>
      <c r="EM605" s="8"/>
      <c r="EN605" s="8"/>
      <c r="EO605" s="8"/>
      <c r="EP605" s="8"/>
      <c r="EQ605" s="8"/>
      <c r="ER605" s="8"/>
      <c r="ES605" s="8"/>
      <c r="ET605" s="8"/>
      <c r="EU605" s="8"/>
    </row>
    <row r="606" spans="2:151" x14ac:dyDescent="0.4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  <c r="CQ606" s="8"/>
      <c r="CR606" s="8"/>
      <c r="CS606" s="8"/>
      <c r="CT606" s="8"/>
      <c r="CU606" s="8"/>
      <c r="CV606" s="8"/>
      <c r="CW606" s="8"/>
      <c r="CX606" s="8"/>
      <c r="CY606" s="8"/>
      <c r="CZ606" s="8"/>
      <c r="DA606" s="8"/>
      <c r="DB606" s="8"/>
      <c r="DC606" s="8"/>
      <c r="DD606" s="8"/>
      <c r="DE606" s="8"/>
      <c r="DF606" s="8"/>
      <c r="DG606" s="8"/>
      <c r="DH606" s="8"/>
      <c r="DI606" s="8"/>
      <c r="DJ606" s="8"/>
      <c r="DK606" s="8"/>
      <c r="DL606" s="8"/>
      <c r="DM606" s="8"/>
      <c r="DN606" s="8"/>
      <c r="DO606" s="8"/>
      <c r="DP606" s="8"/>
      <c r="DQ606" s="8"/>
      <c r="DR606" s="8"/>
      <c r="DS606" s="8"/>
      <c r="DT606" s="8"/>
      <c r="DU606" s="8"/>
      <c r="DV606" s="8"/>
      <c r="DW606" s="8"/>
      <c r="DX606" s="8"/>
      <c r="DY606" s="8"/>
      <c r="DZ606" s="8"/>
      <c r="EA606" s="8"/>
      <c r="EB606" s="8"/>
      <c r="EC606" s="8"/>
      <c r="ED606" s="8"/>
      <c r="EE606" s="8"/>
      <c r="EF606" s="8"/>
      <c r="EG606" s="8"/>
      <c r="EH606" s="8"/>
      <c r="EI606" s="8"/>
      <c r="EJ606" s="8"/>
      <c r="EK606" s="8"/>
      <c r="EL606" s="8"/>
      <c r="EM606" s="8"/>
      <c r="EN606" s="8"/>
      <c r="EO606" s="8"/>
      <c r="EP606" s="8"/>
      <c r="EQ606" s="8"/>
      <c r="ER606" s="8"/>
      <c r="ES606" s="8"/>
      <c r="ET606" s="8"/>
      <c r="EU606" s="8"/>
    </row>
    <row r="607" spans="2:151" x14ac:dyDescent="0.4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  <c r="CQ607" s="8"/>
      <c r="CR607" s="8"/>
      <c r="CS607" s="8"/>
      <c r="CT607" s="8"/>
      <c r="CU607" s="8"/>
      <c r="CV607" s="8"/>
      <c r="CW607" s="8"/>
      <c r="CX607" s="8"/>
      <c r="CY607" s="8"/>
      <c r="CZ607" s="8"/>
      <c r="DA607" s="8"/>
      <c r="DB607" s="8"/>
      <c r="DC607" s="8"/>
      <c r="DD607" s="8"/>
      <c r="DE607" s="8"/>
      <c r="DF607" s="8"/>
      <c r="DG607" s="8"/>
      <c r="DH607" s="8"/>
      <c r="DI607" s="8"/>
      <c r="DJ607" s="8"/>
      <c r="DK607" s="8"/>
      <c r="DL607" s="8"/>
      <c r="DM607" s="8"/>
      <c r="DN607" s="8"/>
      <c r="DO607" s="8"/>
      <c r="DP607" s="8"/>
      <c r="DQ607" s="8"/>
      <c r="DR607" s="8"/>
      <c r="DS607" s="8"/>
      <c r="DT607" s="8"/>
      <c r="DU607" s="8"/>
      <c r="DV607" s="8"/>
      <c r="DW607" s="8"/>
      <c r="DX607" s="8"/>
      <c r="DY607" s="8"/>
      <c r="DZ607" s="8"/>
      <c r="EA607" s="8"/>
      <c r="EB607" s="8"/>
      <c r="EC607" s="8"/>
      <c r="ED607" s="8"/>
      <c r="EE607" s="8"/>
      <c r="EF607" s="8"/>
      <c r="EG607" s="8"/>
      <c r="EH607" s="8"/>
      <c r="EI607" s="8"/>
      <c r="EJ607" s="8"/>
      <c r="EK607" s="8"/>
      <c r="EL607" s="8"/>
      <c r="EM607" s="8"/>
      <c r="EN607" s="8"/>
      <c r="EO607" s="8"/>
      <c r="EP607" s="8"/>
      <c r="EQ607" s="8"/>
      <c r="ER607" s="8"/>
      <c r="ES607" s="8"/>
      <c r="ET607" s="8"/>
      <c r="EU607" s="8"/>
    </row>
    <row r="608" spans="2:151" x14ac:dyDescent="0.4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  <c r="CQ608" s="8"/>
      <c r="CR608" s="8"/>
      <c r="CS608" s="8"/>
      <c r="CT608" s="8"/>
      <c r="CU608" s="8"/>
      <c r="CV608" s="8"/>
      <c r="CW608" s="8"/>
      <c r="CX608" s="8"/>
      <c r="CY608" s="8"/>
      <c r="CZ608" s="8"/>
      <c r="DA608" s="8"/>
      <c r="DB608" s="8"/>
      <c r="DC608" s="8"/>
      <c r="DD608" s="8"/>
      <c r="DE608" s="8"/>
      <c r="DF608" s="8"/>
      <c r="DG608" s="8"/>
      <c r="DH608" s="8"/>
      <c r="DI608" s="8"/>
      <c r="DJ608" s="8"/>
      <c r="DK608" s="8"/>
      <c r="DL608" s="8"/>
      <c r="DM608" s="8"/>
      <c r="DN608" s="8"/>
      <c r="DO608" s="8"/>
      <c r="DP608" s="8"/>
      <c r="DQ608" s="8"/>
      <c r="DR608" s="8"/>
      <c r="DS608" s="8"/>
      <c r="DT608" s="8"/>
      <c r="DU608" s="8"/>
      <c r="DV608" s="8"/>
      <c r="DW608" s="8"/>
      <c r="DX608" s="8"/>
      <c r="DY608" s="8"/>
      <c r="DZ608" s="8"/>
      <c r="EA608" s="8"/>
      <c r="EB608" s="8"/>
      <c r="EC608" s="8"/>
      <c r="ED608" s="8"/>
      <c r="EE608" s="8"/>
      <c r="EF608" s="8"/>
      <c r="EG608" s="8"/>
      <c r="EH608" s="8"/>
      <c r="EI608" s="8"/>
      <c r="EJ608" s="8"/>
      <c r="EK608" s="8"/>
      <c r="EL608" s="8"/>
      <c r="EM608" s="8"/>
      <c r="EN608" s="8"/>
      <c r="EO608" s="8"/>
      <c r="EP608" s="8"/>
      <c r="EQ608" s="8"/>
      <c r="ER608" s="8"/>
      <c r="ES608" s="8"/>
      <c r="ET608" s="8"/>
      <c r="EU608" s="8"/>
    </row>
    <row r="609" spans="2:151" x14ac:dyDescent="0.4"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  <c r="BA609" s="10"/>
      <c r="BB609" s="10"/>
      <c r="BC609" s="10"/>
      <c r="BD609" s="10"/>
      <c r="BE609" s="10"/>
      <c r="BF609" s="10"/>
      <c r="BG609" s="10"/>
      <c r="BH609" s="10"/>
      <c r="BI609" s="10"/>
      <c r="BJ609" s="10"/>
      <c r="BK609" s="10"/>
      <c r="BL609" s="10"/>
      <c r="BM609" s="10"/>
      <c r="BN609" s="10"/>
      <c r="BO609" s="10"/>
      <c r="BP609" s="10"/>
      <c r="BQ609" s="10"/>
      <c r="BR609" s="10"/>
      <c r="BS609" s="10"/>
      <c r="BT609" s="10"/>
      <c r="BU609" s="10"/>
      <c r="BV609" s="10"/>
      <c r="BW609" s="10"/>
      <c r="BX609" s="10"/>
      <c r="BY609" s="10"/>
      <c r="BZ609" s="10"/>
      <c r="CA609" s="10"/>
      <c r="CB609" s="10"/>
      <c r="CC609" s="10"/>
      <c r="CD609" s="10"/>
      <c r="CE609" s="10"/>
      <c r="CF609" s="10"/>
      <c r="CG609" s="10"/>
      <c r="CH609" s="10"/>
      <c r="CI609" s="10"/>
      <c r="CJ609" s="10"/>
      <c r="CK609" s="10"/>
      <c r="CL609" s="10"/>
      <c r="CM609" s="10"/>
      <c r="CN609" s="10"/>
      <c r="CO609" s="10"/>
      <c r="CP609" s="10"/>
      <c r="CQ609" s="10"/>
      <c r="CR609" s="10"/>
      <c r="CS609" s="10"/>
      <c r="CT609" s="10"/>
      <c r="CU609" s="10"/>
      <c r="CV609" s="10"/>
      <c r="CW609" s="10"/>
      <c r="CX609" s="10"/>
      <c r="CY609" s="10"/>
      <c r="CZ609" s="10"/>
      <c r="DA609" s="10"/>
      <c r="DB609" s="10"/>
      <c r="DC609" s="10"/>
      <c r="DD609" s="10"/>
      <c r="DE609" s="10"/>
      <c r="DF609" s="10"/>
      <c r="DG609" s="10"/>
      <c r="DH609" s="10"/>
      <c r="DI609" s="10"/>
      <c r="DJ609" s="10"/>
      <c r="DK609" s="10"/>
      <c r="DL609" s="10"/>
      <c r="DM609" s="10"/>
      <c r="DN609" s="10"/>
      <c r="DO609" s="10"/>
      <c r="DP609" s="10"/>
      <c r="DQ609" s="10"/>
      <c r="DR609" s="10"/>
      <c r="DS609" s="10"/>
      <c r="DT609" s="10"/>
      <c r="DU609" s="10"/>
      <c r="DV609" s="10"/>
      <c r="DW609" s="10"/>
      <c r="DX609" s="10"/>
      <c r="DY609" s="10"/>
      <c r="DZ609" s="10"/>
      <c r="EA609" s="10"/>
      <c r="EB609" s="10"/>
      <c r="EC609" s="10"/>
      <c r="ED609" s="10"/>
      <c r="EE609" s="10"/>
      <c r="EF609" s="10"/>
      <c r="EG609" s="10"/>
      <c r="EH609" s="10"/>
      <c r="EI609" s="10"/>
      <c r="EJ609" s="10"/>
      <c r="EK609" s="10"/>
      <c r="EL609" s="10"/>
      <c r="EM609" s="10"/>
      <c r="EN609" s="10"/>
      <c r="EO609" s="10"/>
      <c r="EP609" s="10"/>
      <c r="EQ609" s="10"/>
      <c r="ER609" s="10"/>
      <c r="ES609" s="10"/>
      <c r="ET609" s="10"/>
      <c r="EU609" s="10"/>
    </row>
    <row r="610" spans="2:151" x14ac:dyDescent="0.4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  <c r="CQ610" s="8"/>
      <c r="CR610" s="8"/>
      <c r="CS610" s="8"/>
      <c r="CT610" s="8"/>
      <c r="CU610" s="8"/>
      <c r="CV610" s="8"/>
      <c r="CW610" s="8"/>
      <c r="CX610" s="8"/>
      <c r="CY610" s="8"/>
      <c r="CZ610" s="8"/>
      <c r="DA610" s="8"/>
      <c r="DB610" s="8"/>
      <c r="DC610" s="8"/>
      <c r="DD610" s="8"/>
      <c r="DE610" s="8"/>
      <c r="DF610" s="8"/>
      <c r="DG610" s="8"/>
      <c r="DH610" s="8"/>
      <c r="DI610" s="8"/>
      <c r="DJ610" s="8"/>
      <c r="DK610" s="8"/>
      <c r="DL610" s="8"/>
      <c r="DM610" s="8"/>
      <c r="DN610" s="8"/>
      <c r="DO610" s="8"/>
      <c r="DP610" s="8"/>
      <c r="DQ610" s="8"/>
      <c r="DR610" s="8"/>
      <c r="DS610" s="8"/>
      <c r="DT610" s="8"/>
      <c r="DU610" s="8"/>
      <c r="DV610" s="8"/>
      <c r="DW610" s="8"/>
      <c r="DX610" s="8"/>
      <c r="DY610" s="8"/>
      <c r="DZ610" s="8"/>
      <c r="EA610" s="8"/>
      <c r="EB610" s="8"/>
      <c r="EC610" s="8"/>
      <c r="ED610" s="8"/>
      <c r="EE610" s="8"/>
      <c r="EF610" s="8"/>
      <c r="EG610" s="8"/>
      <c r="EH610" s="8"/>
      <c r="EI610" s="8"/>
      <c r="EJ610" s="8"/>
      <c r="EK610" s="8"/>
      <c r="EL610" s="8"/>
      <c r="EM610" s="8"/>
      <c r="EN610" s="8"/>
      <c r="EO610" s="8"/>
      <c r="EP610" s="8"/>
      <c r="EQ610" s="8"/>
      <c r="ER610" s="8"/>
      <c r="ES610" s="8"/>
      <c r="ET610" s="8"/>
      <c r="EU610" s="8"/>
    </row>
    <row r="611" spans="2:151" x14ac:dyDescent="0.4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  <c r="CQ611" s="8"/>
      <c r="CR611" s="8"/>
      <c r="CS611" s="8"/>
      <c r="CT611" s="8"/>
      <c r="CU611" s="8"/>
      <c r="CV611" s="8"/>
      <c r="CW611" s="8"/>
      <c r="CX611" s="8"/>
      <c r="CY611" s="8"/>
      <c r="CZ611" s="8"/>
      <c r="DA611" s="8"/>
      <c r="DB611" s="8"/>
      <c r="DC611" s="8"/>
      <c r="DD611" s="8"/>
      <c r="DE611" s="8"/>
      <c r="DF611" s="8"/>
      <c r="DG611" s="8"/>
      <c r="DH611" s="8"/>
      <c r="DI611" s="8"/>
      <c r="DJ611" s="8"/>
      <c r="DK611" s="8"/>
      <c r="DL611" s="8"/>
      <c r="DM611" s="8"/>
      <c r="DN611" s="8"/>
      <c r="DO611" s="8"/>
      <c r="DP611" s="8"/>
      <c r="DQ611" s="8"/>
      <c r="DR611" s="8"/>
      <c r="DS611" s="8"/>
      <c r="DT611" s="8"/>
      <c r="DU611" s="8"/>
      <c r="DV611" s="8"/>
      <c r="DW611" s="8"/>
      <c r="DX611" s="8"/>
      <c r="DY611" s="8"/>
      <c r="DZ611" s="8"/>
      <c r="EA611" s="8"/>
      <c r="EB611" s="8"/>
      <c r="EC611" s="8"/>
      <c r="ED611" s="8"/>
      <c r="EE611" s="8"/>
      <c r="EF611" s="8"/>
      <c r="EG611" s="8"/>
      <c r="EH611" s="8"/>
      <c r="EI611" s="8"/>
      <c r="EJ611" s="8"/>
      <c r="EK611" s="8"/>
      <c r="EL611" s="8"/>
      <c r="EM611" s="8"/>
      <c r="EN611" s="8"/>
      <c r="EO611" s="8"/>
      <c r="EP611" s="8"/>
      <c r="EQ611" s="8"/>
      <c r="ER611" s="8"/>
      <c r="ES611" s="8"/>
      <c r="ET611" s="8"/>
      <c r="EU611" s="8"/>
    </row>
    <row r="612" spans="2:151" x14ac:dyDescent="0.4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  <c r="CQ612" s="8"/>
      <c r="CR612" s="8"/>
      <c r="CS612" s="8"/>
      <c r="CT612" s="8"/>
      <c r="CU612" s="8"/>
      <c r="CV612" s="8"/>
      <c r="CW612" s="8"/>
      <c r="CX612" s="8"/>
      <c r="CY612" s="8"/>
      <c r="CZ612" s="8"/>
      <c r="DA612" s="8"/>
      <c r="DB612" s="8"/>
      <c r="DC612" s="8"/>
      <c r="DD612" s="8"/>
      <c r="DE612" s="8"/>
      <c r="DF612" s="8"/>
      <c r="DG612" s="8"/>
      <c r="DH612" s="8"/>
      <c r="DI612" s="8"/>
      <c r="DJ612" s="8"/>
      <c r="DK612" s="8"/>
      <c r="DL612" s="8"/>
      <c r="DM612" s="8"/>
      <c r="DN612" s="8"/>
      <c r="DO612" s="8"/>
      <c r="DP612" s="8"/>
      <c r="DQ612" s="8"/>
      <c r="DR612" s="8"/>
      <c r="DS612" s="8"/>
      <c r="DT612" s="8"/>
      <c r="DU612" s="8"/>
      <c r="DV612" s="8"/>
      <c r="DW612" s="8"/>
      <c r="DX612" s="8"/>
      <c r="DY612" s="8"/>
      <c r="DZ612" s="8"/>
      <c r="EA612" s="8"/>
      <c r="EB612" s="8"/>
      <c r="EC612" s="8"/>
      <c r="ED612" s="8"/>
      <c r="EE612" s="8"/>
      <c r="EF612" s="8"/>
      <c r="EG612" s="8"/>
      <c r="EH612" s="8"/>
      <c r="EI612" s="8"/>
      <c r="EJ612" s="8"/>
      <c r="EK612" s="8"/>
      <c r="EL612" s="8"/>
      <c r="EM612" s="8"/>
      <c r="EN612" s="8"/>
      <c r="EO612" s="8"/>
      <c r="EP612" s="8"/>
      <c r="EQ612" s="8"/>
      <c r="ER612" s="8"/>
      <c r="ES612" s="8"/>
      <c r="ET612" s="8"/>
      <c r="EU612" s="8"/>
    </row>
    <row r="613" spans="2:151" x14ac:dyDescent="0.4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  <c r="CQ613" s="8"/>
      <c r="CR613" s="8"/>
      <c r="CS613" s="8"/>
      <c r="CT613" s="8"/>
      <c r="CU613" s="8"/>
      <c r="CV613" s="8"/>
      <c r="CW613" s="8"/>
      <c r="CX613" s="8"/>
      <c r="CY613" s="8"/>
      <c r="CZ613" s="8"/>
      <c r="DA613" s="8"/>
      <c r="DB613" s="8"/>
      <c r="DC613" s="8"/>
      <c r="DD613" s="8"/>
      <c r="DE613" s="8"/>
      <c r="DF613" s="8"/>
      <c r="DG613" s="8"/>
      <c r="DH613" s="8"/>
      <c r="DI613" s="8"/>
      <c r="DJ613" s="8"/>
      <c r="DK613" s="8"/>
      <c r="DL613" s="8"/>
      <c r="DM613" s="8"/>
      <c r="DN613" s="8"/>
      <c r="DO613" s="8"/>
      <c r="DP613" s="8"/>
      <c r="DQ613" s="8"/>
      <c r="DR613" s="8"/>
      <c r="DS613" s="8"/>
      <c r="DT613" s="8"/>
      <c r="DU613" s="8"/>
      <c r="DV613" s="8"/>
      <c r="DW613" s="8"/>
      <c r="DX613" s="8"/>
      <c r="DY613" s="8"/>
      <c r="DZ613" s="8"/>
      <c r="EA613" s="8"/>
      <c r="EB613" s="8"/>
      <c r="EC613" s="8"/>
      <c r="ED613" s="8"/>
      <c r="EE613" s="8"/>
      <c r="EF613" s="8"/>
      <c r="EG613" s="8"/>
      <c r="EH613" s="8"/>
      <c r="EI613" s="8"/>
      <c r="EJ613" s="8"/>
      <c r="EK613" s="8"/>
      <c r="EL613" s="8"/>
      <c r="EM613" s="8"/>
      <c r="EN613" s="8"/>
      <c r="EO613" s="8"/>
      <c r="EP613" s="8"/>
      <c r="EQ613" s="8"/>
      <c r="ER613" s="8"/>
      <c r="ES613" s="8"/>
      <c r="ET613" s="8"/>
      <c r="EU613" s="8"/>
    </row>
    <row r="614" spans="2:151" x14ac:dyDescent="0.4"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  <c r="BA614" s="10"/>
      <c r="BB614" s="10"/>
      <c r="BC614" s="10"/>
      <c r="BD614" s="10"/>
      <c r="BE614" s="10"/>
      <c r="BF614" s="10"/>
      <c r="BG614" s="10"/>
      <c r="BH614" s="10"/>
      <c r="BI614" s="10"/>
      <c r="BJ614" s="10"/>
      <c r="BK614" s="10"/>
      <c r="BL614" s="10"/>
      <c r="BM614" s="10"/>
      <c r="BN614" s="10"/>
      <c r="BO614" s="10"/>
      <c r="BP614" s="10"/>
      <c r="BQ614" s="10"/>
      <c r="BR614" s="10"/>
      <c r="BS614" s="10"/>
      <c r="BT614" s="10"/>
      <c r="BU614" s="10"/>
      <c r="BV614" s="10"/>
      <c r="BW614" s="10"/>
      <c r="BX614" s="10"/>
      <c r="BY614" s="10"/>
      <c r="BZ614" s="10"/>
      <c r="CA614" s="10"/>
      <c r="CB614" s="10"/>
      <c r="CC614" s="10"/>
      <c r="CD614" s="10"/>
      <c r="CE614" s="10"/>
      <c r="CF614" s="10"/>
      <c r="CG614" s="10"/>
      <c r="CH614" s="10"/>
      <c r="CI614" s="10"/>
      <c r="CJ614" s="10"/>
      <c r="CK614" s="10"/>
      <c r="CL614" s="10"/>
      <c r="CM614" s="10"/>
      <c r="CN614" s="10"/>
      <c r="CO614" s="10"/>
      <c r="CP614" s="10"/>
      <c r="CQ614" s="10"/>
      <c r="CR614" s="10"/>
      <c r="CS614" s="10"/>
      <c r="CT614" s="10"/>
      <c r="CU614" s="10"/>
      <c r="CV614" s="10"/>
      <c r="CW614" s="10"/>
      <c r="CX614" s="10"/>
      <c r="CY614" s="10"/>
      <c r="CZ614" s="10"/>
      <c r="DA614" s="10"/>
      <c r="DB614" s="10"/>
      <c r="DC614" s="10"/>
      <c r="DD614" s="10"/>
      <c r="DE614" s="10"/>
      <c r="DF614" s="10"/>
      <c r="DG614" s="10"/>
      <c r="DH614" s="10"/>
      <c r="DI614" s="10"/>
      <c r="DJ614" s="10"/>
      <c r="DK614" s="10"/>
      <c r="DL614" s="10"/>
      <c r="DM614" s="10"/>
      <c r="DN614" s="10"/>
      <c r="DO614" s="10"/>
      <c r="DP614" s="10"/>
      <c r="DQ614" s="10"/>
      <c r="DR614" s="10"/>
      <c r="DS614" s="10"/>
      <c r="DT614" s="10"/>
      <c r="DU614" s="10"/>
      <c r="DV614" s="10"/>
      <c r="DW614" s="10"/>
      <c r="DX614" s="10"/>
      <c r="DY614" s="10"/>
      <c r="DZ614" s="10"/>
      <c r="EA614" s="10"/>
      <c r="EB614" s="10"/>
      <c r="EC614" s="10"/>
      <c r="ED614" s="10"/>
      <c r="EE614" s="10"/>
      <c r="EF614" s="10"/>
      <c r="EG614" s="10"/>
      <c r="EH614" s="10"/>
      <c r="EI614" s="10"/>
      <c r="EJ614" s="10"/>
      <c r="EK614" s="10"/>
      <c r="EL614" s="10"/>
      <c r="EM614" s="10"/>
      <c r="EN614" s="10"/>
      <c r="EO614" s="10"/>
      <c r="EP614" s="10"/>
      <c r="EQ614" s="10"/>
      <c r="ER614" s="10"/>
      <c r="ES614" s="10"/>
      <c r="ET614" s="10"/>
      <c r="EU614" s="10"/>
    </row>
    <row r="615" spans="2:151" x14ac:dyDescent="0.4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  <c r="CQ615" s="8"/>
      <c r="CR615" s="8"/>
      <c r="CS615" s="8"/>
      <c r="CT615" s="8"/>
      <c r="CU615" s="8"/>
      <c r="CV615" s="8"/>
      <c r="CW615" s="8"/>
      <c r="CX615" s="8"/>
      <c r="CY615" s="8"/>
      <c r="CZ615" s="8"/>
      <c r="DA615" s="8"/>
      <c r="DB615" s="8"/>
      <c r="DC615" s="8"/>
      <c r="DD615" s="8"/>
      <c r="DE615" s="8"/>
      <c r="DF615" s="8"/>
      <c r="DG615" s="8"/>
      <c r="DH615" s="8"/>
      <c r="DI615" s="8"/>
      <c r="DJ615" s="8"/>
      <c r="DK615" s="8"/>
      <c r="DL615" s="8"/>
      <c r="DM615" s="8"/>
      <c r="DN615" s="8"/>
      <c r="DO615" s="8"/>
      <c r="DP615" s="8"/>
      <c r="DQ615" s="8"/>
      <c r="DR615" s="8"/>
      <c r="DS615" s="8"/>
      <c r="DT615" s="8"/>
      <c r="DU615" s="8"/>
      <c r="DV615" s="8"/>
      <c r="DW615" s="8"/>
      <c r="DX615" s="8"/>
      <c r="DY615" s="8"/>
      <c r="DZ615" s="8"/>
      <c r="EA615" s="8"/>
      <c r="EB615" s="8"/>
      <c r="EC615" s="8"/>
      <c r="ED615" s="8"/>
      <c r="EE615" s="8"/>
      <c r="EF615" s="8"/>
      <c r="EG615" s="8"/>
      <c r="EH615" s="8"/>
      <c r="EI615" s="8"/>
      <c r="EJ615" s="8"/>
      <c r="EK615" s="8"/>
      <c r="EL615" s="8"/>
      <c r="EM615" s="8"/>
      <c r="EN615" s="8"/>
      <c r="EO615" s="8"/>
      <c r="EP615" s="8"/>
      <c r="EQ615" s="8"/>
      <c r="ER615" s="8"/>
      <c r="ES615" s="8"/>
      <c r="ET615" s="8"/>
      <c r="EU615" s="8"/>
    </row>
    <row r="616" spans="2:151" x14ac:dyDescent="0.4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  <c r="CQ616" s="8"/>
      <c r="CR616" s="8"/>
      <c r="CS616" s="8"/>
      <c r="CT616" s="8"/>
      <c r="CU616" s="8"/>
      <c r="CV616" s="8"/>
      <c r="CW616" s="8"/>
      <c r="CX616" s="8"/>
      <c r="CY616" s="8"/>
      <c r="CZ616" s="8"/>
      <c r="DA616" s="8"/>
      <c r="DB616" s="8"/>
      <c r="DC616" s="8"/>
      <c r="DD616" s="8"/>
      <c r="DE616" s="8"/>
      <c r="DF616" s="8"/>
      <c r="DG616" s="8"/>
      <c r="DH616" s="8"/>
      <c r="DI616" s="8"/>
      <c r="DJ616" s="8"/>
      <c r="DK616" s="8"/>
      <c r="DL616" s="8"/>
      <c r="DM616" s="8"/>
      <c r="DN616" s="8"/>
      <c r="DO616" s="8"/>
      <c r="DP616" s="8"/>
      <c r="DQ616" s="8"/>
      <c r="DR616" s="8"/>
      <c r="DS616" s="8"/>
      <c r="DT616" s="8"/>
      <c r="DU616" s="8"/>
      <c r="DV616" s="8"/>
      <c r="DW616" s="8"/>
      <c r="DX616" s="8"/>
      <c r="DY616" s="8"/>
      <c r="DZ616" s="8"/>
      <c r="EA616" s="8"/>
      <c r="EB616" s="8"/>
      <c r="EC616" s="8"/>
      <c r="ED616" s="8"/>
      <c r="EE616" s="8"/>
      <c r="EF616" s="8"/>
      <c r="EG616" s="8"/>
      <c r="EH616" s="8"/>
      <c r="EI616" s="8"/>
      <c r="EJ616" s="8"/>
      <c r="EK616" s="8"/>
      <c r="EL616" s="8"/>
      <c r="EM616" s="8"/>
      <c r="EN616" s="8"/>
      <c r="EO616" s="8"/>
      <c r="EP616" s="8"/>
      <c r="EQ616" s="8"/>
      <c r="ER616" s="8"/>
      <c r="ES616" s="8"/>
      <c r="ET616" s="8"/>
      <c r="EU616" s="8"/>
    </row>
    <row r="617" spans="2:151" x14ac:dyDescent="0.4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  <c r="CQ617" s="8"/>
      <c r="CR617" s="8"/>
      <c r="CS617" s="8"/>
      <c r="CT617" s="8"/>
      <c r="CU617" s="8"/>
      <c r="CV617" s="8"/>
      <c r="CW617" s="8"/>
      <c r="CX617" s="8"/>
      <c r="CY617" s="8"/>
      <c r="CZ617" s="8"/>
      <c r="DA617" s="8"/>
      <c r="DB617" s="8"/>
      <c r="DC617" s="8"/>
      <c r="DD617" s="8"/>
      <c r="DE617" s="8"/>
      <c r="DF617" s="8"/>
      <c r="DG617" s="8"/>
      <c r="DH617" s="8"/>
      <c r="DI617" s="8"/>
      <c r="DJ617" s="8"/>
      <c r="DK617" s="8"/>
      <c r="DL617" s="8"/>
      <c r="DM617" s="8"/>
      <c r="DN617" s="8"/>
      <c r="DO617" s="8"/>
      <c r="DP617" s="8"/>
      <c r="DQ617" s="8"/>
      <c r="DR617" s="8"/>
      <c r="DS617" s="8"/>
      <c r="DT617" s="8"/>
      <c r="DU617" s="8"/>
      <c r="DV617" s="8"/>
      <c r="DW617" s="8"/>
      <c r="DX617" s="8"/>
      <c r="DY617" s="8"/>
      <c r="DZ617" s="8"/>
      <c r="EA617" s="8"/>
      <c r="EB617" s="8"/>
      <c r="EC617" s="8"/>
      <c r="ED617" s="8"/>
      <c r="EE617" s="8"/>
      <c r="EF617" s="8"/>
      <c r="EG617" s="8"/>
      <c r="EH617" s="8"/>
      <c r="EI617" s="8"/>
      <c r="EJ617" s="8"/>
      <c r="EK617" s="8"/>
      <c r="EL617" s="8"/>
      <c r="EM617" s="8"/>
      <c r="EN617" s="8"/>
      <c r="EO617" s="8"/>
      <c r="EP617" s="8"/>
      <c r="EQ617" s="8"/>
      <c r="ER617" s="8"/>
      <c r="ES617" s="8"/>
      <c r="ET617" s="8"/>
      <c r="EU617" s="8"/>
    </row>
    <row r="618" spans="2:151" x14ac:dyDescent="0.4"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1"/>
      <c r="EP618" s="1"/>
      <c r="EQ618" s="1"/>
      <c r="ER618" s="1"/>
      <c r="ES618" s="1"/>
      <c r="ET618" s="1"/>
      <c r="EU618" s="1"/>
    </row>
  </sheetData>
  <mergeCells count="4">
    <mergeCell ref="C5:D5"/>
    <mergeCell ref="C6:D6"/>
    <mergeCell ref="C7:D7"/>
    <mergeCell ref="C8:D8"/>
  </mergeCells>
  <phoneticPr fontId="19" type="noConversion"/>
  <dataValidations count="1">
    <dataValidation type="list" allowBlank="1" showInputMessage="1" showErrorMessage="1" sqref="D3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stvol">
                <anchor moveWithCells="1" sizeWithCells="1">
                  <from>
                    <xdr:col>0</xdr:col>
                    <xdr:colOff>76200</xdr:colOff>
                    <xdr:row>2</xdr:row>
                    <xdr:rowOff>76200</xdr:rowOff>
                  </from>
                  <to>
                    <xdr:col>0</xdr:col>
                    <xdr:colOff>952500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5" name="Button 75">
              <controlPr defaultSize="0" print="0" autoFill="0" autoPict="0" macro="[0]!UpperLower">
                <anchor moveWithCells="1" sizeWithCells="1">
                  <from>
                    <xdr:col>4</xdr:col>
                    <xdr:colOff>647700</xdr:colOff>
                    <xdr:row>3</xdr:row>
                    <xdr:rowOff>60960</xdr:rowOff>
                  </from>
                  <to>
                    <xdr:col>5</xdr:col>
                    <xdr:colOff>289560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6"/>
  <sheetViews>
    <sheetView workbookViewId="0">
      <selection activeCell="B69" sqref="B69"/>
    </sheetView>
  </sheetViews>
  <sheetFormatPr defaultRowHeight="16.5" customHeight="1" x14ac:dyDescent="0.4"/>
  <cols>
    <col min="1" max="1" width="3.8984375" bestFit="1" customWidth="1"/>
    <col min="2" max="2" width="6.09765625" bestFit="1" customWidth="1"/>
    <col min="3" max="3" width="19.09765625" style="65" bestFit="1" customWidth="1"/>
    <col min="4" max="6" width="6.3984375" customWidth="1"/>
    <col min="7" max="9" width="8.19921875" customWidth="1"/>
    <col min="10" max="12" width="11.8984375" customWidth="1"/>
    <col min="13" max="14" width="13.19921875" customWidth="1"/>
  </cols>
  <sheetData>
    <row r="1" spans="1:14" ht="16.5" customHeight="1" x14ac:dyDescent="0.4">
      <c r="A1" s="51" t="s">
        <v>79</v>
      </c>
      <c r="B1" s="51" t="s">
        <v>80</v>
      </c>
      <c r="C1" s="62" t="s">
        <v>81</v>
      </c>
      <c r="D1" s="51" t="s">
        <v>82</v>
      </c>
      <c r="E1" s="51" t="s">
        <v>83</v>
      </c>
      <c r="F1" s="51" t="s">
        <v>84</v>
      </c>
      <c r="G1" s="51" t="s">
        <v>85</v>
      </c>
      <c r="H1" s="51" t="s">
        <v>86</v>
      </c>
      <c r="I1" s="51" t="s">
        <v>87</v>
      </c>
      <c r="J1" s="51" t="s">
        <v>88</v>
      </c>
      <c r="K1" s="51" t="s">
        <v>89</v>
      </c>
      <c r="L1" s="51" t="s">
        <v>90</v>
      </c>
      <c r="M1" s="51" t="s">
        <v>91</v>
      </c>
      <c r="N1" s="51" t="s">
        <v>92</v>
      </c>
    </row>
    <row r="2" spans="1:14" ht="16.5" customHeight="1" x14ac:dyDescent="0.4">
      <c r="A2" s="52">
        <v>1</v>
      </c>
      <c r="B2" s="53" t="s">
        <v>93</v>
      </c>
      <c r="C2" s="63" t="s">
        <v>94</v>
      </c>
      <c r="D2" s="54">
        <v>2.2200000000000002</v>
      </c>
      <c r="E2" s="55">
        <v>1.86</v>
      </c>
      <c r="F2" s="54">
        <v>0.34</v>
      </c>
      <c r="G2" s="56">
        <v>170</v>
      </c>
      <c r="H2" s="56">
        <v>316365</v>
      </c>
      <c r="I2" s="56">
        <v>356200</v>
      </c>
      <c r="J2" s="56">
        <v>53782107</v>
      </c>
      <c r="K2" s="56">
        <v>60554000</v>
      </c>
      <c r="L2" s="56">
        <v>6771893</v>
      </c>
      <c r="M2" s="54">
        <v>12.59</v>
      </c>
      <c r="N2" s="54">
        <v>17.829999999999998</v>
      </c>
    </row>
    <row r="3" spans="1:14" ht="16.5" customHeight="1" x14ac:dyDescent="0.4">
      <c r="A3" s="57">
        <v>2</v>
      </c>
      <c r="B3" s="58" t="s">
        <v>95</v>
      </c>
      <c r="C3" s="64" t="s">
        <v>31</v>
      </c>
      <c r="D3" s="59">
        <v>7.92</v>
      </c>
      <c r="E3" s="60">
        <v>0.61</v>
      </c>
      <c r="F3" s="59">
        <v>1.21</v>
      </c>
      <c r="G3" s="61">
        <v>1500</v>
      </c>
      <c r="H3" s="61">
        <v>132052</v>
      </c>
      <c r="I3" s="61">
        <v>144000</v>
      </c>
      <c r="J3" s="61">
        <v>198078736</v>
      </c>
      <c r="K3" s="61">
        <v>216000000</v>
      </c>
      <c r="L3" s="61">
        <v>17921264</v>
      </c>
      <c r="M3" s="59">
        <v>9.0500000000000007</v>
      </c>
      <c r="N3" s="59">
        <v>5.49</v>
      </c>
    </row>
    <row r="4" spans="1:14" ht="16.5" customHeight="1" x14ac:dyDescent="0.4">
      <c r="A4" s="57">
        <v>3</v>
      </c>
      <c r="B4" s="58" t="s">
        <v>96</v>
      </c>
      <c r="C4" s="64" t="s">
        <v>97</v>
      </c>
      <c r="D4" s="59">
        <v>1.54</v>
      </c>
      <c r="E4" s="60">
        <v>0.05</v>
      </c>
      <c r="F4" s="59">
        <v>0.24</v>
      </c>
      <c r="G4" s="61">
        <v>1000</v>
      </c>
      <c r="H4" s="61">
        <v>39528</v>
      </c>
      <c r="I4" s="61">
        <v>42050</v>
      </c>
      <c r="J4" s="61">
        <v>39527925</v>
      </c>
      <c r="K4" s="61">
        <v>42050000</v>
      </c>
      <c r="L4" s="61">
        <v>2522075</v>
      </c>
      <c r="M4" s="59">
        <v>6.38</v>
      </c>
      <c r="N4" s="59">
        <v>-48.4</v>
      </c>
    </row>
    <row r="5" spans="1:14" ht="16.5" customHeight="1" x14ac:dyDescent="0.4">
      <c r="A5" s="57">
        <v>4</v>
      </c>
      <c r="B5" s="58" t="s">
        <v>98</v>
      </c>
      <c r="C5" s="64" t="s">
        <v>99</v>
      </c>
      <c r="D5" s="59">
        <v>9.24</v>
      </c>
      <c r="E5" s="60">
        <v>7.0000000000000007E-2</v>
      </c>
      <c r="F5" s="59">
        <v>1.41</v>
      </c>
      <c r="G5" s="61">
        <v>4260</v>
      </c>
      <c r="H5" s="61">
        <v>56197</v>
      </c>
      <c r="I5" s="61">
        <v>59200</v>
      </c>
      <c r="J5" s="61">
        <v>239401300</v>
      </c>
      <c r="K5" s="61">
        <v>252192000</v>
      </c>
      <c r="L5" s="61">
        <v>12790700</v>
      </c>
      <c r="M5" s="59">
        <v>5.34</v>
      </c>
      <c r="N5" s="59">
        <v>3.86</v>
      </c>
    </row>
    <row r="6" spans="1:14" ht="16.5" customHeight="1" x14ac:dyDescent="0.4">
      <c r="A6" s="57">
        <v>5</v>
      </c>
      <c r="B6" s="58" t="s">
        <v>100</v>
      </c>
      <c r="C6" s="64" t="s">
        <v>49</v>
      </c>
      <c r="D6" s="59">
        <v>3.74</v>
      </c>
      <c r="E6" s="60">
        <v>1.58</v>
      </c>
      <c r="F6" s="59">
        <v>0.56999999999999995</v>
      </c>
      <c r="G6" s="61">
        <v>400</v>
      </c>
      <c r="H6" s="61">
        <v>243940</v>
      </c>
      <c r="I6" s="61">
        <v>255000</v>
      </c>
      <c r="J6" s="61">
        <v>97575975</v>
      </c>
      <c r="K6" s="61">
        <v>102000000</v>
      </c>
      <c r="L6" s="61">
        <v>4424025</v>
      </c>
      <c r="M6" s="59">
        <v>4.53</v>
      </c>
      <c r="N6" s="59">
        <v>1.59</v>
      </c>
    </row>
    <row r="7" spans="1:14" ht="16.5" customHeight="1" x14ac:dyDescent="0.4">
      <c r="A7" s="57">
        <v>6</v>
      </c>
      <c r="B7" s="58" t="s">
        <v>101</v>
      </c>
      <c r="C7" s="64" t="s">
        <v>102</v>
      </c>
      <c r="D7" s="59">
        <v>6.23</v>
      </c>
      <c r="E7" s="60">
        <v>0.19</v>
      </c>
      <c r="F7" s="59">
        <v>0.95</v>
      </c>
      <c r="G7" s="61">
        <v>2000</v>
      </c>
      <c r="H7" s="61">
        <v>83613</v>
      </c>
      <c r="I7" s="61">
        <v>85000</v>
      </c>
      <c r="J7" s="61">
        <v>167226046</v>
      </c>
      <c r="K7" s="61">
        <v>170000000</v>
      </c>
      <c r="L7" s="61">
        <v>2773954</v>
      </c>
      <c r="M7" s="59">
        <v>1.66</v>
      </c>
      <c r="N7" s="59">
        <v>9.82</v>
      </c>
    </row>
    <row r="8" spans="1:14" ht="16.5" customHeight="1" x14ac:dyDescent="0.4">
      <c r="A8" s="57">
        <v>7</v>
      </c>
      <c r="B8" s="58" t="s">
        <v>103</v>
      </c>
      <c r="C8" s="64" t="s">
        <v>104</v>
      </c>
      <c r="D8" s="59">
        <v>1.25</v>
      </c>
      <c r="E8" s="60">
        <v>0.06</v>
      </c>
      <c r="F8" s="59">
        <v>0.19</v>
      </c>
      <c r="G8" s="61">
        <v>2000</v>
      </c>
      <c r="H8" s="61">
        <v>16992</v>
      </c>
      <c r="I8" s="61">
        <v>17050</v>
      </c>
      <c r="J8" s="61">
        <v>33983816</v>
      </c>
      <c r="K8" s="61">
        <v>34100000</v>
      </c>
      <c r="L8" s="61">
        <v>116184</v>
      </c>
      <c r="M8" s="59">
        <v>0.34</v>
      </c>
      <c r="N8" s="59">
        <v>1.79</v>
      </c>
    </row>
    <row r="9" spans="1:14" ht="16.5" customHeight="1" x14ac:dyDescent="0.4">
      <c r="A9" s="57">
        <v>8</v>
      </c>
      <c r="B9" s="58" t="s">
        <v>105</v>
      </c>
      <c r="C9" s="64" t="s">
        <v>106</v>
      </c>
      <c r="D9" s="59">
        <v>7.8</v>
      </c>
      <c r="E9" s="60">
        <v>0.27</v>
      </c>
      <c r="F9" s="59">
        <v>1.19</v>
      </c>
      <c r="G9" s="61">
        <v>14000</v>
      </c>
      <c r="H9" s="61">
        <v>15166</v>
      </c>
      <c r="I9" s="61">
        <v>15200</v>
      </c>
      <c r="J9" s="61">
        <v>212330590</v>
      </c>
      <c r="K9" s="61">
        <v>212800000</v>
      </c>
      <c r="L9" s="61">
        <v>469410</v>
      </c>
      <c r="M9" s="59">
        <v>0.22</v>
      </c>
      <c r="N9" s="59">
        <v>2.7</v>
      </c>
    </row>
    <row r="10" spans="1:14" ht="16.5" customHeight="1" x14ac:dyDescent="0.4">
      <c r="A10" s="57">
        <v>9</v>
      </c>
      <c r="B10" s="58" t="s">
        <v>107</v>
      </c>
      <c r="C10" s="64" t="s">
        <v>108</v>
      </c>
      <c r="D10" s="59">
        <v>4.63</v>
      </c>
      <c r="E10" s="60">
        <v>0.19</v>
      </c>
      <c r="F10" s="59">
        <v>0.71</v>
      </c>
      <c r="G10" s="61">
        <v>6000</v>
      </c>
      <c r="H10" s="61">
        <v>21027</v>
      </c>
      <c r="I10" s="61">
        <v>21050</v>
      </c>
      <c r="J10" s="61">
        <v>126162180</v>
      </c>
      <c r="K10" s="61">
        <v>126300000</v>
      </c>
      <c r="L10" s="61">
        <v>137820</v>
      </c>
      <c r="M10" s="59">
        <v>0.11</v>
      </c>
      <c r="N10" s="59">
        <v>0.24</v>
      </c>
    </row>
    <row r="11" spans="1:14" ht="16.5" customHeight="1" x14ac:dyDescent="0.4">
      <c r="A11" s="57">
        <v>10</v>
      </c>
      <c r="B11" s="58" t="s">
        <v>109</v>
      </c>
      <c r="C11" s="64" t="s">
        <v>110</v>
      </c>
      <c r="D11" s="59">
        <v>-6.37</v>
      </c>
      <c r="E11" s="60">
        <v>0.17</v>
      </c>
      <c r="F11" s="59">
        <v>-0.97</v>
      </c>
      <c r="G11" s="61">
        <v>-16400</v>
      </c>
      <c r="H11" s="61">
        <v>10644</v>
      </c>
      <c r="I11" s="61">
        <v>10600</v>
      </c>
      <c r="J11" s="61">
        <v>-174570484</v>
      </c>
      <c r="K11" s="61">
        <v>-173840000</v>
      </c>
      <c r="L11" s="61">
        <v>730484</v>
      </c>
      <c r="M11" s="59">
        <v>0</v>
      </c>
      <c r="N11" s="59">
        <v>-31.17</v>
      </c>
    </row>
    <row r="12" spans="1:14" ht="16.5" customHeight="1" x14ac:dyDescent="0.4">
      <c r="A12" s="57">
        <v>11</v>
      </c>
      <c r="B12" s="58" t="s">
        <v>111</v>
      </c>
      <c r="C12" s="64" t="s">
        <v>112</v>
      </c>
      <c r="D12" s="59">
        <v>-5.0599999999999996</v>
      </c>
      <c r="E12" s="60">
        <v>0.6</v>
      </c>
      <c r="F12" s="59">
        <v>-0.77</v>
      </c>
      <c r="G12" s="61">
        <v>-4000</v>
      </c>
      <c r="H12" s="61">
        <v>33223</v>
      </c>
      <c r="I12" s="61">
        <v>34500</v>
      </c>
      <c r="J12" s="61">
        <v>-132894261</v>
      </c>
      <c r="K12" s="61">
        <v>-138000000</v>
      </c>
      <c r="L12" s="61">
        <v>-5105739</v>
      </c>
      <c r="M12" s="59">
        <v>0</v>
      </c>
      <c r="N12" s="59">
        <v>-27.29</v>
      </c>
    </row>
    <row r="13" spans="1:14" ht="16.5" customHeight="1" x14ac:dyDescent="0.4">
      <c r="A13" s="57">
        <v>12</v>
      </c>
      <c r="B13" s="58" t="s">
        <v>113</v>
      </c>
      <c r="C13" s="64" t="s">
        <v>114</v>
      </c>
      <c r="D13" s="59">
        <v>-0.56999999999999995</v>
      </c>
      <c r="E13" s="60">
        <v>0.61</v>
      </c>
      <c r="F13" s="59">
        <v>-0.09</v>
      </c>
      <c r="G13" s="61">
        <v>-350</v>
      </c>
      <c r="H13" s="61">
        <v>47162</v>
      </c>
      <c r="I13" s="61">
        <v>44500</v>
      </c>
      <c r="J13" s="61">
        <v>-16507005</v>
      </c>
      <c r="K13" s="61">
        <v>-15575000</v>
      </c>
      <c r="L13" s="61">
        <v>932005</v>
      </c>
      <c r="M13" s="59">
        <v>0</v>
      </c>
      <c r="N13" s="59">
        <v>2.77</v>
      </c>
    </row>
    <row r="14" spans="1:14" ht="16.5" customHeight="1" x14ac:dyDescent="0.4">
      <c r="A14" s="57">
        <v>13</v>
      </c>
      <c r="B14" s="58" t="s">
        <v>115</v>
      </c>
      <c r="C14" s="64" t="s">
        <v>116</v>
      </c>
      <c r="D14" s="59">
        <v>-8.81</v>
      </c>
      <c r="E14" s="60">
        <v>0.52</v>
      </c>
      <c r="F14" s="59">
        <v>-1.35</v>
      </c>
      <c r="G14" s="61">
        <v>-19000</v>
      </c>
      <c r="H14" s="61">
        <v>11826</v>
      </c>
      <c r="I14" s="61">
        <v>12650</v>
      </c>
      <c r="J14" s="61">
        <v>-224705149</v>
      </c>
      <c r="K14" s="61">
        <v>-240350000</v>
      </c>
      <c r="L14" s="61">
        <v>-15644851</v>
      </c>
      <c r="M14" s="59">
        <v>0</v>
      </c>
      <c r="N14" s="59">
        <v>52.23</v>
      </c>
    </row>
    <row r="15" spans="1:14" ht="16.5" customHeight="1" x14ac:dyDescent="0.4">
      <c r="A15" s="57">
        <v>14</v>
      </c>
      <c r="B15" s="58" t="s">
        <v>117</v>
      </c>
      <c r="C15" s="64" t="s">
        <v>118</v>
      </c>
      <c r="D15" s="59">
        <v>-2.79</v>
      </c>
      <c r="E15" s="60">
        <v>0.34</v>
      </c>
      <c r="F15" s="59">
        <v>-0.43</v>
      </c>
      <c r="G15" s="61">
        <v>-4000</v>
      </c>
      <c r="H15" s="61">
        <v>19529</v>
      </c>
      <c r="I15" s="61">
        <v>19050</v>
      </c>
      <c r="J15" s="61">
        <v>-78116021</v>
      </c>
      <c r="K15" s="61">
        <v>-76200000</v>
      </c>
      <c r="L15" s="61">
        <v>1916021</v>
      </c>
      <c r="M15" s="59">
        <v>0</v>
      </c>
      <c r="N15" s="59">
        <v>16.87</v>
      </c>
    </row>
    <row r="16" spans="1:14" ht="16.5" customHeight="1" x14ac:dyDescent="0.4">
      <c r="A16" s="57">
        <v>15</v>
      </c>
      <c r="B16" s="58" t="s">
        <v>119</v>
      </c>
      <c r="C16" s="64" t="s">
        <v>120</v>
      </c>
      <c r="D16" s="59">
        <v>-2.62</v>
      </c>
      <c r="E16" s="60">
        <v>0.17</v>
      </c>
      <c r="F16" s="59">
        <v>-0.4</v>
      </c>
      <c r="G16" s="61">
        <v>-3000</v>
      </c>
      <c r="H16" s="61">
        <v>24231</v>
      </c>
      <c r="I16" s="61">
        <v>23800</v>
      </c>
      <c r="J16" s="61">
        <v>-72695566</v>
      </c>
      <c r="K16" s="61">
        <v>-71400000</v>
      </c>
      <c r="L16" s="61">
        <v>1295566</v>
      </c>
      <c r="M16" s="59">
        <v>0</v>
      </c>
      <c r="N16" s="59">
        <v>-5.93</v>
      </c>
    </row>
    <row r="17" spans="1:14" ht="16.5" customHeight="1" x14ac:dyDescent="0.4">
      <c r="A17" s="57">
        <v>16</v>
      </c>
      <c r="B17" s="58" t="s">
        <v>121</v>
      </c>
      <c r="C17" s="64" t="s">
        <v>39</v>
      </c>
      <c r="D17" s="59">
        <v>-7.75</v>
      </c>
      <c r="E17" s="60">
        <v>0.45</v>
      </c>
      <c r="F17" s="59">
        <v>-1.18</v>
      </c>
      <c r="G17" s="61">
        <v>-1500</v>
      </c>
      <c r="H17" s="61">
        <v>141345</v>
      </c>
      <c r="I17" s="61">
        <v>141000</v>
      </c>
      <c r="J17" s="61">
        <v>-212018612</v>
      </c>
      <c r="K17" s="61">
        <v>-211500000</v>
      </c>
      <c r="L17" s="61">
        <v>518612</v>
      </c>
      <c r="M17" s="59">
        <v>0</v>
      </c>
      <c r="N17" s="59">
        <v>-23.58</v>
      </c>
    </row>
    <row r="18" spans="1:14" ht="16.5" customHeight="1" x14ac:dyDescent="0.4">
      <c r="A18" s="57">
        <v>17</v>
      </c>
      <c r="B18" s="58" t="s">
        <v>122</v>
      </c>
      <c r="C18" s="64" t="s">
        <v>47</v>
      </c>
      <c r="D18" s="59">
        <v>-8.02</v>
      </c>
      <c r="E18" s="60">
        <v>0.8</v>
      </c>
      <c r="F18" s="59">
        <v>-1.23</v>
      </c>
      <c r="G18" s="61">
        <v>-400</v>
      </c>
      <c r="H18" s="61">
        <v>562467</v>
      </c>
      <c r="I18" s="61">
        <v>547000</v>
      </c>
      <c r="J18" s="61">
        <v>-224987159</v>
      </c>
      <c r="K18" s="61">
        <v>-218800000</v>
      </c>
      <c r="L18" s="61">
        <v>6187159</v>
      </c>
      <c r="M18" s="59">
        <v>0</v>
      </c>
      <c r="N18" s="59">
        <v>-7.91</v>
      </c>
    </row>
    <row r="19" spans="1:14" ht="16.5" customHeight="1" x14ac:dyDescent="0.4">
      <c r="A19" s="57">
        <v>18</v>
      </c>
      <c r="B19" s="58" t="s">
        <v>123</v>
      </c>
      <c r="C19" s="64" t="s">
        <v>33</v>
      </c>
      <c r="D19" s="59">
        <v>-1.95</v>
      </c>
      <c r="E19" s="60">
        <v>1.26</v>
      </c>
      <c r="F19" s="59">
        <v>-0.3</v>
      </c>
      <c r="G19" s="61">
        <v>-300</v>
      </c>
      <c r="H19" s="61">
        <v>185017</v>
      </c>
      <c r="I19" s="61">
        <v>177000</v>
      </c>
      <c r="J19" s="61">
        <v>-55505176</v>
      </c>
      <c r="K19" s="61">
        <v>-53100000</v>
      </c>
      <c r="L19" s="61">
        <v>2405176</v>
      </c>
      <c r="M19" s="59">
        <v>0</v>
      </c>
      <c r="N19" s="59">
        <v>-13.02</v>
      </c>
    </row>
    <row r="20" spans="1:14" ht="16.5" customHeight="1" x14ac:dyDescent="0.4">
      <c r="A20" s="57">
        <v>19</v>
      </c>
      <c r="B20" s="58" t="s">
        <v>124</v>
      </c>
      <c r="C20" s="64" t="s">
        <v>125</v>
      </c>
      <c r="D20" s="59">
        <v>-3.62</v>
      </c>
      <c r="E20" s="60">
        <v>0.33</v>
      </c>
      <c r="F20" s="59">
        <v>-0.55000000000000004</v>
      </c>
      <c r="G20" s="61">
        <v>-3000</v>
      </c>
      <c r="H20" s="61">
        <v>33990</v>
      </c>
      <c r="I20" s="61">
        <v>32900</v>
      </c>
      <c r="J20" s="61">
        <v>-101971446</v>
      </c>
      <c r="K20" s="61">
        <v>-98700000</v>
      </c>
      <c r="L20" s="61">
        <v>3271446</v>
      </c>
      <c r="M20" s="59">
        <v>0</v>
      </c>
      <c r="N20" s="59">
        <v>14.83</v>
      </c>
    </row>
    <row r="21" spans="1:14" ht="16.5" customHeight="1" x14ac:dyDescent="0.4">
      <c r="A21" s="57">
        <v>20</v>
      </c>
      <c r="B21" s="58" t="s">
        <v>126</v>
      </c>
      <c r="C21" s="64" t="s">
        <v>127</v>
      </c>
      <c r="D21" s="59">
        <v>-3.94</v>
      </c>
      <c r="E21" s="60">
        <v>1.65</v>
      </c>
      <c r="F21" s="59">
        <v>-0.6</v>
      </c>
      <c r="G21" s="61">
        <v>-3200</v>
      </c>
      <c r="H21" s="61">
        <v>33462</v>
      </c>
      <c r="I21" s="61">
        <v>33600</v>
      </c>
      <c r="J21" s="61">
        <v>-107081189</v>
      </c>
      <c r="K21" s="61">
        <v>-107520000</v>
      </c>
      <c r="L21" s="61">
        <v>-438811</v>
      </c>
      <c r="M21" s="59">
        <v>0</v>
      </c>
      <c r="N21" s="59">
        <v>10.53</v>
      </c>
    </row>
    <row r="22" spans="1:14" ht="16.5" customHeight="1" x14ac:dyDescent="0.4">
      <c r="A22" s="57">
        <v>21</v>
      </c>
      <c r="B22" s="58" t="s">
        <v>128</v>
      </c>
      <c r="C22" s="64" t="s">
        <v>25</v>
      </c>
      <c r="D22" s="59">
        <v>-4.54</v>
      </c>
      <c r="E22" s="60">
        <v>0.49</v>
      </c>
      <c r="F22" s="59">
        <v>-0.69</v>
      </c>
      <c r="G22" s="61">
        <v>-2000</v>
      </c>
      <c r="H22" s="61">
        <v>63378</v>
      </c>
      <c r="I22" s="61">
        <v>61900</v>
      </c>
      <c r="J22" s="61">
        <v>-126757367</v>
      </c>
      <c r="K22" s="61">
        <v>-123800000</v>
      </c>
      <c r="L22" s="61">
        <v>2957367</v>
      </c>
      <c r="M22" s="59">
        <v>0</v>
      </c>
      <c r="N22" s="59">
        <v>-21.15</v>
      </c>
    </row>
    <row r="23" spans="1:14" ht="16.5" customHeight="1" x14ac:dyDescent="0.4">
      <c r="A23" s="57">
        <v>22</v>
      </c>
      <c r="B23" s="58" t="s">
        <v>129</v>
      </c>
      <c r="C23" s="64" t="s">
        <v>130</v>
      </c>
      <c r="D23" s="59">
        <v>-5.92</v>
      </c>
      <c r="E23" s="60">
        <v>0.56000000000000005</v>
      </c>
      <c r="F23" s="59">
        <v>-0.9</v>
      </c>
      <c r="G23" s="61">
        <v>-160</v>
      </c>
      <c r="H23" s="61">
        <v>1003067</v>
      </c>
      <c r="I23" s="61">
        <v>1009000</v>
      </c>
      <c r="J23" s="61">
        <v>-160490773</v>
      </c>
      <c r="K23" s="61">
        <v>-161440000</v>
      </c>
      <c r="L23" s="61">
        <v>-949227</v>
      </c>
      <c r="M23" s="59">
        <v>0</v>
      </c>
      <c r="N23" s="59">
        <v>-8.36</v>
      </c>
    </row>
    <row r="24" spans="1:14" ht="16.5" customHeight="1" x14ac:dyDescent="0.4">
      <c r="A24" s="57">
        <v>23</v>
      </c>
      <c r="B24" s="58" t="s">
        <v>131</v>
      </c>
      <c r="C24" s="64" t="s">
        <v>132</v>
      </c>
      <c r="D24" s="59">
        <v>-1.43</v>
      </c>
      <c r="E24" s="60">
        <v>0.01</v>
      </c>
      <c r="F24" s="59">
        <v>-0.22</v>
      </c>
      <c r="G24" s="61">
        <v>-1000</v>
      </c>
      <c r="H24" s="61">
        <v>41422</v>
      </c>
      <c r="I24" s="61">
        <v>38900</v>
      </c>
      <c r="J24" s="61">
        <v>-41422291</v>
      </c>
      <c r="K24" s="61">
        <v>-38900000</v>
      </c>
      <c r="L24" s="61">
        <v>2522291</v>
      </c>
      <c r="M24" s="59">
        <v>0</v>
      </c>
      <c r="N24" s="59">
        <v>16.47</v>
      </c>
    </row>
    <row r="25" spans="1:14" ht="16.5" customHeight="1" x14ac:dyDescent="0.4">
      <c r="A25" s="57">
        <v>24</v>
      </c>
      <c r="B25" s="58" t="s">
        <v>133</v>
      </c>
      <c r="C25" s="64" t="s">
        <v>134</v>
      </c>
      <c r="D25" s="59">
        <v>-6.43</v>
      </c>
      <c r="E25" s="60">
        <v>0.32</v>
      </c>
      <c r="F25" s="59">
        <v>-0.98</v>
      </c>
      <c r="G25" s="61">
        <v>-1500</v>
      </c>
      <c r="H25" s="61">
        <v>115529</v>
      </c>
      <c r="I25" s="61">
        <v>117000</v>
      </c>
      <c r="J25" s="61">
        <v>-173293766</v>
      </c>
      <c r="K25" s="61">
        <v>-175500000</v>
      </c>
      <c r="L25" s="61">
        <v>-2206234</v>
      </c>
      <c r="M25" s="59">
        <v>0</v>
      </c>
      <c r="N25" s="59">
        <v>-19.86</v>
      </c>
    </row>
    <row r="26" spans="1:14" ht="16.5" customHeight="1" x14ac:dyDescent="0.4">
      <c r="A26" s="57">
        <v>25</v>
      </c>
      <c r="B26" s="58" t="s">
        <v>135</v>
      </c>
      <c r="C26" s="64" t="s">
        <v>136</v>
      </c>
      <c r="D26" s="59">
        <v>-1.58</v>
      </c>
      <c r="E26" s="60">
        <v>0.16</v>
      </c>
      <c r="F26" s="59">
        <v>-0.24</v>
      </c>
      <c r="G26" s="61">
        <v>-1200</v>
      </c>
      <c r="H26" s="61">
        <v>36361</v>
      </c>
      <c r="I26" s="61">
        <v>36000</v>
      </c>
      <c r="J26" s="61">
        <v>-43634370</v>
      </c>
      <c r="K26" s="61">
        <v>-43200000</v>
      </c>
      <c r="L26" s="61">
        <v>434370</v>
      </c>
      <c r="M26" s="59">
        <v>0</v>
      </c>
      <c r="N26" s="59">
        <v>-1.77</v>
      </c>
    </row>
    <row r="27" spans="1:14" ht="16.5" customHeight="1" x14ac:dyDescent="0.4">
      <c r="A27" s="57">
        <v>26</v>
      </c>
      <c r="B27" s="58" t="s">
        <v>137</v>
      </c>
      <c r="C27" s="64" t="s">
        <v>138</v>
      </c>
      <c r="D27" s="59">
        <v>-7.26</v>
      </c>
      <c r="E27" s="60">
        <v>0.33</v>
      </c>
      <c r="F27" s="59">
        <v>-1.1100000000000001</v>
      </c>
      <c r="G27" s="61">
        <v>-8000</v>
      </c>
      <c r="H27" s="61">
        <v>26500</v>
      </c>
      <c r="I27" s="61">
        <v>24750</v>
      </c>
      <c r="J27" s="61">
        <v>-212000713</v>
      </c>
      <c r="K27" s="61">
        <v>-198000000</v>
      </c>
      <c r="L27" s="61">
        <v>14000713</v>
      </c>
      <c r="M27" s="59">
        <v>0</v>
      </c>
      <c r="N27" s="59">
        <v>34.880000000000003</v>
      </c>
    </row>
    <row r="28" spans="1:14" ht="16.5" customHeight="1" x14ac:dyDescent="0.4">
      <c r="A28" s="57">
        <v>27</v>
      </c>
      <c r="B28" s="58" t="s">
        <v>139</v>
      </c>
      <c r="C28" s="64" t="s">
        <v>140</v>
      </c>
      <c r="D28" s="59">
        <v>-3.35</v>
      </c>
      <c r="E28" s="60">
        <v>0.1</v>
      </c>
      <c r="F28" s="59">
        <v>-0.51</v>
      </c>
      <c r="G28" s="61">
        <v>-1000</v>
      </c>
      <c r="H28" s="61">
        <v>86885</v>
      </c>
      <c r="I28" s="61">
        <v>91300</v>
      </c>
      <c r="J28" s="61">
        <v>-86885506</v>
      </c>
      <c r="K28" s="61">
        <v>-91300000</v>
      </c>
      <c r="L28" s="61">
        <v>-4414494</v>
      </c>
      <c r="M28" s="59">
        <v>0</v>
      </c>
      <c r="N28" s="59">
        <v>-9.6</v>
      </c>
    </row>
    <row r="29" spans="1:14" ht="16.5" customHeight="1" x14ac:dyDescent="0.4">
      <c r="A29" s="57">
        <v>28</v>
      </c>
      <c r="B29" s="58" t="s">
        <v>141</v>
      </c>
      <c r="C29" s="64" t="s">
        <v>142</v>
      </c>
      <c r="D29" s="59">
        <v>-1.1100000000000001</v>
      </c>
      <c r="E29" s="60">
        <v>0.28000000000000003</v>
      </c>
      <c r="F29" s="59">
        <v>-0.17</v>
      </c>
      <c r="G29" s="61">
        <v>-2000</v>
      </c>
      <c r="H29" s="61">
        <v>15050</v>
      </c>
      <c r="I29" s="61">
        <v>15200</v>
      </c>
      <c r="J29" s="61">
        <v>-30101223</v>
      </c>
      <c r="K29" s="61">
        <v>-30400000</v>
      </c>
      <c r="L29" s="61">
        <v>-298777</v>
      </c>
      <c r="M29" s="59">
        <v>0</v>
      </c>
      <c r="N29" s="59">
        <v>-20</v>
      </c>
    </row>
    <row r="30" spans="1:14" ht="16.5" customHeight="1" x14ac:dyDescent="0.4">
      <c r="A30" s="57">
        <v>29</v>
      </c>
      <c r="B30" s="58" t="s">
        <v>143</v>
      </c>
      <c r="C30" s="64" t="s">
        <v>144</v>
      </c>
      <c r="D30" s="59">
        <v>-4.51</v>
      </c>
      <c r="E30" s="60">
        <v>0.23</v>
      </c>
      <c r="F30" s="59">
        <v>-0.69</v>
      </c>
      <c r="G30" s="61">
        <v>-2000</v>
      </c>
      <c r="H30" s="61">
        <v>61271</v>
      </c>
      <c r="I30" s="61">
        <v>61600</v>
      </c>
      <c r="J30" s="61">
        <v>-122543963</v>
      </c>
      <c r="K30" s="61">
        <v>-123200000</v>
      </c>
      <c r="L30" s="61">
        <v>-656037</v>
      </c>
      <c r="M30" s="59">
        <v>0</v>
      </c>
      <c r="N30" s="59">
        <v>10.59</v>
      </c>
    </row>
    <row r="31" spans="1:14" ht="16.5" customHeight="1" x14ac:dyDescent="0.4">
      <c r="A31" s="57">
        <v>30</v>
      </c>
      <c r="B31" s="58" t="s">
        <v>145</v>
      </c>
      <c r="C31" s="64" t="s">
        <v>27</v>
      </c>
      <c r="D31" s="59">
        <v>-4.82</v>
      </c>
      <c r="E31" s="60">
        <v>2.38</v>
      </c>
      <c r="F31" s="59">
        <v>-0.74</v>
      </c>
      <c r="G31" s="61">
        <v>-450</v>
      </c>
      <c r="H31" s="61">
        <v>296145</v>
      </c>
      <c r="I31" s="61">
        <v>292500</v>
      </c>
      <c r="J31" s="61">
        <v>-133265521</v>
      </c>
      <c r="K31" s="61">
        <v>-131625000</v>
      </c>
      <c r="L31" s="61">
        <v>1640521</v>
      </c>
      <c r="M31" s="59">
        <v>0</v>
      </c>
      <c r="N31" s="59">
        <v>-9.44</v>
      </c>
    </row>
    <row r="32" spans="1:14" ht="16.5" customHeight="1" x14ac:dyDescent="0.4">
      <c r="A32" s="57">
        <v>31</v>
      </c>
      <c r="B32" s="58" t="s">
        <v>146</v>
      </c>
      <c r="C32" s="64" t="s">
        <v>147</v>
      </c>
      <c r="D32" s="59">
        <v>-7.73</v>
      </c>
      <c r="E32" s="60">
        <v>0.09</v>
      </c>
      <c r="F32" s="59">
        <v>-1.18</v>
      </c>
      <c r="G32" s="61">
        <v>-2000</v>
      </c>
      <c r="H32" s="61">
        <v>103966</v>
      </c>
      <c r="I32" s="61">
        <v>105500</v>
      </c>
      <c r="J32" s="61">
        <v>-207932610</v>
      </c>
      <c r="K32" s="61">
        <v>-211000000</v>
      </c>
      <c r="L32" s="61">
        <v>-3067390</v>
      </c>
      <c r="M32" s="59">
        <v>0</v>
      </c>
      <c r="N32" s="59">
        <v>18.54</v>
      </c>
    </row>
    <row r="33" spans="1:14" ht="16.5" customHeight="1" x14ac:dyDescent="0.4">
      <c r="A33" s="57">
        <v>32</v>
      </c>
      <c r="B33" s="58" t="s">
        <v>148</v>
      </c>
      <c r="C33" s="64" t="s">
        <v>37</v>
      </c>
      <c r="D33" s="59">
        <v>-4.74</v>
      </c>
      <c r="E33" s="60">
        <v>0.76</v>
      </c>
      <c r="F33" s="59">
        <v>-0.72</v>
      </c>
      <c r="G33" s="61">
        <v>-1800</v>
      </c>
      <c r="H33" s="61">
        <v>72165</v>
      </c>
      <c r="I33" s="61">
        <v>71900</v>
      </c>
      <c r="J33" s="61">
        <v>-129898278</v>
      </c>
      <c r="K33" s="61">
        <v>-129420000</v>
      </c>
      <c r="L33" s="61">
        <v>478278</v>
      </c>
      <c r="M33" s="59">
        <v>0</v>
      </c>
      <c r="N33" s="59">
        <v>-21.33</v>
      </c>
    </row>
    <row r="34" spans="1:14" ht="16.5" customHeight="1" x14ac:dyDescent="0.4">
      <c r="A34" s="57">
        <v>33</v>
      </c>
      <c r="B34" s="58" t="s">
        <v>149</v>
      </c>
      <c r="C34" s="64" t="s">
        <v>150</v>
      </c>
      <c r="D34" s="59">
        <v>-9.59</v>
      </c>
      <c r="E34" s="60">
        <v>0.11</v>
      </c>
      <c r="F34" s="59">
        <v>-1.47</v>
      </c>
      <c r="G34" s="61">
        <v>-12000</v>
      </c>
      <c r="H34" s="61">
        <v>19802</v>
      </c>
      <c r="I34" s="61">
        <v>21800</v>
      </c>
      <c r="J34" s="61">
        <v>-237635256</v>
      </c>
      <c r="K34" s="61">
        <v>-261600000</v>
      </c>
      <c r="L34" s="61">
        <v>-23964744</v>
      </c>
      <c r="M34" s="59">
        <v>0</v>
      </c>
      <c r="N34" s="59">
        <v>-21.3</v>
      </c>
    </row>
    <row r="35" spans="1:14" ht="16.5" customHeight="1" x14ac:dyDescent="0.4">
      <c r="A35" s="57">
        <v>34</v>
      </c>
      <c r="B35" s="58" t="s">
        <v>151</v>
      </c>
      <c r="C35" s="64" t="s">
        <v>152</v>
      </c>
      <c r="D35" s="59">
        <v>-4.5999999999999996</v>
      </c>
      <c r="E35" s="60">
        <v>0.25</v>
      </c>
      <c r="F35" s="59">
        <v>-0.7</v>
      </c>
      <c r="G35" s="61">
        <v>-1000</v>
      </c>
      <c r="H35" s="61">
        <v>127040</v>
      </c>
      <c r="I35" s="61">
        <v>125500</v>
      </c>
      <c r="J35" s="61">
        <v>-127040835</v>
      </c>
      <c r="K35" s="61">
        <v>-125500000</v>
      </c>
      <c r="L35" s="61">
        <v>1540835</v>
      </c>
      <c r="M35" s="59">
        <v>0</v>
      </c>
      <c r="N35" s="59">
        <v>-4.2</v>
      </c>
    </row>
    <row r="36" spans="1:14" ht="16.5" customHeight="1" x14ac:dyDescent="0.4">
      <c r="A36" s="57">
        <v>35</v>
      </c>
      <c r="B36" s="58" t="s">
        <v>153</v>
      </c>
      <c r="C36" s="64" t="s">
        <v>154</v>
      </c>
      <c r="D36" s="59">
        <v>6.89</v>
      </c>
      <c r="E36" s="60">
        <v>1.84</v>
      </c>
      <c r="F36" s="59">
        <v>1.05</v>
      </c>
      <c r="G36" s="61">
        <v>7800</v>
      </c>
      <c r="H36" s="61">
        <v>24116</v>
      </c>
      <c r="I36" s="61">
        <v>24100</v>
      </c>
      <c r="J36" s="61">
        <v>188105890</v>
      </c>
      <c r="K36" s="61">
        <v>187980000</v>
      </c>
      <c r="L36" s="61">
        <v>-125890</v>
      </c>
      <c r="M36" s="59">
        <v>-7.0000000000000007E-2</v>
      </c>
      <c r="N36" s="59">
        <v>15.59</v>
      </c>
    </row>
    <row r="37" spans="1:14" ht="16.5" customHeight="1" x14ac:dyDescent="0.4">
      <c r="A37" s="57">
        <v>36</v>
      </c>
      <c r="B37" s="58" t="s">
        <v>155</v>
      </c>
      <c r="C37" s="64" t="s">
        <v>156</v>
      </c>
      <c r="D37" s="59">
        <v>2.15</v>
      </c>
      <c r="E37" s="60">
        <v>0.15</v>
      </c>
      <c r="F37" s="59">
        <v>0.33</v>
      </c>
      <c r="G37" s="61">
        <v>2680</v>
      </c>
      <c r="H37" s="61">
        <v>21891</v>
      </c>
      <c r="I37" s="61">
        <v>21850</v>
      </c>
      <c r="J37" s="61">
        <v>58667763</v>
      </c>
      <c r="K37" s="61">
        <v>58558000</v>
      </c>
      <c r="L37" s="61">
        <v>-109763</v>
      </c>
      <c r="M37" s="59">
        <v>-0.19</v>
      </c>
      <c r="N37" s="59">
        <v>16.05</v>
      </c>
    </row>
    <row r="38" spans="1:14" ht="16.5" customHeight="1" x14ac:dyDescent="0.4">
      <c r="A38" s="57">
        <v>37</v>
      </c>
      <c r="B38" s="58" t="s">
        <v>155</v>
      </c>
      <c r="C38" s="64" t="s">
        <v>157</v>
      </c>
      <c r="D38" s="59">
        <v>1.93</v>
      </c>
      <c r="E38" s="60">
        <v>0</v>
      </c>
      <c r="F38" s="59">
        <v>0.3</v>
      </c>
      <c r="G38" s="61">
        <v>2412</v>
      </c>
      <c r="H38" s="61">
        <v>21891</v>
      </c>
      <c r="I38" s="61">
        <v>21850</v>
      </c>
      <c r="J38" s="61">
        <v>52800985</v>
      </c>
      <c r="K38" s="61">
        <v>52702200</v>
      </c>
      <c r="L38" s="61">
        <v>-98785</v>
      </c>
      <c r="M38" s="59">
        <v>-0.19</v>
      </c>
      <c r="N38" s="59">
        <v>16.05</v>
      </c>
    </row>
    <row r="39" spans="1:14" ht="16.5" customHeight="1" x14ac:dyDescent="0.4">
      <c r="A39" s="57">
        <v>38</v>
      </c>
      <c r="B39" s="58" t="s">
        <v>158</v>
      </c>
      <c r="C39" s="64" t="s">
        <v>13</v>
      </c>
      <c r="D39" s="59">
        <v>2.15</v>
      </c>
      <c r="E39" s="60">
        <v>2.23</v>
      </c>
      <c r="F39" s="59">
        <v>0.33</v>
      </c>
      <c r="G39" s="61">
        <v>1000</v>
      </c>
      <c r="H39" s="61">
        <v>58849</v>
      </c>
      <c r="I39" s="61">
        <v>58700</v>
      </c>
      <c r="J39" s="61">
        <v>58848790</v>
      </c>
      <c r="K39" s="61">
        <v>58700000</v>
      </c>
      <c r="L39" s="61">
        <v>-148790</v>
      </c>
      <c r="M39" s="59">
        <v>-0.25</v>
      </c>
      <c r="N39" s="59">
        <v>6.53</v>
      </c>
    </row>
    <row r="40" spans="1:14" ht="16.5" customHeight="1" x14ac:dyDescent="0.4">
      <c r="A40" s="57">
        <v>39</v>
      </c>
      <c r="B40" s="58" t="s">
        <v>159</v>
      </c>
      <c r="C40" s="64" t="s">
        <v>43</v>
      </c>
      <c r="D40" s="59">
        <v>9.2899999999999991</v>
      </c>
      <c r="E40" s="60">
        <v>0.35</v>
      </c>
      <c r="F40" s="59">
        <v>1.42</v>
      </c>
      <c r="G40" s="61">
        <v>1500</v>
      </c>
      <c r="H40" s="61">
        <v>169526</v>
      </c>
      <c r="I40" s="61">
        <v>169000</v>
      </c>
      <c r="J40" s="61">
        <v>254288760</v>
      </c>
      <c r="K40" s="61">
        <v>253500000</v>
      </c>
      <c r="L40" s="61">
        <v>-788760</v>
      </c>
      <c r="M40" s="59">
        <v>-0.31</v>
      </c>
      <c r="N40" s="59">
        <v>8.68</v>
      </c>
    </row>
    <row r="41" spans="1:14" ht="16.5" customHeight="1" x14ac:dyDescent="0.4">
      <c r="A41" s="57">
        <v>40</v>
      </c>
      <c r="B41" s="58" t="s">
        <v>160</v>
      </c>
      <c r="C41" s="64" t="s">
        <v>161</v>
      </c>
      <c r="D41" s="59">
        <v>6.29</v>
      </c>
      <c r="E41" s="60">
        <v>0.65</v>
      </c>
      <c r="F41" s="59">
        <v>0.96</v>
      </c>
      <c r="G41" s="61">
        <v>6300</v>
      </c>
      <c r="H41" s="61">
        <v>27433</v>
      </c>
      <c r="I41" s="61">
        <v>27250</v>
      </c>
      <c r="J41" s="61">
        <v>172829090</v>
      </c>
      <c r="K41" s="61">
        <v>171675000</v>
      </c>
      <c r="L41" s="61">
        <v>-1154090</v>
      </c>
      <c r="M41" s="59">
        <v>-0.67</v>
      </c>
      <c r="N41" s="59">
        <v>20.58</v>
      </c>
    </row>
    <row r="42" spans="1:14" ht="16.5" customHeight="1" x14ac:dyDescent="0.4">
      <c r="A42" s="57">
        <v>41</v>
      </c>
      <c r="B42" s="58" t="s">
        <v>162</v>
      </c>
      <c r="C42" s="64" t="s">
        <v>45</v>
      </c>
      <c r="D42" s="59">
        <v>1.82</v>
      </c>
      <c r="E42" s="60">
        <v>0.44</v>
      </c>
      <c r="F42" s="59">
        <v>0.28000000000000003</v>
      </c>
      <c r="G42" s="61">
        <v>2000</v>
      </c>
      <c r="H42" s="61">
        <v>25038</v>
      </c>
      <c r="I42" s="61">
        <v>24850</v>
      </c>
      <c r="J42" s="61">
        <v>50075025</v>
      </c>
      <c r="K42" s="61">
        <v>49700000</v>
      </c>
      <c r="L42" s="61">
        <v>-375025</v>
      </c>
      <c r="M42" s="59">
        <v>-0.75</v>
      </c>
      <c r="N42" s="59">
        <v>-3.68</v>
      </c>
    </row>
    <row r="43" spans="1:14" ht="16.5" customHeight="1" x14ac:dyDescent="0.4">
      <c r="A43" s="57">
        <v>42</v>
      </c>
      <c r="B43" s="58" t="s">
        <v>163</v>
      </c>
      <c r="C43" s="64" t="s">
        <v>164</v>
      </c>
      <c r="D43" s="59">
        <v>5.09</v>
      </c>
      <c r="E43" s="60">
        <v>0.06</v>
      </c>
      <c r="F43" s="59">
        <v>0.78</v>
      </c>
      <c r="G43" s="61">
        <v>28000</v>
      </c>
      <c r="H43" s="61">
        <v>5005</v>
      </c>
      <c r="I43" s="61">
        <v>4960</v>
      </c>
      <c r="J43" s="61">
        <v>140140000</v>
      </c>
      <c r="K43" s="61">
        <v>138880000</v>
      </c>
      <c r="L43" s="61">
        <v>-1260000</v>
      </c>
      <c r="M43" s="59">
        <v>-0.9</v>
      </c>
      <c r="N43" s="59">
        <v>7.71</v>
      </c>
    </row>
    <row r="44" spans="1:14" ht="16.5" customHeight="1" x14ac:dyDescent="0.4">
      <c r="A44" s="57">
        <v>43</v>
      </c>
      <c r="B44" s="58" t="s">
        <v>165</v>
      </c>
      <c r="C44" s="64" t="s">
        <v>53</v>
      </c>
      <c r="D44" s="59">
        <v>3.43</v>
      </c>
      <c r="E44" s="60">
        <v>0.66</v>
      </c>
      <c r="F44" s="59">
        <v>0.52</v>
      </c>
      <c r="G44" s="61">
        <v>500</v>
      </c>
      <c r="H44" s="61">
        <v>189629</v>
      </c>
      <c r="I44" s="61">
        <v>187000</v>
      </c>
      <c r="J44" s="61">
        <v>94814720</v>
      </c>
      <c r="K44" s="61">
        <v>93500000</v>
      </c>
      <c r="L44" s="61">
        <v>-1314720</v>
      </c>
      <c r="M44" s="59">
        <v>-1.39</v>
      </c>
      <c r="N44" s="59">
        <v>0.54</v>
      </c>
    </row>
    <row r="45" spans="1:14" ht="16.5" customHeight="1" x14ac:dyDescent="0.4">
      <c r="A45" s="57">
        <v>44</v>
      </c>
      <c r="B45" s="58" t="s">
        <v>166</v>
      </c>
      <c r="C45" s="64" t="s">
        <v>167</v>
      </c>
      <c r="D45" s="59">
        <v>5.69</v>
      </c>
      <c r="E45" s="60">
        <v>0.1</v>
      </c>
      <c r="F45" s="59">
        <v>0.87</v>
      </c>
      <c r="G45" s="61">
        <v>3000</v>
      </c>
      <c r="H45" s="61">
        <v>53641</v>
      </c>
      <c r="I45" s="61">
        <v>51800</v>
      </c>
      <c r="J45" s="61">
        <v>160921760</v>
      </c>
      <c r="K45" s="61">
        <v>155400000</v>
      </c>
      <c r="L45" s="61">
        <v>-5521760</v>
      </c>
      <c r="M45" s="59">
        <v>-3.43</v>
      </c>
      <c r="N45" s="59">
        <v>3.39</v>
      </c>
    </row>
    <row r="46" spans="1:14" ht="16.5" customHeight="1" x14ac:dyDescent="0.4">
      <c r="A46" s="57">
        <v>45</v>
      </c>
      <c r="B46" s="58" t="s">
        <v>168</v>
      </c>
      <c r="C46" s="64" t="s">
        <v>169</v>
      </c>
      <c r="D46" s="59">
        <v>2.36</v>
      </c>
      <c r="E46" s="60">
        <v>0.13</v>
      </c>
      <c r="F46" s="59">
        <v>0.36</v>
      </c>
      <c r="G46" s="61">
        <v>6000</v>
      </c>
      <c r="H46" s="61">
        <v>11243</v>
      </c>
      <c r="I46" s="61">
        <v>10750</v>
      </c>
      <c r="J46" s="61">
        <v>67460880</v>
      </c>
      <c r="K46" s="61">
        <v>64500000</v>
      </c>
      <c r="L46" s="61">
        <v>-2960880</v>
      </c>
      <c r="M46" s="59">
        <v>-4.3899999999999997</v>
      </c>
      <c r="N46" s="59">
        <v>-12.24</v>
      </c>
    </row>
    <row r="47" spans="1:14" ht="16.5" customHeight="1" x14ac:dyDescent="0.4">
      <c r="A47" s="57">
        <v>46</v>
      </c>
      <c r="B47" s="58" t="s">
        <v>170</v>
      </c>
      <c r="C47" s="64" t="s">
        <v>29</v>
      </c>
      <c r="D47" s="59">
        <v>8.1999999999999993</v>
      </c>
      <c r="E47" s="60">
        <v>18.14</v>
      </c>
      <c r="F47" s="59">
        <v>1.25</v>
      </c>
      <c r="G47" s="61">
        <v>170</v>
      </c>
      <c r="H47" s="61">
        <v>1383877</v>
      </c>
      <c r="I47" s="61">
        <v>1317000</v>
      </c>
      <c r="J47" s="61">
        <v>235259010</v>
      </c>
      <c r="K47" s="61">
        <v>223890000</v>
      </c>
      <c r="L47" s="61">
        <v>-11369010</v>
      </c>
      <c r="M47" s="59">
        <v>-4.83</v>
      </c>
      <c r="N47" s="59">
        <v>-13.41</v>
      </c>
    </row>
    <row r="48" spans="1:14" ht="16.5" customHeight="1" x14ac:dyDescent="0.4">
      <c r="A48" s="57">
        <v>47</v>
      </c>
      <c r="B48" s="58" t="s">
        <v>171</v>
      </c>
      <c r="C48" s="64" t="s">
        <v>172</v>
      </c>
      <c r="D48" s="59">
        <v>2.37</v>
      </c>
      <c r="E48" s="60">
        <v>0.1</v>
      </c>
      <c r="F48" s="59">
        <v>0.36</v>
      </c>
      <c r="G48" s="61">
        <v>600</v>
      </c>
      <c r="H48" s="61">
        <v>113710</v>
      </c>
      <c r="I48" s="61">
        <v>108000</v>
      </c>
      <c r="J48" s="61">
        <v>68225706</v>
      </c>
      <c r="K48" s="61">
        <v>64800000</v>
      </c>
      <c r="L48" s="61">
        <v>-3425706</v>
      </c>
      <c r="M48" s="59">
        <v>-5.0199999999999996</v>
      </c>
      <c r="N48" s="59">
        <v>-16.920000000000002</v>
      </c>
    </row>
    <row r="49" spans="1:14" ht="16.5" customHeight="1" x14ac:dyDescent="0.4">
      <c r="A49" s="57">
        <v>48</v>
      </c>
      <c r="B49" s="58" t="s">
        <v>173</v>
      </c>
      <c r="C49" s="64" t="s">
        <v>41</v>
      </c>
      <c r="D49" s="59">
        <v>8.52</v>
      </c>
      <c r="E49" s="60">
        <v>1.31</v>
      </c>
      <c r="F49" s="59">
        <v>1.3</v>
      </c>
      <c r="G49" s="61">
        <v>800</v>
      </c>
      <c r="H49" s="61">
        <v>308062</v>
      </c>
      <c r="I49" s="61">
        <v>290500</v>
      </c>
      <c r="J49" s="61">
        <v>246449690</v>
      </c>
      <c r="K49" s="61">
        <v>232400000</v>
      </c>
      <c r="L49" s="61">
        <v>-14049690</v>
      </c>
      <c r="M49" s="59">
        <v>-5.7</v>
      </c>
      <c r="N49" s="59">
        <v>1.04</v>
      </c>
    </row>
    <row r="50" spans="1:14" ht="16.5" customHeight="1" x14ac:dyDescent="0.4">
      <c r="A50" s="57">
        <v>49</v>
      </c>
      <c r="B50" s="58" t="s">
        <v>174</v>
      </c>
      <c r="C50" s="64" t="s">
        <v>175</v>
      </c>
      <c r="D50" s="59">
        <v>2.11</v>
      </c>
      <c r="E50" s="60">
        <v>0.03</v>
      </c>
      <c r="F50" s="59">
        <v>0.32</v>
      </c>
      <c r="G50" s="61">
        <v>5000</v>
      </c>
      <c r="H50" s="61">
        <v>12219</v>
      </c>
      <c r="I50" s="61">
        <v>11500</v>
      </c>
      <c r="J50" s="61">
        <v>61097030</v>
      </c>
      <c r="K50" s="61">
        <v>57500000</v>
      </c>
      <c r="L50" s="61">
        <v>-3597030</v>
      </c>
      <c r="M50" s="59">
        <v>-5.89</v>
      </c>
      <c r="N50" s="59">
        <v>1.32</v>
      </c>
    </row>
    <row r="51" spans="1:14" ht="16.5" customHeight="1" x14ac:dyDescent="0.4">
      <c r="A51" s="57">
        <v>50</v>
      </c>
      <c r="B51" s="58" t="s">
        <v>176</v>
      </c>
      <c r="C51" s="64" t="s">
        <v>177</v>
      </c>
      <c r="D51" s="59">
        <v>1.19</v>
      </c>
      <c r="E51" s="60">
        <v>0.02</v>
      </c>
      <c r="F51" s="59">
        <v>0.18</v>
      </c>
      <c r="G51" s="61">
        <v>600</v>
      </c>
      <c r="H51" s="61">
        <v>57601</v>
      </c>
      <c r="I51" s="61">
        <v>54100</v>
      </c>
      <c r="J51" s="61">
        <v>34560792</v>
      </c>
      <c r="K51" s="61">
        <v>32460000</v>
      </c>
      <c r="L51" s="61">
        <v>-2100792</v>
      </c>
      <c r="M51" s="59">
        <v>-6.08</v>
      </c>
      <c r="N51" s="59">
        <v>26.7</v>
      </c>
    </row>
    <row r="52" spans="1:14" ht="16.5" customHeight="1" x14ac:dyDescent="0.4">
      <c r="A52" s="57">
        <v>51</v>
      </c>
      <c r="B52" s="58" t="s">
        <v>178</v>
      </c>
      <c r="C52" s="64" t="s">
        <v>179</v>
      </c>
      <c r="D52" s="59">
        <v>4.88</v>
      </c>
      <c r="E52" s="60">
        <v>0.02</v>
      </c>
      <c r="F52" s="59">
        <v>0.75</v>
      </c>
      <c r="G52" s="61">
        <v>12000</v>
      </c>
      <c r="H52" s="61">
        <v>11962</v>
      </c>
      <c r="I52" s="61">
        <v>11100</v>
      </c>
      <c r="J52" s="61">
        <v>143543400</v>
      </c>
      <c r="K52" s="61">
        <v>133200000</v>
      </c>
      <c r="L52" s="61">
        <v>-10343400</v>
      </c>
      <c r="M52" s="59">
        <v>-7.21</v>
      </c>
      <c r="N52" s="59">
        <v>0.45</v>
      </c>
    </row>
    <row r="53" spans="1:14" ht="16.5" customHeight="1" x14ac:dyDescent="0.4">
      <c r="A53" s="57">
        <v>52</v>
      </c>
      <c r="B53" s="58" t="s">
        <v>180</v>
      </c>
      <c r="C53" s="64" t="s">
        <v>35</v>
      </c>
      <c r="D53" s="59">
        <v>3.77</v>
      </c>
      <c r="E53" s="60">
        <v>0.48</v>
      </c>
      <c r="F53" s="59">
        <v>0.57999999999999996</v>
      </c>
      <c r="G53" s="61">
        <v>380</v>
      </c>
      <c r="H53" s="61">
        <v>292561</v>
      </c>
      <c r="I53" s="61">
        <v>271000</v>
      </c>
      <c r="J53" s="61">
        <v>111173177</v>
      </c>
      <c r="K53" s="61">
        <v>102980000</v>
      </c>
      <c r="L53" s="61">
        <v>-8193177</v>
      </c>
      <c r="M53" s="59">
        <v>-7.37</v>
      </c>
      <c r="N53" s="59">
        <v>-22.9</v>
      </c>
    </row>
    <row r="54" spans="1:14" ht="16.5" customHeight="1" x14ac:dyDescent="0.4">
      <c r="A54" s="57">
        <v>53</v>
      </c>
      <c r="B54" s="58" t="s">
        <v>181</v>
      </c>
      <c r="C54" s="64" t="s">
        <v>19</v>
      </c>
      <c r="D54" s="59">
        <v>13.7</v>
      </c>
      <c r="E54" s="60">
        <v>1.87</v>
      </c>
      <c r="F54" s="59">
        <v>2.09</v>
      </c>
      <c r="G54" s="61">
        <v>13000</v>
      </c>
      <c r="H54" s="61">
        <v>31086</v>
      </c>
      <c r="I54" s="61">
        <v>28750</v>
      </c>
      <c r="J54" s="61">
        <v>404121200</v>
      </c>
      <c r="K54" s="61">
        <v>373750000</v>
      </c>
      <c r="L54" s="61">
        <v>-30371200</v>
      </c>
      <c r="M54" s="59">
        <v>-7.52</v>
      </c>
      <c r="N54" s="59">
        <v>-0.52</v>
      </c>
    </row>
    <row r="55" spans="1:14" ht="16.5" customHeight="1" x14ac:dyDescent="0.4">
      <c r="A55" s="57">
        <v>54</v>
      </c>
      <c r="B55" s="58" t="s">
        <v>182</v>
      </c>
      <c r="C55" s="64" t="s">
        <v>183</v>
      </c>
      <c r="D55" s="59">
        <v>1.37</v>
      </c>
      <c r="E55" s="60">
        <v>0.01</v>
      </c>
      <c r="F55" s="59">
        <v>0.21</v>
      </c>
      <c r="G55" s="61">
        <v>15000</v>
      </c>
      <c r="H55" s="61">
        <v>2688</v>
      </c>
      <c r="I55" s="61">
        <v>2485</v>
      </c>
      <c r="J55" s="61">
        <v>40313760</v>
      </c>
      <c r="K55" s="61">
        <v>37275000</v>
      </c>
      <c r="L55" s="61">
        <v>-3038760</v>
      </c>
      <c r="M55" s="59">
        <v>-7.54</v>
      </c>
      <c r="N55" s="59">
        <v>0.2</v>
      </c>
    </row>
    <row r="56" spans="1:14" ht="16.5" customHeight="1" x14ac:dyDescent="0.4">
      <c r="A56" s="57">
        <v>55</v>
      </c>
      <c r="B56" s="58" t="s">
        <v>184</v>
      </c>
      <c r="C56" s="64" t="s">
        <v>21</v>
      </c>
      <c r="D56" s="59">
        <v>6.51</v>
      </c>
      <c r="E56" s="60">
        <v>0.79</v>
      </c>
      <c r="F56" s="59">
        <v>0.99</v>
      </c>
      <c r="G56" s="61">
        <v>3300</v>
      </c>
      <c r="H56" s="61">
        <v>58245</v>
      </c>
      <c r="I56" s="61">
        <v>53800</v>
      </c>
      <c r="J56" s="61">
        <v>192209110</v>
      </c>
      <c r="K56" s="61">
        <v>177540000</v>
      </c>
      <c r="L56" s="61">
        <v>-14669110</v>
      </c>
      <c r="M56" s="59">
        <v>-7.63</v>
      </c>
      <c r="N56" s="59">
        <v>-20.88</v>
      </c>
    </row>
    <row r="57" spans="1:14" ht="16.5" customHeight="1" x14ac:dyDescent="0.4">
      <c r="A57" s="57">
        <v>56</v>
      </c>
      <c r="B57" s="58" t="s">
        <v>185</v>
      </c>
      <c r="C57" s="64" t="s">
        <v>186</v>
      </c>
      <c r="D57" s="59">
        <v>2.46</v>
      </c>
      <c r="E57" s="60">
        <v>0.26</v>
      </c>
      <c r="F57" s="59">
        <v>0.38</v>
      </c>
      <c r="G57" s="61">
        <v>1500</v>
      </c>
      <c r="H57" s="61">
        <v>48818</v>
      </c>
      <c r="I57" s="61">
        <v>44750</v>
      </c>
      <c r="J57" s="61">
        <v>73227196</v>
      </c>
      <c r="K57" s="61">
        <v>67125000</v>
      </c>
      <c r="L57" s="61">
        <v>-6102196</v>
      </c>
      <c r="M57" s="59">
        <v>-8.33</v>
      </c>
      <c r="N57" s="59">
        <v>3.71</v>
      </c>
    </row>
    <row r="58" spans="1:14" ht="16.5" customHeight="1" x14ac:dyDescent="0.4">
      <c r="A58" s="57">
        <v>57</v>
      </c>
      <c r="B58" s="58" t="s">
        <v>187</v>
      </c>
      <c r="C58" s="64" t="s">
        <v>51</v>
      </c>
      <c r="D58" s="59">
        <v>7.81</v>
      </c>
      <c r="E58" s="60">
        <v>1.0900000000000001</v>
      </c>
      <c r="F58" s="59">
        <v>1.19</v>
      </c>
      <c r="G58" s="61">
        <v>3000</v>
      </c>
      <c r="H58" s="61">
        <v>77595</v>
      </c>
      <c r="I58" s="61">
        <v>71000</v>
      </c>
      <c r="J58" s="61">
        <v>232784976</v>
      </c>
      <c r="K58" s="61">
        <v>213000000</v>
      </c>
      <c r="L58" s="61">
        <v>-19784976</v>
      </c>
      <c r="M58" s="59">
        <v>-8.5</v>
      </c>
      <c r="N58" s="59">
        <v>-11.25</v>
      </c>
    </row>
    <row r="59" spans="1:14" ht="16.5" customHeight="1" x14ac:dyDescent="0.4">
      <c r="A59" s="57">
        <v>58</v>
      </c>
      <c r="B59" s="58" t="s">
        <v>188</v>
      </c>
      <c r="C59" s="64" t="s">
        <v>23</v>
      </c>
      <c r="D59" s="59">
        <v>2.73</v>
      </c>
      <c r="E59" s="60">
        <v>0.2</v>
      </c>
      <c r="F59" s="59">
        <v>0.42</v>
      </c>
      <c r="G59" s="61">
        <v>2500</v>
      </c>
      <c r="H59" s="61">
        <v>32946</v>
      </c>
      <c r="I59" s="61">
        <v>29800</v>
      </c>
      <c r="J59" s="61">
        <v>82364780</v>
      </c>
      <c r="K59" s="61">
        <v>74500000</v>
      </c>
      <c r="L59" s="61">
        <v>-7864780</v>
      </c>
      <c r="M59" s="59">
        <v>-9.5500000000000007</v>
      </c>
      <c r="N59" s="59">
        <v>-25.78</v>
      </c>
    </row>
    <row r="60" spans="1:14" ht="16.5" customHeight="1" x14ac:dyDescent="0.4">
      <c r="A60" s="57">
        <v>59</v>
      </c>
      <c r="B60" s="58" t="s">
        <v>189</v>
      </c>
      <c r="C60" s="64" t="s">
        <v>190</v>
      </c>
      <c r="D60" s="59">
        <v>1.96</v>
      </c>
      <c r="E60" s="60">
        <v>0.01</v>
      </c>
      <c r="F60" s="59">
        <v>0.3</v>
      </c>
      <c r="G60" s="61">
        <v>2000</v>
      </c>
      <c r="H60" s="61">
        <v>29642</v>
      </c>
      <c r="I60" s="61">
        <v>26750</v>
      </c>
      <c r="J60" s="61">
        <v>59284677</v>
      </c>
      <c r="K60" s="61">
        <v>53500000</v>
      </c>
      <c r="L60" s="61">
        <v>-5784677</v>
      </c>
      <c r="M60" s="59">
        <v>-9.76</v>
      </c>
      <c r="N60" s="59">
        <v>29.85</v>
      </c>
    </row>
    <row r="61" spans="1:14" ht="16.5" customHeight="1" x14ac:dyDescent="0.4">
      <c r="A61" s="57">
        <v>60</v>
      </c>
      <c r="B61" s="58" t="s">
        <v>191</v>
      </c>
      <c r="C61" s="64" t="s">
        <v>192</v>
      </c>
      <c r="D61" s="59">
        <v>6.12</v>
      </c>
      <c r="E61" s="60">
        <v>1.78</v>
      </c>
      <c r="F61" s="59">
        <v>0.94</v>
      </c>
      <c r="G61" s="61">
        <v>200</v>
      </c>
      <c r="H61" s="61">
        <v>929013</v>
      </c>
      <c r="I61" s="61">
        <v>835000</v>
      </c>
      <c r="J61" s="61">
        <v>185802590</v>
      </c>
      <c r="K61" s="61">
        <v>167000000</v>
      </c>
      <c r="L61" s="61">
        <v>-18802590</v>
      </c>
      <c r="M61" s="59">
        <v>-10.119999999999999</v>
      </c>
      <c r="N61" s="59">
        <v>-4.0199999999999996</v>
      </c>
    </row>
    <row r="62" spans="1:14" ht="16.5" customHeight="1" x14ac:dyDescent="0.4">
      <c r="A62" s="57">
        <v>61</v>
      </c>
      <c r="B62" s="58" t="s">
        <v>193</v>
      </c>
      <c r="C62" s="64" t="s">
        <v>194</v>
      </c>
      <c r="D62" s="59">
        <v>3.56</v>
      </c>
      <c r="E62" s="60">
        <v>0.04</v>
      </c>
      <c r="F62" s="59">
        <v>0.54</v>
      </c>
      <c r="G62" s="61">
        <v>6000</v>
      </c>
      <c r="H62" s="61">
        <v>18140</v>
      </c>
      <c r="I62" s="61">
        <v>16200</v>
      </c>
      <c r="J62" s="61">
        <v>108841220</v>
      </c>
      <c r="K62" s="61">
        <v>97200000</v>
      </c>
      <c r="L62" s="61">
        <v>-11641220</v>
      </c>
      <c r="M62" s="59">
        <v>-10.7</v>
      </c>
      <c r="N62" s="59">
        <v>-29.41</v>
      </c>
    </row>
    <row r="63" spans="1:14" ht="16.5" customHeight="1" x14ac:dyDescent="0.4">
      <c r="A63" s="57">
        <v>62</v>
      </c>
      <c r="B63" s="58" t="s">
        <v>195</v>
      </c>
      <c r="C63" s="64" t="s">
        <v>196</v>
      </c>
      <c r="D63" s="59">
        <v>8.3000000000000007</v>
      </c>
      <c r="E63" s="60">
        <v>0.05</v>
      </c>
      <c r="F63" s="59">
        <v>1.27</v>
      </c>
      <c r="G63" s="61">
        <v>9000</v>
      </c>
      <c r="H63" s="61">
        <v>28233</v>
      </c>
      <c r="I63" s="61">
        <v>25150</v>
      </c>
      <c r="J63" s="61">
        <v>254096320</v>
      </c>
      <c r="K63" s="61">
        <v>226350000</v>
      </c>
      <c r="L63" s="61">
        <v>-27746320</v>
      </c>
      <c r="M63" s="59">
        <v>-10.92</v>
      </c>
      <c r="N63" s="59">
        <v>-23.56</v>
      </c>
    </row>
    <row r="64" spans="1:14" ht="16.5" customHeight="1" x14ac:dyDescent="0.4">
      <c r="A64" s="57">
        <v>63</v>
      </c>
      <c r="B64" s="58" t="s">
        <v>197</v>
      </c>
      <c r="C64" s="64" t="s">
        <v>198</v>
      </c>
      <c r="D64" s="59">
        <v>1.71</v>
      </c>
      <c r="E64" s="60">
        <v>0.45</v>
      </c>
      <c r="F64" s="59">
        <v>0.26</v>
      </c>
      <c r="G64" s="61">
        <v>2500</v>
      </c>
      <c r="H64" s="61">
        <v>21013</v>
      </c>
      <c r="I64" s="61">
        <v>18700</v>
      </c>
      <c r="J64" s="61">
        <v>52532320</v>
      </c>
      <c r="K64" s="61">
        <v>46750000</v>
      </c>
      <c r="L64" s="61">
        <v>-5782320</v>
      </c>
      <c r="M64" s="59">
        <v>-11.01</v>
      </c>
      <c r="N64" s="59">
        <v>-21.1</v>
      </c>
    </row>
    <row r="65" spans="1:14" ht="16.5" customHeight="1" x14ac:dyDescent="0.4">
      <c r="A65" s="57">
        <v>64</v>
      </c>
      <c r="B65" s="58" t="s">
        <v>199</v>
      </c>
      <c r="C65" s="64" t="s">
        <v>200</v>
      </c>
      <c r="D65" s="59">
        <v>8.08</v>
      </c>
      <c r="E65" s="60">
        <v>0.11</v>
      </c>
      <c r="F65" s="59">
        <v>1.23</v>
      </c>
      <c r="G65" s="61">
        <v>1500</v>
      </c>
      <c r="H65" s="61">
        <v>165214</v>
      </c>
      <c r="I65" s="61">
        <v>147000</v>
      </c>
      <c r="J65" s="61">
        <v>247821067</v>
      </c>
      <c r="K65" s="61">
        <v>220500000</v>
      </c>
      <c r="L65" s="61">
        <v>-27321067</v>
      </c>
      <c r="M65" s="59">
        <v>-11.02</v>
      </c>
      <c r="N65" s="59">
        <v>-11.45</v>
      </c>
    </row>
    <row r="66" spans="1:14" ht="16.5" customHeight="1" x14ac:dyDescent="0.4">
      <c r="A66" s="57">
        <v>65</v>
      </c>
      <c r="B66" s="58" t="s">
        <v>201</v>
      </c>
      <c r="C66" s="64" t="s">
        <v>202</v>
      </c>
      <c r="D66" s="59">
        <v>5.1100000000000003</v>
      </c>
      <c r="E66" s="60">
        <v>0.14000000000000001</v>
      </c>
      <c r="F66" s="59">
        <v>0.78</v>
      </c>
      <c r="G66" s="61">
        <v>30000</v>
      </c>
      <c r="H66" s="61">
        <v>5263</v>
      </c>
      <c r="I66" s="61">
        <v>4650</v>
      </c>
      <c r="J66" s="61">
        <v>157896594</v>
      </c>
      <c r="K66" s="61">
        <v>139500000</v>
      </c>
      <c r="L66" s="61">
        <v>-18396594</v>
      </c>
      <c r="M66" s="59">
        <v>-11.65</v>
      </c>
      <c r="N66" s="59">
        <v>33.43</v>
      </c>
    </row>
    <row r="67" spans="1:14" ht="16.5" customHeight="1" x14ac:dyDescent="0.4">
      <c r="A67" s="57">
        <v>66</v>
      </c>
      <c r="B67" s="58" t="s">
        <v>203</v>
      </c>
      <c r="C67" s="64" t="s">
        <v>204</v>
      </c>
      <c r="D67" s="59">
        <v>2.3199999999999998</v>
      </c>
      <c r="E67" s="60">
        <v>0.05</v>
      </c>
      <c r="F67" s="59">
        <v>0.35</v>
      </c>
      <c r="G67" s="61">
        <v>6500</v>
      </c>
      <c r="H67" s="61">
        <v>11049</v>
      </c>
      <c r="I67" s="61">
        <v>9740</v>
      </c>
      <c r="J67" s="61">
        <v>71820775</v>
      </c>
      <c r="K67" s="61">
        <v>63310000</v>
      </c>
      <c r="L67" s="61">
        <v>-8510775</v>
      </c>
      <c r="M67" s="59">
        <v>-11.85</v>
      </c>
      <c r="N67" s="59">
        <v>3.73</v>
      </c>
    </row>
    <row r="68" spans="1:14" ht="16.5" customHeight="1" x14ac:dyDescent="0.4">
      <c r="A68" s="57">
        <v>67</v>
      </c>
      <c r="B68" s="58" t="s">
        <v>205</v>
      </c>
      <c r="C68" s="64" t="s">
        <v>206</v>
      </c>
      <c r="D68" s="59">
        <v>2.56</v>
      </c>
      <c r="E68" s="60">
        <v>0.08</v>
      </c>
      <c r="F68" s="59">
        <v>0.39</v>
      </c>
      <c r="G68" s="61">
        <v>110</v>
      </c>
      <c r="H68" s="61">
        <v>723201</v>
      </c>
      <c r="I68" s="61">
        <v>634000</v>
      </c>
      <c r="J68" s="61">
        <v>79552094</v>
      </c>
      <c r="K68" s="61">
        <v>69740000</v>
      </c>
      <c r="L68" s="61">
        <v>-9812094</v>
      </c>
      <c r="M68" s="59">
        <v>-12.33</v>
      </c>
      <c r="N68" s="59">
        <v>-22.59</v>
      </c>
    </row>
    <row r="69" spans="1:14" ht="16.5" customHeight="1" x14ac:dyDescent="0.4">
      <c r="A69" s="57">
        <v>68</v>
      </c>
      <c r="B69" s="58" t="s">
        <v>207</v>
      </c>
      <c r="C69" s="64" t="s">
        <v>208</v>
      </c>
      <c r="D69" s="59">
        <v>6.17</v>
      </c>
      <c r="E69" s="60">
        <v>0.22</v>
      </c>
      <c r="F69" s="59">
        <v>0.94</v>
      </c>
      <c r="G69" s="61">
        <v>17000</v>
      </c>
      <c r="H69" s="61">
        <v>11304</v>
      </c>
      <c r="I69" s="61">
        <v>9900</v>
      </c>
      <c r="J69" s="61">
        <v>192167740</v>
      </c>
      <c r="K69" s="61">
        <v>168300000</v>
      </c>
      <c r="L69" s="61">
        <v>-23867740</v>
      </c>
      <c r="M69" s="59">
        <v>-12.42</v>
      </c>
      <c r="N69" s="59">
        <v>0</v>
      </c>
    </row>
    <row r="70" spans="1:14" ht="16.5" customHeight="1" x14ac:dyDescent="0.4">
      <c r="A70" s="57">
        <v>69</v>
      </c>
      <c r="B70" s="58" t="s">
        <v>209</v>
      </c>
      <c r="C70" s="64" t="s">
        <v>210</v>
      </c>
      <c r="D70" s="59">
        <v>3.54</v>
      </c>
      <c r="E70" s="60">
        <v>0.02</v>
      </c>
      <c r="F70" s="59">
        <v>0.54</v>
      </c>
      <c r="G70" s="61">
        <v>1800</v>
      </c>
      <c r="H70" s="61">
        <v>62652</v>
      </c>
      <c r="I70" s="61">
        <v>53600</v>
      </c>
      <c r="J70" s="61">
        <v>112774290</v>
      </c>
      <c r="K70" s="61">
        <v>96480000</v>
      </c>
      <c r="L70" s="61">
        <v>-16294290</v>
      </c>
      <c r="M70" s="59">
        <v>-14.45</v>
      </c>
      <c r="N70" s="59">
        <v>-10.07</v>
      </c>
    </row>
    <row r="71" spans="1:14" ht="16.5" customHeight="1" x14ac:dyDescent="0.4">
      <c r="A71" s="57">
        <v>70</v>
      </c>
      <c r="B71" s="58" t="s">
        <v>211</v>
      </c>
      <c r="C71" s="64" t="s">
        <v>212</v>
      </c>
      <c r="D71" s="59">
        <v>1.06</v>
      </c>
      <c r="E71" s="60">
        <v>7.0000000000000007E-2</v>
      </c>
      <c r="F71" s="59">
        <v>0.16</v>
      </c>
      <c r="G71" s="61">
        <v>3760</v>
      </c>
      <c r="H71" s="61">
        <v>9084</v>
      </c>
      <c r="I71" s="61">
        <v>7690</v>
      </c>
      <c r="J71" s="61">
        <v>34157405</v>
      </c>
      <c r="K71" s="61">
        <v>28914400</v>
      </c>
      <c r="L71" s="61">
        <v>-5243005</v>
      </c>
      <c r="M71" s="59">
        <v>-15.35</v>
      </c>
      <c r="N71" s="59">
        <v>2.4</v>
      </c>
    </row>
    <row r="72" spans="1:14" ht="16.5" customHeight="1" x14ac:dyDescent="0.4">
      <c r="A72" s="57">
        <v>71</v>
      </c>
      <c r="B72" s="58" t="s">
        <v>213</v>
      </c>
      <c r="C72" s="64" t="s">
        <v>214</v>
      </c>
      <c r="D72" s="59">
        <v>2.66</v>
      </c>
      <c r="E72" s="60">
        <v>0.04</v>
      </c>
      <c r="F72" s="59">
        <v>0.41</v>
      </c>
      <c r="G72" s="61">
        <v>2700</v>
      </c>
      <c r="H72" s="61">
        <v>31963</v>
      </c>
      <c r="I72" s="61">
        <v>26850</v>
      </c>
      <c r="J72" s="61">
        <v>86300210</v>
      </c>
      <c r="K72" s="61">
        <v>72495000</v>
      </c>
      <c r="L72" s="61">
        <v>-13805210</v>
      </c>
      <c r="M72" s="59">
        <v>-16</v>
      </c>
      <c r="N72" s="59">
        <v>18.02</v>
      </c>
    </row>
    <row r="73" spans="1:14" ht="16.5" customHeight="1" x14ac:dyDescent="0.4">
      <c r="A73" s="57">
        <v>72</v>
      </c>
      <c r="B73" s="58" t="s">
        <v>215</v>
      </c>
      <c r="C73" s="64" t="s">
        <v>216</v>
      </c>
      <c r="D73" s="59">
        <v>2.52</v>
      </c>
      <c r="E73" s="60">
        <v>0.05</v>
      </c>
      <c r="F73" s="59">
        <v>0.38</v>
      </c>
      <c r="G73" s="61">
        <v>13000</v>
      </c>
      <c r="H73" s="61">
        <v>6333</v>
      </c>
      <c r="I73" s="61">
        <v>5280</v>
      </c>
      <c r="J73" s="61">
        <v>82326646</v>
      </c>
      <c r="K73" s="61">
        <v>68640000</v>
      </c>
      <c r="L73" s="61">
        <v>-13686646</v>
      </c>
      <c r="M73" s="59">
        <v>-16.62</v>
      </c>
      <c r="N73" s="59">
        <v>2.52</v>
      </c>
    </row>
    <row r="74" spans="1:14" ht="16.5" customHeight="1" x14ac:dyDescent="0.4">
      <c r="A74" s="57">
        <v>73</v>
      </c>
      <c r="B74" s="58" t="s">
        <v>217</v>
      </c>
      <c r="C74" s="64" t="s">
        <v>218</v>
      </c>
      <c r="D74" s="59">
        <v>2.27</v>
      </c>
      <c r="E74" s="60">
        <v>0.01</v>
      </c>
      <c r="F74" s="59">
        <v>0.35</v>
      </c>
      <c r="G74" s="61">
        <v>2000</v>
      </c>
      <c r="H74" s="61">
        <v>37547</v>
      </c>
      <c r="I74" s="61">
        <v>30950</v>
      </c>
      <c r="J74" s="61">
        <v>75094733</v>
      </c>
      <c r="K74" s="61">
        <v>61900000</v>
      </c>
      <c r="L74" s="61">
        <v>-13194733</v>
      </c>
      <c r="M74" s="59">
        <v>-17.57</v>
      </c>
      <c r="N74" s="59">
        <v>20.190000000000001</v>
      </c>
    </row>
    <row r="75" spans="1:14" ht="16.5" customHeight="1" x14ac:dyDescent="0.4">
      <c r="A75" s="57">
        <v>74</v>
      </c>
      <c r="B75" s="58" t="s">
        <v>219</v>
      </c>
      <c r="C75" s="64" t="s">
        <v>220</v>
      </c>
      <c r="D75" s="59">
        <v>2.37</v>
      </c>
      <c r="E75" s="60">
        <v>0.18</v>
      </c>
      <c r="F75" s="59">
        <v>0.36</v>
      </c>
      <c r="G75" s="61">
        <v>7000</v>
      </c>
      <c r="H75" s="61">
        <v>11590</v>
      </c>
      <c r="I75" s="61">
        <v>9250</v>
      </c>
      <c r="J75" s="61">
        <v>81131038</v>
      </c>
      <c r="K75" s="61">
        <v>64750000</v>
      </c>
      <c r="L75" s="61">
        <v>-16381038</v>
      </c>
      <c r="M75" s="59">
        <v>-20.190000000000001</v>
      </c>
      <c r="N75" s="59">
        <v>-15.91</v>
      </c>
    </row>
    <row r="76" spans="1:14" ht="16.5" customHeight="1" x14ac:dyDescent="0.4">
      <c r="A76" s="57">
        <v>75</v>
      </c>
      <c r="B76" s="58" t="s">
        <v>221</v>
      </c>
      <c r="C76" s="64" t="s">
        <v>222</v>
      </c>
      <c r="D76" s="59">
        <v>1.53</v>
      </c>
      <c r="E76" s="60">
        <v>0.11</v>
      </c>
      <c r="F76" s="59">
        <v>0.23</v>
      </c>
      <c r="G76" s="61">
        <v>11490</v>
      </c>
      <c r="H76" s="61">
        <v>4581</v>
      </c>
      <c r="I76" s="61">
        <v>3635</v>
      </c>
      <c r="J76" s="61">
        <v>52640470</v>
      </c>
      <c r="K76" s="61">
        <v>41766150</v>
      </c>
      <c r="L76" s="61">
        <v>-10874320</v>
      </c>
      <c r="M76" s="59">
        <v>-20.66</v>
      </c>
      <c r="N76" s="59">
        <v>-17.95</v>
      </c>
    </row>
  </sheetData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"/>
  <sheetViews>
    <sheetView workbookViewId="0">
      <selection activeCell="H3" sqref="H3"/>
    </sheetView>
  </sheetViews>
  <sheetFormatPr defaultColWidth="9.09765625" defaultRowHeight="13.2" x14ac:dyDescent="0.3"/>
  <cols>
    <col min="1" max="1" width="10.3984375" style="41" bestFit="1" customWidth="1"/>
    <col min="2" max="2" width="38.59765625" style="41" bestFit="1" customWidth="1"/>
    <col min="3" max="3" width="15.19921875" style="41" bestFit="1" customWidth="1"/>
    <col min="4" max="16384" width="9.09765625" style="41"/>
  </cols>
  <sheetData>
    <row r="1" spans="1:3" s="43" customFormat="1" ht="17.399999999999999" x14ac:dyDescent="0.4">
      <c r="A1" s="45" t="s">
        <v>71</v>
      </c>
      <c r="B1" s="46" t="s">
        <v>72</v>
      </c>
      <c r="C1" s="47" t="s">
        <v>77</v>
      </c>
    </row>
    <row r="2" spans="1:3" x14ac:dyDescent="0.3">
      <c r="A2" s="44">
        <v>41445</v>
      </c>
      <c r="B2" s="42" t="s">
        <v>73</v>
      </c>
      <c r="C2" s="42" t="s">
        <v>74</v>
      </c>
    </row>
    <row r="3" spans="1:3" x14ac:dyDescent="0.3">
      <c r="A3" s="44">
        <v>41445</v>
      </c>
      <c r="B3" s="42" t="s">
        <v>76</v>
      </c>
      <c r="C3" s="42" t="s">
        <v>75</v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</vt:i4>
      </vt:variant>
    </vt:vector>
  </HeadingPairs>
  <TitlesOfParts>
    <vt:vector size="6" baseType="lpstr">
      <vt:lpstr>prices</vt:lpstr>
      <vt:lpstr>casting</vt:lpstr>
      <vt:lpstr>portfolio</vt:lpstr>
      <vt:lpstr>news</vt:lpstr>
      <vt:lpstr>HitLower</vt:lpstr>
      <vt:lpstr>HitUpper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Sjoo Kwak</dc:creator>
  <cp:lastModifiedBy>Registered User</cp:lastModifiedBy>
  <dcterms:created xsi:type="dcterms:W3CDTF">2013-06-12T04:40:17Z</dcterms:created>
  <dcterms:modified xsi:type="dcterms:W3CDTF">2017-05-17T07:04:49Z</dcterms:modified>
</cp:coreProperties>
</file>